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 xmlns:r="http://schemas.openxmlformats.org/officeDocument/2006/relationships" name="Buildings" sheetId="2" state="visible" r:id="rId2"/>
    <sheet xmlns:r="http://schemas.openxmlformats.org/officeDocument/2006/relationships" name="Coworking" sheetId="3" state="visible" r:id="rId3"/>
    <sheet xmlns:r="http://schemas.openxmlformats.org/officeDocument/2006/relationships" name="Retailers" sheetId="4" state="visible" r:id="rId4"/>
    <sheet xmlns:r="http://schemas.openxmlformats.org/officeDocument/2006/relationships" name="Route" sheetId="5" state="visible" r:id="rId5"/>
    <sheet xmlns:r="http://schemas.openxmlformats.org/officeDocument/2006/relationships" name="Walk" sheetId="6" state="visible" r:id="rId6"/>
    <sheet xmlns:r="http://schemas.openxmlformats.org/officeDocument/2006/relationships" name="Near-miss" sheetId="7" state="visible" r:id="rId7"/>
    <sheet xmlns:r="http://schemas.openxmlformats.org/officeDocument/2006/relationships" name="Method" sheetId="8" state="visible" r:id="rId8"/>
  </sheets>
  <definedNames>
    <definedName name="company_name">Method!$B$3</definedName>
    <definedName name="tagline">Method!$B$4</definedName>
    <definedName name="_xlnm._FilterDatabase" localSheetId="0" hidden="1">'Companies'!$A$1:$AJ$179</definedName>
    <definedName name="_xlnm._FilterDatabase" localSheetId="1" hidden="1">'Buildings'!$A$1:$AA$83</definedName>
    <definedName name="_xlnm._FilterDatabase" localSheetId="2" hidden="1">'Coworking'!$A$1:$W$33</definedName>
    <definedName name="_xlnm._FilterDatabase" localSheetId="3" hidden="1">'Retailers'!$A$1:$W$31</definedName>
    <definedName name="_xlnm._FilterDatabase" localSheetId="5" hidden="1">'Walk'!$A$1:$V$118</definedName>
    <definedName name="_xlnm._FilterDatabase" localSheetId="6" hidden="1">'Near-miss'!$A$1:$AK$99</definedName>
  </definedNames>
  <calcPr calcId="124519" fullCalcOnLoad="1"/>
</workbook>
</file>

<file path=xl/styles.xml><?xml version="1.0" encoding="utf-8"?>
<styleSheet xmlns="http://schemas.openxmlformats.org/spreadsheetml/2006/main">
  <numFmts count="1">
    <numFmt numFmtId="164" formatCode="hh:mm"/>
  </numFmts>
  <fonts count="8">
    <font>
      <name val="Calibri"/>
      <family val="2"/>
      <color theme="1"/>
      <sz val="11"/>
      <scheme val="minor"/>
    </font>
    <font>
      <b val="1"/>
      <color rgb="00FFFFFF"/>
    </font>
    <font>
      <color rgb="002E47C9"/>
      <u val="single"/>
    </font>
    <font>
      <b val="1"/>
      <sz val="14"/>
    </font>
    <font>
      <b val="1"/>
      <color rgb="002E47C9"/>
      <sz val="12"/>
    </font>
    <font>
      <i val="1"/>
      <color rgb="006B675F"/>
    </font>
    <font/>
    <font>
      <b val="1"/>
    </font>
  </fonts>
  <fills count="5">
    <fill>
      <patternFill/>
    </fill>
    <fill>
      <patternFill patternType="gray125"/>
    </fill>
    <fill>
      <patternFill patternType="solid">
        <fgColor rgb="001F1D1A"/>
      </patternFill>
    </fill>
    <fill>
      <patternFill patternType="solid">
        <fgColor rgb="00FFF4C2"/>
      </patternFill>
    </fill>
    <fill>
      <patternFill patternType="solid">
        <fgColor rgb="00E9E6DF"/>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pivotButton="0" quotePrefix="0" xfId="0"/>
    <xf numFmtId="0" fontId="2" fillId="0" borderId="0" pivotButton="0" quotePrefix="0" xfId="0"/>
    <xf numFmtId="0" fontId="0" fillId="0" borderId="0" applyAlignment="1" pivotButton="0" quotePrefix="0" xfId="0">
      <alignment vertical="top"/>
    </xf>
    <xf numFmtId="0" fontId="3" fillId="0" borderId="0" pivotButton="0" quotePrefix="0" xfId="0"/>
    <xf numFmtId="0" fontId="4" fillId="0" borderId="0" pivotButton="0" quotePrefix="0" xfId="0"/>
    <xf numFmtId="0" fontId="0" fillId="3" borderId="0" pivotButton="0" quotePrefix="0" xfId="0"/>
    <xf numFmtId="0" fontId="5" fillId="0" borderId="0" pivotButton="0" quotePrefix="0" xfId="0"/>
    <xf numFmtId="164" fontId="0" fillId="3" borderId="0" pivotButton="0" quotePrefix="0" xfId="0"/>
    <xf numFmtId="164" fontId="0" fillId="0" borderId="0" pivotButton="0" quotePrefix="0" xfId="0"/>
    <xf numFmtId="0" fontId="0" fillId="4" borderId="0" pivotButton="0" quotePrefix="0" xfId="0"/>
    <xf numFmtId="0" fontId="6" fillId="0" borderId="0" pivotButton="0" quotePrefix="0" xfId="0"/>
    <xf numFmtId="0" fontId="0" fillId="0" borderId="0" applyAlignment="1" pivotButton="0" quotePrefix="0" xfId="0">
      <alignment horizontal="left"/>
    </xf>
    <xf numFmtId="0" fontId="0" fillId="0" borderId="0" applyAlignment="1" pivotButton="0" quotePrefix="0" xfId="0">
      <alignment vertical="top" wrapText="1"/>
    </xf>
    <xf numFmtId="0" fontId="7" fillId="0" borderId="0" pivotButton="0" quotePrefix="0" xfId="0"/>
  </cellXfs>
  <cellStyles count="1">
    <cellStyle name="Normal" xfId="0" builtinId="0" hidden="0"/>
  </cellStyles>
  <dxfs count="2">
    <dxf>
      <fill>
        <patternFill patternType="solid">
          <fgColor rgb="00EFECE6"/>
        </patternFill>
      </fill>
    </dxf>
    <dxf>
      <fill>
        <patternFill patternType="solid">
          <fgColor rgb="00FBE3E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umansecurity.com" TargetMode="External" Id="rId1"/><Relationship Type="http://schemas.openxmlformats.org/officeDocument/2006/relationships/hyperlink" Target="https://www.builtinnyc.com/company/human" TargetMode="External" Id="rId2"/><Relationship Type="http://schemas.openxmlformats.org/officeDocument/2006/relationships/hyperlink" Target="https://commercialobserver.com/2024/06/movable-ink-lease-841-broadway/" TargetMode="External" Id="rId3"/><Relationship Type="http://schemas.openxmlformats.org/officeDocument/2006/relationships/hyperlink" Target="https://builtinnyc.com/articles/nyc-tech-headquarters-openings-2023" TargetMode="External" Id="rId4"/><Relationship Type="http://schemas.openxmlformats.org/officeDocument/2006/relationships/hyperlink" Target="https://commercialobserver.com/2026/01/perplexity-lease-841-broadway-union-square/" TargetMode="External" Id="rId5"/><Relationship Type="http://schemas.openxmlformats.org/officeDocument/2006/relationships/hyperlink" Target="https://commercialobserver.com/2024/02/tequila-brand-casa-komos-moving-offices-to-10k-sf-at-853-broadway/" TargetMode="External" Id="rId6"/><Relationship Type="http://schemas.openxmlformats.org/officeDocument/2006/relationships/hyperlink" Target="https://www.builtinnyc.com/company/first-look-media" TargetMode="External" Id="rId7"/><Relationship Type="http://schemas.openxmlformats.org/officeDocument/2006/relationships/hyperlink" Target="https://rebusinessonline.com/first-look-media-signs-7896-sf-office-lease-at-853-broadway-in-manhattan/" TargetMode="External" Id="rId8"/><Relationship Type="http://schemas.openxmlformats.org/officeDocument/2006/relationships/hyperlink" Target="https://www.lepercq.com" TargetMode="External" Id="rId9"/><Relationship Type="http://schemas.openxmlformats.org/officeDocument/2006/relationships/hyperlink" Target="https://www.lepercq.com/" TargetMode="External" Id="rId10"/><Relationship Type="http://schemas.openxmlformats.org/officeDocument/2006/relationships/hyperlink" Target="https://nyrej.com/print/54591" TargetMode="External" Id="rId11"/><Relationship Type="http://schemas.openxmlformats.org/officeDocument/2006/relationships/hyperlink" Target="https://www.usenourish.com" TargetMode="External" Id="rId12"/><Relationship Type="http://schemas.openxmlformats.org/officeDocument/2006/relationships/hyperlink" Target="https://www.builtinnyc.com/company/nourish" TargetMode="External" Id="rId13"/><Relationship Type="http://schemas.openxmlformats.org/officeDocument/2006/relationships/hyperlink" Target="https://nyrej.com/print/54591" TargetMode="External" Id="rId14"/><Relationship Type="http://schemas.openxmlformats.org/officeDocument/2006/relationships/hyperlink" Target="https://commercialobserver.com/2025/02/nourish-lease-853-broadway/" TargetMode="External" Id="rId15"/><Relationship Type="http://schemas.openxmlformats.org/officeDocument/2006/relationships/hyperlink" Target="https://www.perplexity.ai" TargetMode="External" Id="rId16"/><Relationship Type="http://schemas.openxmlformats.org/officeDocument/2006/relationships/hyperlink" Target="https://nyrej.com/perplexity-expands-presence-at-841-853-broadway" TargetMode="External" Id="rId17"/><Relationship Type="http://schemas.openxmlformats.org/officeDocument/2006/relationships/hyperlink" Target="https://commercialobserver.com/2026/01/perplexity-lease-841-broadway-union-square/" TargetMode="External" Id="rId18"/><Relationship Type="http://schemas.openxmlformats.org/officeDocument/2006/relationships/hyperlink" Target="https://personetics.com" TargetMode="External" Id="rId19"/><Relationship Type="http://schemas.openxmlformats.org/officeDocument/2006/relationships/hyperlink" Target="https://www.builtinnyc.com/company/personetics" TargetMode="External" Id="rId20"/><Relationship Type="http://schemas.openxmlformats.org/officeDocument/2006/relationships/hyperlink" Target="https://nyrej.com/print/54591" TargetMode="External" Id="rId21"/><Relationship Type="http://schemas.openxmlformats.org/officeDocument/2006/relationships/hyperlink" Target="https://www.ushg.com" TargetMode="External" Id="rId22"/><Relationship Type="http://schemas.openxmlformats.org/officeDocument/2006/relationships/hyperlink" Target="https://www.ushg.com/contact" TargetMode="External" Id="rId23"/><Relationship Type="http://schemas.openxmlformats.org/officeDocument/2006/relationships/hyperlink" Target="https://commercialobserver.com/2018/02/danny-meyers-union-square-hospitality-moving-within-union-square/" TargetMode="External" Id="rId24"/><Relationship Type="http://schemas.openxmlformats.org/officeDocument/2006/relationships/hyperlink" Target="https://www.alpineinvestors.com" TargetMode="External" Id="rId25"/><Relationship Type="http://schemas.openxmlformats.org/officeDocument/2006/relationships/hyperlink" Target="https://www.builtinnyc.com/company/alpine-investors" TargetMode="External" Id="rId26"/><Relationship Type="http://schemas.openxmlformats.org/officeDocument/2006/relationships/hyperlink" Target="https://www.alpineinvestors.com/contact/" TargetMode="External" Id="rId27"/><Relationship Type="http://schemas.openxmlformats.org/officeDocument/2006/relationships/hyperlink" Target="https://commercialobserver.com/2022/11/alpine-investors-lease-zero-irving/" TargetMode="External" Id="rId28"/><Relationship Type="http://schemas.openxmlformats.org/officeDocument/2006/relationships/hyperlink" Target="https://gc.com" TargetMode="External" Id="rId29"/><Relationship Type="http://schemas.openxmlformats.org/officeDocument/2006/relationships/hyperlink" Target="https://www.builtinnyc.com/company/gamechanger" TargetMode="External" Id="rId30"/><Relationship Type="http://schemas.openxmlformats.org/officeDocument/2006/relationships/hyperlink" Target="https://gc.com/about" TargetMode="External" Id="rId31"/><Relationship Type="http://schemas.openxmlformats.org/officeDocument/2006/relationships/hyperlink" Target="https://commercialobserver.com/2024/08/senator-investment-group-lease-zero-irving/" TargetMode="External" Id="rId32"/><Relationship Type="http://schemas.openxmlformats.org/officeDocument/2006/relationships/hyperlink" Target="https://www.senatorlp.com" TargetMode="External" Id="rId33"/><Relationship Type="http://schemas.openxmlformats.org/officeDocument/2006/relationships/hyperlink" Target="https://www.senatorlp.com/" TargetMode="External" Id="rId34"/><Relationship Type="http://schemas.openxmlformats.org/officeDocument/2006/relationships/hyperlink" Target="https://commercialobserver.com/2024/08/senator-investment-group-lease-zero-irving/" TargetMode="External" Id="rId35"/><Relationship Type="http://schemas.openxmlformats.org/officeDocument/2006/relationships/hyperlink" Target="https://www.tryprofound.com" TargetMode="External" Id="rId36"/><Relationship Type="http://schemas.openxmlformats.org/officeDocument/2006/relationships/hyperlink" Target="https://fortune.com/2026/02/24/exclusive-as-ai-threatens-search-profound-raises-96-million-to-help-brands-stay-visible/" TargetMode="External" Id="rId37"/><Relationship Type="http://schemas.openxmlformats.org/officeDocument/2006/relationships/hyperlink" Target="https://commercialobserver.com/2026/05/profound-lease-gfp-5-9-union-square-west/" TargetMode="External" Id="rId38"/><Relationship Type="http://schemas.openxmlformats.org/officeDocument/2006/relationships/hyperlink" Target="https://www.rockwellgroup.com" TargetMode="External" Id="rId39"/><Relationship Type="http://schemas.openxmlformats.org/officeDocument/2006/relationships/hyperlink" Target="https://www.rockwellgroup.com/about" TargetMode="External" Id="rId40"/><Relationship Type="http://schemas.openxmlformats.org/officeDocument/2006/relationships/hyperlink" Target="https://www.rockwellgroup.com/about" TargetMode="External" Id="rId41"/><Relationship Type="http://schemas.openxmlformats.org/officeDocument/2006/relationships/hyperlink" Target="https://commercialobserver.com/2026/05/profound-lease-gfp-5-9-union-square-west/" TargetMode="External" Id="rId42"/><Relationship Type="http://schemas.openxmlformats.org/officeDocument/2006/relationships/hyperlink" Target="https://www.captions.ai" TargetMode="External" Id="rId43"/><Relationship Type="http://schemas.openxmlformats.org/officeDocument/2006/relationships/hyperlink" Target="https://www.builtinnyc.com/company/captions" TargetMode="External" Id="rId44"/><Relationship Type="http://schemas.openxmlformats.org/officeDocument/2006/relationships/hyperlink" Target="https://rebusinessonline.com/?p=393709" TargetMode="External" Id="rId45"/><Relationship Type="http://schemas.openxmlformats.org/officeDocument/2006/relationships/hyperlink" Target="https://www.greshamllc.com" TargetMode="External" Id="rId46"/><Relationship Type="http://schemas.openxmlformats.org/officeDocument/2006/relationships/hyperlink" Target="https://www.greshamllc.com/contact" TargetMode="External" Id="rId47"/><Relationship Type="http://schemas.openxmlformats.org/officeDocument/2006/relationships/hyperlink" Target="https://www.mannpublications.com/mannreport/2024/06/10/hedge-fund-manager-relocates-to-19-union-square-west/" TargetMode="External" Id="rId48"/><Relationship Type="http://schemas.openxmlformats.org/officeDocument/2006/relationships/hyperlink" Target="https://www.battery.com" TargetMode="External" Id="rId49"/><Relationship Type="http://schemas.openxmlformats.org/officeDocument/2006/relationships/hyperlink" Target="https://www.battery.com/contact/" TargetMode="External" Id="rId50"/><Relationship Type="http://schemas.openxmlformats.org/officeDocument/2006/relationships/hyperlink" Target="https://commercialobserver.com/2026/08/biohub-fundraise-up-leases-100-104-fifth-avenue/" TargetMode="External" Id="rId51"/><Relationship Type="http://schemas.openxmlformats.org/officeDocument/2006/relationships/hyperlink" Target="https://biohub.org" TargetMode="External" Id="rId52"/><Relationship Type="http://schemas.openxmlformats.org/officeDocument/2006/relationships/hyperlink" Target="https://www.builtinnyc.com/company/biohub" TargetMode="External" Id="rId53"/><Relationship Type="http://schemas.openxmlformats.org/officeDocument/2006/relationships/hyperlink" Target="https://commercialobserver.com/2026/08/biohub-fundraise-up-leases-100-104-fifth-avenue/" TargetMode="External" Id="rId54"/><Relationship Type="http://schemas.openxmlformats.org/officeDocument/2006/relationships/hyperlink" Target="https://fundraiseup.com" TargetMode="External" Id="rId55"/><Relationship Type="http://schemas.openxmlformats.org/officeDocument/2006/relationships/hyperlink" Target="https://commercialobserver.com/2026/08/biohub-fundraise-up-leases-100-104-fifth-avenue/" TargetMode="External" Id="rId56"/><Relationship Type="http://schemas.openxmlformats.org/officeDocument/2006/relationships/hyperlink" Target="https://thinkingmachines.ai" TargetMode="External" Id="rId57"/><Relationship Type="http://schemas.openxmlformats.org/officeDocument/2006/relationships/hyperlink" Target="https://www.builtinnyc.com/company/thinking-machines-lab" TargetMode="External" Id="rId58"/><Relationship Type="http://schemas.openxmlformats.org/officeDocument/2006/relationships/hyperlink" Target="https://commercialobserver.com/2026/08/thinking-machines-lab-79-fifth-avenue-lease/" TargetMode="External" Id="rId59"/><Relationship Type="http://schemas.openxmlformats.org/officeDocument/2006/relationships/hyperlink" Target="https://mercury.com" TargetMode="External" Id="rId60"/><Relationship Type="http://schemas.openxmlformats.org/officeDocument/2006/relationships/hyperlink" Target="https://www.builtinnyc.com/company/mercury" TargetMode="External" Id="rId61"/><Relationship Type="http://schemas.openxmlformats.org/officeDocument/2006/relationships/hyperlink" Target="https://commercialobserver.com/2025/03/faire-lease-26-west-17th-street/" TargetMode="External" Id="rId62"/><Relationship Type="http://schemas.openxmlformats.org/officeDocument/2006/relationships/hyperlink" Target="https://www.scalemicrogrids.com" TargetMode="External" Id="rId63"/><Relationship Type="http://schemas.openxmlformats.org/officeDocument/2006/relationships/hyperlink" Target="https://www.builtinnyc.com/company/scale-microgrids" TargetMode="External" Id="rId64"/><Relationship Type="http://schemas.openxmlformats.org/officeDocument/2006/relationships/hyperlink" Target="https://commercialobserver.com/2025/03/faire-lease-26-west-17th-street/" TargetMode="External" Id="rId65"/><Relationship Type="http://schemas.openxmlformats.org/officeDocument/2006/relationships/hyperlink" Target="https://www.scalemicrogrids.com/contact" TargetMode="External" Id="rId66"/><Relationship Type="http://schemas.openxmlformats.org/officeDocument/2006/relationships/hyperlink" Target="https://commercialobserver.com/2026/10/eagle-ai-lease-office-120-fifth-avenue/" TargetMode="External" Id="rId67"/><Relationship Type="http://schemas.openxmlformats.org/officeDocument/2006/relationships/hyperlink" Target="https://commercialobserver.com/2026/10/eagle-ai-lease-office-120-fifth-avenue/" TargetMode="External" Id="rId68"/><Relationship Type="http://schemas.openxmlformats.org/officeDocument/2006/relationships/hyperlink" Target="https://commercialobserver.com/2026/10/eagle-ai-lease-office-120-fifth-avenue/" TargetMode="External" Id="rId69"/><Relationship Type="http://schemas.openxmlformats.org/officeDocument/2006/relationships/hyperlink" Target="https://www.kharon.com" TargetMode="External" Id="rId70"/><Relationship Type="http://schemas.openxmlformats.org/officeDocument/2006/relationships/hyperlink" Target="https://www.builtinnyc.com/company/kharon" TargetMode="External" Id="rId71"/><Relationship Type="http://schemas.openxmlformats.org/officeDocument/2006/relationships/hyperlink" Target="https://commercialobserver.com/2026/10/eagle-ai-lease-office-120-fifth-avenue/" TargetMode="External" Id="rId72"/><Relationship Type="http://schemas.openxmlformats.org/officeDocument/2006/relationships/hyperlink" Target="https://commercialobserver.com/2026/10/eagle-ai-lease-office-120-fifth-avenue/" TargetMode="External" Id="rId73"/><Relationship Type="http://schemas.openxmlformats.org/officeDocument/2006/relationships/hyperlink" Target="https://www.selldorf.com" TargetMode="External" Id="rId74"/><Relationship Type="http://schemas.openxmlformats.org/officeDocument/2006/relationships/hyperlink" Target="https://en.wikipedia.org/wiki/Selldorf_Architects" TargetMode="External" Id="rId75"/><Relationship Type="http://schemas.openxmlformats.org/officeDocument/2006/relationships/hyperlink" Target="https://commercialobserver.com/2026/08/selldorf-architects-renews-14k-sf-860-broadway-lease-for-10-years/" TargetMode="External" Id="rId76"/><Relationship Type="http://schemas.openxmlformats.org/officeDocument/2006/relationships/hyperlink" Target="https://www.connectcre.com/stories/selldorf-architects-signs-long-term-renewal-at-860-broadway/" TargetMode="External" Id="rId77"/><Relationship Type="http://schemas.openxmlformats.org/officeDocument/2006/relationships/hyperlink" Target="https://valon.ai" TargetMode="External" Id="rId78"/><Relationship Type="http://schemas.openxmlformats.org/officeDocument/2006/relationships/hyperlink" Target="https://www.builtinnyc.com/company/valon" TargetMode="External" Id="rId79"/><Relationship Type="http://schemas.openxmlformats.org/officeDocument/2006/relationships/hyperlink" Target="https://commercialobserver.com/2026/08/selldorf-architects-renews-14k-sf-860-broadway-lease-for-10-years/" TargetMode="External" Id="rId80"/><Relationship Type="http://schemas.openxmlformats.org/officeDocument/2006/relationships/hyperlink" Target="https://rebusinessonline.com/?p=388206" TargetMode="External" Id="rId81"/><Relationship Type="http://schemas.openxmlformats.org/officeDocument/2006/relationships/hyperlink" Target="https://www.lumapartners.com" TargetMode="External" Id="rId82"/><Relationship Type="http://schemas.openxmlformats.org/officeDocument/2006/relationships/hyperlink" Target="https://www.lumapartners.com/contact" TargetMode="External" Id="rId83"/><Relationship Type="http://schemas.openxmlformats.org/officeDocument/2006/relationships/hyperlink" Target="https://commercialobserver.com/2025/08/prepared-911-101-fifth-avenue/" TargetMode="External" Id="rId84"/><Relationship Type="http://schemas.openxmlformats.org/officeDocument/2006/relationships/hyperlink" Target="https://www.prepared911.com" TargetMode="External" Id="rId85"/><Relationship Type="http://schemas.openxmlformats.org/officeDocument/2006/relationships/hyperlink" Target="https://www.builtinnyc.com/company/prepared" TargetMode="External" Id="rId86"/><Relationship Type="http://schemas.openxmlformats.org/officeDocument/2006/relationships/hyperlink" Target="https://commercialobserver.com/2025/08/prepared-911-101-fifth-avenue/" TargetMode="External" Id="rId87"/><Relationship Type="http://schemas.openxmlformats.org/officeDocument/2006/relationships/hyperlink" Target="https://www.dashlane.com" TargetMode="External" Id="rId88"/><Relationship Type="http://schemas.openxmlformats.org/officeDocument/2006/relationships/hyperlink" Target="https://www.builtinnyc.com/company/dashlane" TargetMode="External" Id="rId89"/><Relationship Type="http://schemas.openxmlformats.org/officeDocument/2006/relationships/hyperlink" Target="https://www.dashlane.com/terms" TargetMode="External" Id="rId90"/><Relationship Type="http://schemas.openxmlformats.org/officeDocument/2006/relationships/hyperlink" Target="https://www.builtinnyc.com/company/dashlane/offices" TargetMode="External" Id="rId91"/><Relationship Type="http://schemas.openxmlformats.org/officeDocument/2006/relationships/hyperlink" Target="https://roboflow.com" TargetMode="External" Id="rId92"/><Relationship Type="http://schemas.openxmlformats.org/officeDocument/2006/relationships/hyperlink" Target="https://www.builtinnyc.com/company/roboflow" TargetMode="External" Id="rId93"/><Relationship Type="http://schemas.openxmlformats.org/officeDocument/2006/relationships/hyperlink" Target="https://www.mannpublications.com/mannreport/2025/08/25/moinian-signs-33000sf-across-flatiron-portfolio/" TargetMode="External" Id="rId94"/><Relationship Type="http://schemas.openxmlformats.org/officeDocument/2006/relationships/hyperlink" Target="https://www.baseten.co" TargetMode="External" Id="rId95"/><Relationship Type="http://schemas.openxmlformats.org/officeDocument/2006/relationships/hyperlink" Target="https://www.builtinnyc.com/company/baseten" TargetMode="External" Id="rId96"/><Relationship Type="http://schemas.openxmlformats.org/officeDocument/2006/relationships/hyperlink" Target="https://www.sec.gov/Archives/edgar/data/1013454/000153949726000704/n5676_x5-424h.htm" TargetMode="External" Id="rId97"/><Relationship Type="http://schemas.openxmlformats.org/officeDocument/2006/relationships/hyperlink" Target="https://cognitiv.ai" TargetMode="External" Id="rId98"/><Relationship Type="http://schemas.openxmlformats.org/officeDocument/2006/relationships/hyperlink" Target="https://www.builtinnyc.com/company/cognitiv" TargetMode="External" Id="rId99"/><Relationship Type="http://schemas.openxmlformats.org/officeDocument/2006/relationships/hyperlink" Target="https://cognitiv.ai/contact/" TargetMode="External" Id="rId100"/><Relationship Type="http://schemas.openxmlformats.org/officeDocument/2006/relationships/hyperlink" Target="https://www.sec.gov/Archives/edgar/data/1013454/000153949726000704/n5676_x5-424h.htm" TargetMode="External" Id="rId101"/><Relationship Type="http://schemas.openxmlformats.org/officeDocument/2006/relationships/hyperlink" Target="https://www.globalstrategygroup.com" TargetMode="External" Id="rId102"/><Relationship Type="http://schemas.openxmlformats.org/officeDocument/2006/relationships/hyperlink" Target="https://www.builtinnyc.com/company/global-strategy-group" TargetMode="External" Id="rId103"/><Relationship Type="http://schemas.openxmlformats.org/officeDocument/2006/relationships/hyperlink" Target="https://www.globalstrategygroup.com/locations/" TargetMode="External" Id="rId104"/><Relationship Type="http://schemas.openxmlformats.org/officeDocument/2006/relationships/hyperlink" Target="https://www.sec.gov/Archives/edgar/data/1013454/000153949726000704/n5676_x5-424h.htm" TargetMode="External" Id="rId105"/><Relationship Type="http://schemas.openxmlformats.org/officeDocument/2006/relationships/hyperlink" Target="https://www.sec.gov/Archives/edgar/data/1013454/000153949726000704/n5676_x5-424h.htm" TargetMode="External" Id="rId106"/><Relationship Type="http://schemas.openxmlformats.org/officeDocument/2006/relationships/hyperlink" Target="https://www.nayya.com" TargetMode="External" Id="rId107"/><Relationship Type="http://schemas.openxmlformats.org/officeDocument/2006/relationships/hyperlink" Target="https://www.builtinnyc.com/company/nayya" TargetMode="External" Id="rId108"/><Relationship Type="http://schemas.openxmlformats.org/officeDocument/2006/relationships/hyperlink" Target="https://www.sec.gov/Archives/edgar/data/1013454/000153949726000704/n5676_x5-424h.htm" TargetMode="External" Id="rId109"/><Relationship Type="http://schemas.openxmlformats.org/officeDocument/2006/relationships/hyperlink" Target="https://www.nyrej.com/sl-green-signs-29-915-s-f-lease-with-nayya-health-at-215-park-ave-south" TargetMode="External" Id="rId110"/><Relationship Type="http://schemas.openxmlformats.org/officeDocument/2006/relationships/hyperlink" Target="https://www.stellarhealth.net" TargetMode="External" Id="rId111"/><Relationship Type="http://schemas.openxmlformats.org/officeDocument/2006/relationships/hyperlink" Target="https://www.builtinnyc.com/company/stellar-health" TargetMode="External" Id="rId112"/><Relationship Type="http://schemas.openxmlformats.org/officeDocument/2006/relationships/hyperlink" Target="https://www.sec.gov/Archives/edgar/data/1013454/000153949726000704/n5676_x5-424h.htm" TargetMode="External" Id="rId113"/><Relationship Type="http://schemas.openxmlformats.org/officeDocument/2006/relationships/hyperlink" Target="https://www.nyrej.com/sl-green-signs-29-915-s-f-lease-with-nayya-health-at-215-park-ave-south" TargetMode="External" Id="rId114"/><Relationship Type="http://schemas.openxmlformats.org/officeDocument/2006/relationships/hyperlink" Target="https://www.sec.gov/Archives/edgar/data/1013454/000153949726000704/n5676_x5-424h.htm" TargetMode="External" Id="rId115"/><Relationship Type="http://schemas.openxmlformats.org/officeDocument/2006/relationships/hyperlink" Target="https://www.farmacybeauty.com" TargetMode="External" Id="rId116"/><Relationship Type="http://schemas.openxmlformats.org/officeDocument/2006/relationships/hyperlink" Target="https://www.farmacybeauty.com/pages/contact-us" TargetMode="External" Id="rId117"/><Relationship Type="http://schemas.openxmlformats.org/officeDocument/2006/relationships/hyperlink" Target="https://commercialobserver.com/2024/12/airbnb-lease-130-fifth-avenue/" TargetMode="External" Id="rId118"/><Relationship Type="http://schemas.openxmlformats.org/officeDocument/2006/relationships/hyperlink" Target="https://www.fresh.com" TargetMode="External" Id="rId119"/><Relationship Type="http://schemas.openxmlformats.org/officeDocument/2006/relationships/hyperlink" Target="https://commercialobserver.com/2024/12/airbnb-lease-130-fifth-avenue/" TargetMode="External" Id="rId120"/><Relationship Type="http://schemas.openxmlformats.org/officeDocument/2006/relationships/hyperlink" Target="https://vidmob.com" TargetMode="External" Id="rId121"/><Relationship Type="http://schemas.openxmlformats.org/officeDocument/2006/relationships/hyperlink" Target="https://www.builtinnyc.com/company/vidmob" TargetMode="External" Id="rId122"/><Relationship Type="http://schemas.openxmlformats.org/officeDocument/2006/relationships/hyperlink" Target="https://commercialobserver.com/2024/12/airbnb-lease-130-fifth-avenue/" TargetMode="External" Id="rId123"/><Relationship Type="http://schemas.openxmlformats.org/officeDocument/2006/relationships/hyperlink" Target="https://www.seiu32bj.org" TargetMode="External" Id="rId124"/><Relationship Type="http://schemas.openxmlformats.org/officeDocument/2006/relationships/hyperlink" Target="https://www.seiu32bj.org/contact-us/" TargetMode="External" Id="rId125"/><Relationship Type="http://schemas.openxmlformats.org/officeDocument/2006/relationships/hyperlink" Target="https://32bjfunds.org/contact-us/" TargetMode="External" Id="rId126"/><Relationship Type="http://schemas.openxmlformats.org/officeDocument/2006/relationships/hyperlink" Target="https://galvanizeclimate.com" TargetMode="External" Id="rId127"/><Relationship Type="http://schemas.openxmlformats.org/officeDocument/2006/relationships/hyperlink" Target="https://www.builtinnyc.com/company/galvanize-climate-solutions" TargetMode="External" Id="rId128"/><Relationship Type="http://schemas.openxmlformats.org/officeDocument/2006/relationships/hyperlink" Target="https://commercialobserver.com/2026/04/adyen-lease-111-115-fifth-avenue/" TargetMode="External" Id="rId129"/><Relationship Type="http://schemas.openxmlformats.org/officeDocument/2006/relationships/hyperlink" Target="https://www.loveshackfancy.com" TargetMode="External" Id="rId130"/><Relationship Type="http://schemas.openxmlformats.org/officeDocument/2006/relationships/hyperlink" Target="https://commercialobserver.com/2025/04/radar-labs-lease-111-fifth-avenue/" TargetMode="External" Id="rId131"/><Relationship Type="http://schemas.openxmlformats.org/officeDocument/2006/relationships/hyperlink" Target="https://radar.com" TargetMode="External" Id="rId132"/><Relationship Type="http://schemas.openxmlformats.org/officeDocument/2006/relationships/hyperlink" Target="https://www.builtinnyc.com/company/radar" TargetMode="External" Id="rId133"/><Relationship Type="http://schemas.openxmlformats.org/officeDocument/2006/relationships/hyperlink" Target="https://commercialobserver.com/2026/04/adyen-lease-111-115-fifth-avenue/" TargetMode="External" Id="rId134"/><Relationship Type="http://schemas.openxmlformats.org/officeDocument/2006/relationships/hyperlink" Target="https://thevitacococompany.com" TargetMode="External" Id="rId135"/><Relationship Type="http://schemas.openxmlformats.org/officeDocument/2006/relationships/hyperlink" Target="https://www.sec.gov/Archives/edgar/data/1482981/000148298126000022/coco-20251231.htm" TargetMode="External" Id="rId136"/><Relationship Type="http://schemas.openxmlformats.org/officeDocument/2006/relationships/hyperlink" Target="https://www.sec.gov/Archives/edgar/data/1482981/000148298126000022/coco-20251231.htm" TargetMode="External" Id="rId137"/><Relationship Type="http://schemas.openxmlformats.org/officeDocument/2006/relationships/hyperlink" Target="https://commercialobserver.com/2024/09/vita-coco-111-fifth-avenue/" TargetMode="External" Id="rId138"/><Relationship Type="http://schemas.openxmlformats.org/officeDocument/2006/relationships/hyperlink" Target="https://aterian.io" TargetMode="External" Id="rId139"/><Relationship Type="http://schemas.openxmlformats.org/officeDocument/2006/relationships/hyperlink" Target="https://www.builtinnyc.com/company/aterian" TargetMode="External" Id="rId140"/><Relationship Type="http://schemas.openxmlformats.org/officeDocument/2006/relationships/hyperlink" Target="https://www.builtinnyc.com/company/aterian/offices" TargetMode="External" Id="rId141"/><Relationship Type="http://schemas.openxmlformats.org/officeDocument/2006/relationships/hyperlink" Target="https://commercialobserver.com/2026/06/phia-lease-zar-property-37-east-18th-street/" TargetMode="External" Id="rId142"/><Relationship Type="http://schemas.openxmlformats.org/officeDocument/2006/relationships/hyperlink" Target="https://phia.com" TargetMode="External" Id="rId143"/><Relationship Type="http://schemas.openxmlformats.org/officeDocument/2006/relationships/hyperlink" Target="https://commercialobserver.com/2026/06/phia-lease-zar-property-37-east-18th-street/" TargetMode="External" Id="rId144"/><Relationship Type="http://schemas.openxmlformats.org/officeDocument/2006/relationships/hyperlink" Target="https://gtsx.com" TargetMode="External" Id="rId145"/><Relationship Type="http://schemas.openxmlformats.org/officeDocument/2006/relationships/hyperlink" Target="https://www.builtinnyc.com/company/gts" TargetMode="External" Id="rId146"/><Relationship Type="http://schemas.openxmlformats.org/officeDocument/2006/relationships/hyperlink" Target="https://commercialobserver.com/2024/11/trading-firm-gts-lease-625-avenue-of-the-americas/" TargetMode="External" Id="rId147"/><Relationship Type="http://schemas.openxmlformats.org/officeDocument/2006/relationships/hyperlink" Target="https://gtsx.com/locations/" TargetMode="External" Id="rId148"/><Relationship Type="http://schemas.openxmlformats.org/officeDocument/2006/relationships/hyperlink" Target="https://www.morningbrew.com" TargetMode="External" Id="rId149"/><Relationship Type="http://schemas.openxmlformats.org/officeDocument/2006/relationships/hyperlink" Target="https://www.builtinnyc.com/company/morning-brew" TargetMode="External" Id="rId150"/><Relationship Type="http://schemas.openxmlformats.org/officeDocument/2006/relationships/hyperlink" Target="https://www.builtinnyc.com/company/morning-brew/offices" TargetMode="External" Id="rId151"/><Relationship Type="http://schemas.openxmlformats.org/officeDocument/2006/relationships/hyperlink" Target="https://commercialobserver.com/2022/02/morning-brew-lease-flatiron-district-22-west-19th-street-kaufman-organization/" TargetMode="External" Id="rId152"/><Relationship Type="http://schemas.openxmlformats.org/officeDocument/2006/relationships/hyperlink" Target="https://bombas.com" TargetMode="External" Id="rId153"/><Relationship Type="http://schemas.openxmlformats.org/officeDocument/2006/relationships/hyperlink" Target="https://www.builtinnyc.com/company/bombas" TargetMode="External" Id="rId154"/><Relationship Type="http://schemas.openxmlformats.org/officeDocument/2006/relationships/hyperlink" Target="https://www.builtinnyc.com/company/bombas/offices" TargetMode="External" Id="rId155"/><Relationship Type="http://schemas.openxmlformats.org/officeDocument/2006/relationships/hyperlink" Target="https://commercialobserver.com/2019/04/bombas-lease-881-broadway-the-winter-organization/" TargetMode="External" Id="rId156"/><Relationship Type="http://schemas.openxmlformats.org/officeDocument/2006/relationships/hyperlink" Target="https://www.extend.ai" TargetMode="External" Id="rId157"/><Relationship Type="http://schemas.openxmlformats.org/officeDocument/2006/relationships/hyperlink" Target="https://commercialobserver.com/2026/08/extend-ai-lease-119-fifth-avenue/" TargetMode="External" Id="rId158"/><Relationship Type="http://schemas.openxmlformats.org/officeDocument/2006/relationships/hyperlink" Target="https://www.extend.ai/" TargetMode="External" Id="rId159"/><Relationship Type="http://schemas.openxmlformats.org/officeDocument/2006/relationships/hyperlink" Target="https://commercialobserver.com/2019/10/left-right-lease-39-west-19th-street-rosen-family/" TargetMode="External" Id="rId160"/><Relationship Type="http://schemas.openxmlformats.org/officeDocument/2006/relationships/hyperlink" Target="https://www.stash.com" TargetMode="External" Id="rId161"/><Relationship Type="http://schemas.openxmlformats.org/officeDocument/2006/relationships/hyperlink" Target="https://www.builtinnyc.com/company/stash" TargetMode="External" Id="rId162"/><Relationship Type="http://schemas.openxmlformats.org/officeDocument/2006/relationships/hyperlink" Target="https://commercialobserver.com/2026/09/stash-financial-lease-641-avenue-of-the-americas/" TargetMode="External" Id="rId163"/><Relationship Type="http://schemas.openxmlformats.org/officeDocument/2006/relationships/hyperlink" Target="https://hex.tech" TargetMode="External" Id="rId164"/><Relationship Type="http://schemas.openxmlformats.org/officeDocument/2006/relationships/hyperlink" Target="https://www.builtinnyc.com/company/hex" TargetMode="External" Id="rId165"/><Relationship Type="http://schemas.openxmlformats.org/officeDocument/2006/relationships/hyperlink" Target="https://commercialobserver.com/2026/01/hex-technologies-lease-feil-250-park-avenue-south/" TargetMode="External" Id="rId166"/><Relationship Type="http://schemas.openxmlformats.org/officeDocument/2006/relationships/hyperlink" Target="https://nyrej.com/print/57161" TargetMode="External" Id="rId167"/><Relationship Type="http://schemas.openxmlformats.org/officeDocument/2006/relationships/hyperlink" Target="https://www.pentagram.com" TargetMode="External" Id="rId168"/><Relationship Type="http://schemas.openxmlformats.org/officeDocument/2006/relationships/hyperlink" Target="https://www.pentagram.com/contact" TargetMode="External" Id="rId169"/><Relationship Type="http://schemas.openxmlformats.org/officeDocument/2006/relationships/hyperlink" Target="https://commercialobserver.com/2026/01/hex-technologies-lease-feil-250-park-avenue-south/" TargetMode="External" Id="rId170"/><Relationship Type="http://schemas.openxmlformats.org/officeDocument/2006/relationships/hyperlink" Target="https://www.wilsondaniels.com" TargetMode="External" Id="rId171"/><Relationship Type="http://schemas.openxmlformats.org/officeDocument/2006/relationships/hyperlink" Target="https://commercialobserver.com/2025/06/wilson-daniels-lease-250-park-avenue-south/" TargetMode="External" Id="rId172"/><Relationship Type="http://schemas.openxmlformats.org/officeDocument/2006/relationships/hyperlink" Target="https://commercialobserver.com/2026/01/hex-technologies-lease-feil-250-park-avenue-south/" TargetMode="External" Id="rId173"/><Relationship Type="http://schemas.openxmlformats.org/officeDocument/2006/relationships/hyperlink" Target="https://commercialobserver.com/2024/08/christies-international-real-estate-group-lease-156-fifth-avenue/" TargetMode="External" Id="rId174"/><Relationship Type="http://schemas.openxmlformats.org/officeDocument/2006/relationships/hyperlink" Target="https://commercialobserver.com/2024/08/christies-international-real-estate-group-lease-156-fifth-avenue/" TargetMode="External" Id="rId175"/><Relationship Type="http://schemas.openxmlformats.org/officeDocument/2006/relationships/hyperlink" Target="https://www.warp.co" TargetMode="External" Id="rId176"/><Relationship Type="http://schemas.openxmlformats.org/officeDocument/2006/relationships/hyperlink" Target="https://www.builtinnyc.com/company/warp" TargetMode="External" Id="rId177"/><Relationship Type="http://schemas.openxmlformats.org/officeDocument/2006/relationships/hyperlink" Target="https://commercialobserver.com/2026/08/warp-triple-lease-expansion-hrc-156-fifth-avenue/" TargetMode="External" Id="rId178"/><Relationship Type="http://schemas.openxmlformats.org/officeDocument/2006/relationships/hyperlink" Target="https://www.daily-harvest.com" TargetMode="External" Id="rId179"/><Relationship Type="http://schemas.openxmlformats.org/officeDocument/2006/relationships/hyperlink" Target="https://www.builtinnyc.com/company/daily-harvest" TargetMode="External" Id="rId180"/><Relationship Type="http://schemas.openxmlformats.org/officeDocument/2006/relationships/hyperlink" Target="https://www.builtinnyc.com/company/daily-harvest/offices" TargetMode="External" Id="rId181"/><Relationship Type="http://schemas.openxmlformats.org/officeDocument/2006/relationships/hyperlink" Target="https://www.manifestlaw.com" TargetMode="External" Id="rId182"/><Relationship Type="http://schemas.openxmlformats.org/officeDocument/2006/relationships/hyperlink" Target="https://commercialobserver.com/2026/08/manifest-law-sublease-koeppel-rosen-902-broadway/" TargetMode="External" Id="rId183"/><Relationship Type="http://schemas.openxmlformats.org/officeDocument/2006/relationships/hyperlink" Target="https://www.hudsoninc.com" TargetMode="External" Id="rId184"/><Relationship Type="http://schemas.openxmlformats.org/officeDocument/2006/relationships/hyperlink" Target="https://commercialobserver.com/2026/03/hudson-companies-broadway-builders-lease-902-broadway/" TargetMode="External" Id="rId185"/><Relationship Type="http://schemas.openxmlformats.org/officeDocument/2006/relationships/hyperlink" Target="https://rebusinessonline.com/hudson-cos-broadway-builders-sign-18200-sf-office-lease-in-manhattans-flatiron-district/" TargetMode="External" Id="rId186"/><Relationship Type="http://schemas.openxmlformats.org/officeDocument/2006/relationships/hyperlink" Target="https://www.williamgrant.com" TargetMode="External" Id="rId187"/><Relationship Type="http://schemas.openxmlformats.org/officeDocument/2006/relationships/hyperlink" Target="https://commercialobserver.com/2024/12/william-grant-sons-lease-902-broadway/" TargetMode="External" Id="rId188"/><Relationship Type="http://schemas.openxmlformats.org/officeDocument/2006/relationships/hyperlink" Target="https://commercialobserver.com/2026/03/hudson-companies-broadway-builders-lease-902-broadway/" TargetMode="External" Id="rId189"/><Relationship Type="http://schemas.openxmlformats.org/officeDocument/2006/relationships/hyperlink" Target="https://www.argentic.com" TargetMode="External" Id="rId190"/><Relationship Type="http://schemas.openxmlformats.org/officeDocument/2006/relationships/hyperlink" Target="https://commercialobserver.com/2026/04/argentic-investment-management-lease-257-park-avenue-south/" TargetMode="External" Id="rId191"/><Relationship Type="http://schemas.openxmlformats.org/officeDocument/2006/relationships/hyperlink" Target="https://rebusinessonline.com/argentic-investment-management-signs-13000-sf-office-lease-in-manhattans-flatiron-district/" TargetMode="External" Id="rId192"/><Relationship Type="http://schemas.openxmlformats.org/officeDocument/2006/relationships/hyperlink" Target="https://www.beachwold.com" TargetMode="External" Id="rId193"/><Relationship Type="http://schemas.openxmlformats.org/officeDocument/2006/relationships/hyperlink" Target="https://commercialobserver.com/2022/07/paul-smith-beachwold-residential-sign-for-full-floors-at-257-park-avenue-south/" TargetMode="External" Id="rId194"/><Relationship Type="http://schemas.openxmlformats.org/officeDocument/2006/relationships/hyperlink" Target="https://www.isaia.it" TargetMode="External" Id="rId195"/><Relationship Type="http://schemas.openxmlformats.org/officeDocument/2006/relationships/hyperlink" Target="https://commercialobserver.com/2026/07/isaia-lease-feil-257-park-avenue-south/" TargetMode="External" Id="rId196"/><Relationship Type="http://schemas.openxmlformats.org/officeDocument/2006/relationships/hyperlink" Target="https://www.optionsgroup.com" TargetMode="External" Id="rId197"/><Relationship Type="http://schemas.openxmlformats.org/officeDocument/2006/relationships/hyperlink" Target="https://commercialobserver.com/2025/09/angellist-lease-257-park-avenue-south/" TargetMode="External" Id="rId198"/><Relationship Type="http://schemas.openxmlformats.org/officeDocument/2006/relationships/hyperlink" Target="https://www.paulsmith.com" TargetMode="External" Id="rId199"/><Relationship Type="http://schemas.openxmlformats.org/officeDocument/2006/relationships/hyperlink" Target="https://commercialobserver.com/2022/07/paul-smith-beachwold-residential-sign-for-full-floors-at-257-park-avenue-south/" TargetMode="External" Id="rId200"/><Relationship Type="http://schemas.openxmlformats.org/officeDocument/2006/relationships/hyperlink" Target="https://commercialobserver.com/2024/04/pei-architects-renewals-13k-sf-at-257-park-avenue-south/" TargetMode="External" Id="rId201"/><Relationship Type="http://schemas.openxmlformats.org/officeDocument/2006/relationships/hyperlink" Target="https://www.phippsny.org" TargetMode="External" Id="rId202"/><Relationship Type="http://schemas.openxmlformats.org/officeDocument/2006/relationships/hyperlink" Target="https://www.phippsny.org/contact-us/" TargetMode="External" Id="rId203"/><Relationship Type="http://schemas.openxmlformats.org/officeDocument/2006/relationships/hyperlink" Target="https://commercialobserver.com/2024/07/phipps-houses-feil-organization-257-park-avenue-south/" TargetMode="External" Id="rId204"/><Relationship Type="http://schemas.openxmlformats.org/officeDocument/2006/relationships/hyperlink" Target="https://www.actively.ai" TargetMode="External" Id="rId205"/><Relationship Type="http://schemas.openxmlformats.org/officeDocument/2006/relationships/hyperlink" Target="https://www.builtinnyc.com/company/actively-ai" TargetMode="External" Id="rId206"/><Relationship Type="http://schemas.openxmlformats.org/officeDocument/2006/relationships/hyperlink" Target="https://commercialobserver.com/2025/04/actively-ai-lease-30-west-21st-street/" TargetMode="External" Id="rId207"/><Relationship Type="http://schemas.openxmlformats.org/officeDocument/2006/relationships/hyperlink" Target="https://www.actively.ai/" TargetMode="External" Id="rId208"/><Relationship Type="http://schemas.openxmlformats.org/officeDocument/2006/relationships/hyperlink" Target="https://vivaldigroup.com" TargetMode="External" Id="rId209"/><Relationship Type="http://schemas.openxmlformats.org/officeDocument/2006/relationships/hyperlink" Target="https://vivaldigroup.com/contact/" TargetMode="External" Id="rId210"/><Relationship Type="http://schemas.openxmlformats.org/officeDocument/2006/relationships/hyperlink" Target="https://commercialobserver.com/2025/04/actively-ai-lease-30-west-21st-street/" TargetMode="External" Id="rId211"/><Relationship Type="http://schemas.openxmlformats.org/officeDocument/2006/relationships/hyperlink" Target="https://commercialobserver.com/2021/04/tech-educator-general-assembly-renews-at-915-broadway/" TargetMode="External" Id="rId212"/><Relationship Type="http://schemas.openxmlformats.org/officeDocument/2006/relationships/hyperlink" Target="https://www.metro-manhattan.com/buildings/915-broadway-office-space-for-lease/" TargetMode="External" Id="rId213"/><Relationship Type="http://schemas.openxmlformats.org/officeDocument/2006/relationships/hyperlink" Target="https://retool.com" TargetMode="External" Id="rId214"/><Relationship Type="http://schemas.openxmlformats.org/officeDocument/2006/relationships/hyperlink" Target="https://www.builtinnyc.com/company/retool" TargetMode="External" Id="rId215"/><Relationship Type="http://schemas.openxmlformats.org/officeDocument/2006/relationships/hyperlink" Target="https://www.builtinnyc.com/company/retool/offices" TargetMode="External" Id="rId216"/><Relationship Type="http://schemas.openxmlformats.org/officeDocument/2006/relationships/hyperlink" Target="https://commercialobserver.com/2025/01/euclidean-capital-lease-149-fifth-avenue/" TargetMode="External" Id="rId217"/><Relationship Type="http://schemas.openxmlformats.org/officeDocument/2006/relationships/hyperlink" Target="https://www.cobaltsp.com" TargetMode="External" Id="rId218"/><Relationship Type="http://schemas.openxmlformats.org/officeDocument/2006/relationships/hyperlink" Target="https://commercialobserver.com/2025/02/cobalt-service-partners-lease-40-west-17th-street/" TargetMode="External" Id="rId219"/><Relationship Type="http://schemas.openxmlformats.org/officeDocument/2006/relationships/hyperlink" Target="https://commercialobserver.com/2025/05/instant-lease-moinian-53-55-west-21st-street/" TargetMode="External" Id="rId220"/><Relationship Type="http://schemas.openxmlformats.org/officeDocument/2006/relationships/hyperlink" Target="https://instant.one" TargetMode="External" Id="rId221"/><Relationship Type="http://schemas.openxmlformats.org/officeDocument/2006/relationships/hyperlink" Target="https://www.builtinnyc.com/company/instant" TargetMode="External" Id="rId222"/><Relationship Type="http://schemas.openxmlformats.org/officeDocument/2006/relationships/hyperlink" Target="https://commercialobserver.com/2025/05/instant-lease-moinian-53-55-west-21st-street/" TargetMode="External" Id="rId223"/><Relationship Type="http://schemas.openxmlformats.org/officeDocument/2006/relationships/hyperlink" Target="https://playplay.com" TargetMode="External" Id="rId224"/><Relationship Type="http://schemas.openxmlformats.org/officeDocument/2006/relationships/hyperlink" Target="https://www.builtinnyc.com/company/playplay" TargetMode="External" Id="rId225"/><Relationship Type="http://schemas.openxmlformats.org/officeDocument/2006/relationships/hyperlink" Target="https://commercialobserver.com/2025/05/instant-lease-moinian-53-55-west-21st-street/" TargetMode="External" Id="rId226"/><Relationship Type="http://schemas.openxmlformats.org/officeDocument/2006/relationships/hyperlink" Target="https://www.varley.com" TargetMode="External" Id="rId227"/><Relationship Type="http://schemas.openxmlformats.org/officeDocument/2006/relationships/hyperlink" Target="https://commercialobserver.com/2025/04/vitesse-psp-lease-155-fifth-avenue/" TargetMode="External" Id="rId228"/><Relationship Type="http://schemas.openxmlformats.org/officeDocument/2006/relationships/hyperlink" Target="https://www.vitesse.io" TargetMode="External" Id="rId229"/><Relationship Type="http://schemas.openxmlformats.org/officeDocument/2006/relationships/hyperlink" Target="https://commercialobserver.com/2025/04/vitesse-psp-lease-155-fifth-avenue/" TargetMode="External" Id="rId230"/><Relationship Type="http://schemas.openxmlformats.org/officeDocument/2006/relationships/hyperlink" Target="https://www.candidhealth.com" TargetMode="External" Id="rId231"/><Relationship Type="http://schemas.openxmlformats.org/officeDocument/2006/relationships/hyperlink" Target="https://www.builtinnyc.com/company/candid" TargetMode="External" Id="rId232"/><Relationship Type="http://schemas.openxmlformats.org/officeDocument/2006/relationships/hyperlink" Target="https://commercialobserver.com/2026/01/candid-health-lease-675-avenue-of-the-americas/" TargetMode="External" Id="rId233"/><Relationship Type="http://schemas.openxmlformats.org/officeDocument/2006/relationships/hyperlink" Target="https://rebusinessonline.com/candid-health-signs-28687-sf-office-lease-in-midtown-manhattan/" TargetMode="External" Id="rId234"/><Relationship Type="http://schemas.openxmlformats.org/officeDocument/2006/relationships/hyperlink" Target="https://compstak.com" TargetMode="External" Id="rId235"/><Relationship Type="http://schemas.openxmlformats.org/officeDocument/2006/relationships/hyperlink" Target="https://www.builtinnyc.com/company/compstak" TargetMode="External" Id="rId236"/><Relationship Type="http://schemas.openxmlformats.org/officeDocument/2006/relationships/hyperlink" Target="https://www.builtinnyc.com/company/compstak/offices" TargetMode="External" Id="rId237"/><Relationship Type="http://schemas.openxmlformats.org/officeDocument/2006/relationships/hyperlink" Target="https://commercialobserver.com/2022/12/compstak-leases-27k-sf-at-675-avenue-of-the-americas/" TargetMode="External" Id="rId238"/><Relationship Type="http://schemas.openxmlformats.org/officeDocument/2006/relationships/hyperlink" Target="https://www.synthesia.io" TargetMode="External" Id="rId239"/><Relationship Type="http://schemas.openxmlformats.org/officeDocument/2006/relationships/hyperlink" Target="https://www.builtinnyc.com/company/synthesia" TargetMode="External" Id="rId240"/><Relationship Type="http://schemas.openxmlformats.org/officeDocument/2006/relationships/hyperlink" Target="https://commercialobserver.com/2026/10/synthesia-lease-gfp-675-avenue-of-the-americas/" TargetMode="External" Id="rId241"/><Relationship Type="http://schemas.openxmlformats.org/officeDocument/2006/relationships/hyperlink" Target="https://www.empathy.com" TargetMode="External" Id="rId242"/><Relationship Type="http://schemas.openxmlformats.org/officeDocument/2006/relationships/hyperlink" Target="https://www.builtinnyc.com/company/empathy" TargetMode="External" Id="rId243"/><Relationship Type="http://schemas.openxmlformats.org/officeDocument/2006/relationships/hyperlink" Target="https://www.builtinnyc.com/company/empathy/offices" TargetMode="External" Id="rId244"/><Relationship Type="http://schemas.openxmlformats.org/officeDocument/2006/relationships/hyperlink" Target="https://commercialobserver.com/2024/03/nyu-langones-empathy-project-takes-6k-sf-in-flatiron-district/" TargetMode="External" Id="rId245"/><Relationship Type="http://schemas.openxmlformats.org/officeDocument/2006/relationships/hyperlink" Target="https://sharmabrands.com" TargetMode="External" Id="rId246"/><Relationship Type="http://schemas.openxmlformats.org/officeDocument/2006/relationships/hyperlink" Target="https://commercialobserver.com/2022/11/sharma-brands-leases-6k-sf-at-56-west-22nd-street/" TargetMode="External" Id="rId247"/><Relationship Type="http://schemas.openxmlformats.org/officeDocument/2006/relationships/hyperlink" Target="https://www.theinformation.com" TargetMode="External" Id="rId248"/><Relationship Type="http://schemas.openxmlformats.org/officeDocument/2006/relationships/hyperlink" Target="https://www.theinformation.com/about" TargetMode="External" Id="rId249"/><Relationship Type="http://schemas.openxmlformats.org/officeDocument/2006/relationships/hyperlink" Target="https://commercialobserver.com/2022/06/the-information-20-west-22nd-street/" TargetMode="External" Id="rId250"/><Relationship Type="http://schemas.openxmlformats.org/officeDocument/2006/relationships/hyperlink" Target="https://www.heardcity.com" TargetMode="External" Id="rId251"/><Relationship Type="http://schemas.openxmlformats.org/officeDocument/2006/relationships/hyperlink" Target="https://www.heardcity.com/contact" TargetMode="External" Id="rId252"/><Relationship Type="http://schemas.openxmlformats.org/officeDocument/2006/relationships/hyperlink" Target="https://commercialobserver.com/2022/02/recording-studio-heard-city-re-ups-13k-sf-lease-in-flatiron-district/" TargetMode="External" Id="rId253"/><Relationship Type="http://schemas.openxmlformats.org/officeDocument/2006/relationships/hyperlink" Target="https://www.psychologytoday.com" TargetMode="External" Id="rId254"/><Relationship Type="http://schemas.openxmlformats.org/officeDocument/2006/relationships/hyperlink" Target="https://commercialobserver.com/2023/11/psychology-today-16-west-22nd-street-lease-relocation/" TargetMode="External" Id="rId255"/><Relationship Type="http://schemas.openxmlformats.org/officeDocument/2006/relationships/hyperlink" Target="https://www.hungryroot.com" TargetMode="External" Id="rId256"/><Relationship Type="http://schemas.openxmlformats.org/officeDocument/2006/relationships/hyperlink" Target="https://www.builtinnyc.com/company/hungryroot" TargetMode="External" Id="rId257"/><Relationship Type="http://schemas.openxmlformats.org/officeDocument/2006/relationships/hyperlink" Target="https://commercialobserver.com/2019/11/hungryroot-lease-7-west-22nd-street/" TargetMode="External" Id="rId258"/><Relationship Type="http://schemas.openxmlformats.org/officeDocument/2006/relationships/hyperlink" Target="https://www.1stdibs.com/" TargetMode="External" Id="rId259"/><Relationship Type="http://schemas.openxmlformats.org/officeDocument/2006/relationships/hyperlink" Target="https://www.builtinnyc.com/company/1stdibs/offices" TargetMode="External" Id="rId260"/><Relationship Type="http://schemas.openxmlformats.org/officeDocument/2006/relationships/hyperlink" Target="https://www.1stdibs.com/about/user-agreement/" TargetMode="External" Id="rId261"/><Relationship Type="http://schemas.openxmlformats.org/officeDocument/2006/relationships/hyperlink" Target="https://commercialobserver.com/2025/08/flexible-finance-relocating-41k-sf-300-park-avenue-south/" TargetMode="External" Id="rId262"/><Relationship Type="http://schemas.openxmlformats.org/officeDocument/2006/relationships/hyperlink" Target="https://commercialobserver.com/2025/08/flexible-finance-relocating-41k-sf-300-park-avenue-south/" TargetMode="External" Id="rId263"/><Relationship Type="http://schemas.openxmlformats.org/officeDocument/2006/relationships/hyperlink" Target="https://therealdeal.com/new-york/2025/09/02/top-office-leases-nyc-in-august-2025/" TargetMode="External" Id="rId264"/><Relationship Type="http://schemas.openxmlformats.org/officeDocument/2006/relationships/hyperlink" Target="https://kodansha.us/" TargetMode="External" Id="rId265"/><Relationship Type="http://schemas.openxmlformats.org/officeDocument/2006/relationships/hyperlink" Target="https://kodansha.us/privacy-policy/" TargetMode="External" Id="rId266"/><Relationship Type="http://schemas.openxmlformats.org/officeDocument/2006/relationships/hyperlink" Target="https://flatironnomad.nyc/2024/02/07/january-news-roundup-5/" TargetMode="External" Id="rId267"/><Relationship Type="http://schemas.openxmlformats.org/officeDocument/2006/relationships/hyperlink" Target="https://wearebmf.com/" TargetMode="External" Id="rId268"/><Relationship Type="http://schemas.openxmlformats.org/officeDocument/2006/relationships/hyperlink" Target="https://www.builtinnyc.com/company/bmf/offices" TargetMode="External" Id="rId269"/><Relationship Type="http://schemas.openxmlformats.org/officeDocument/2006/relationships/hyperlink" Target="https://commercialobserver.com/?p=544473" TargetMode="External" Id="rId270"/><Relationship Type="http://schemas.openxmlformats.org/officeDocument/2006/relationships/hyperlink" Target="https://nyrej.com/index.php/two-new-leases-signed-at-50-west-23rd-st" TargetMode="External" Id="rId271"/><Relationship Type="http://schemas.openxmlformats.org/officeDocument/2006/relationships/hyperlink" Target="https://foursquare.com/" TargetMode="External" Id="rId272"/><Relationship Type="http://schemas.openxmlformats.org/officeDocument/2006/relationships/hyperlink" Target="https://www.builtinnyc.com/company/foursquare/offices" TargetMode="External" Id="rId273"/><Relationship Type="http://schemas.openxmlformats.org/officeDocument/2006/relationships/hyperlink" Target="https://www.builtinnyc.com/company/foursquare/offices" TargetMode="External" Id="rId274"/><Relationship Type="http://schemas.openxmlformats.org/officeDocument/2006/relationships/hyperlink" Target="https://nyrej.com/index.php/two-new-leases-signed-at-50-west-23rd-st" TargetMode="External" Id="rId275"/><Relationship Type="http://schemas.openxmlformats.org/officeDocument/2006/relationships/hyperlink" Target="https://www.inspiren.com/" TargetMode="External" Id="rId276"/><Relationship Type="http://schemas.openxmlformats.org/officeDocument/2006/relationships/hyperlink" Target="https://www.builtinnyc.com/company/inspiren/offices" TargetMode="External" Id="rId277"/><Relationship Type="http://schemas.openxmlformats.org/officeDocument/2006/relationships/hyperlink" Target="https://commercialobserver.com/2026/09/normal-computing-inspiren-leases-61-west-23rd-street/" TargetMode="External" Id="rId278"/><Relationship Type="http://schemas.openxmlformats.org/officeDocument/2006/relationships/hyperlink" Target="https://www.builtinnyc.com/company/inspiren/offices" TargetMode="External" Id="rId279"/><Relationship Type="http://schemas.openxmlformats.org/officeDocument/2006/relationships/hyperlink" Target="https://normalcomputing.com/" TargetMode="External" Id="rId280"/><Relationship Type="http://schemas.openxmlformats.org/officeDocument/2006/relationships/hyperlink" Target="https://www.builtinnyc.com/company/normal-computing/offices" TargetMode="External" Id="rId281"/><Relationship Type="http://schemas.openxmlformats.org/officeDocument/2006/relationships/hyperlink" Target="https://commercialobserver.com/2026/09/normal-computing-inspiren-leases-61-west-23rd-street/" TargetMode="External" Id="rId282"/><Relationship Type="http://schemas.openxmlformats.org/officeDocument/2006/relationships/hyperlink" Target="https://flatironnomad.nyc/2026/10/07/september-news-roundup-7/" TargetMode="External" Id="rId283"/><Relationship Type="http://schemas.openxmlformats.org/officeDocument/2006/relationships/hyperlink" Target="https://www.brainpop.com/" TargetMode="External" Id="rId284"/><Relationship Type="http://schemas.openxmlformats.org/officeDocument/2006/relationships/hyperlink" Target="https://www.builtinnyc.com/company/brainpop/offices" TargetMode="External" Id="rId285"/><Relationship Type="http://schemas.openxmlformats.org/officeDocument/2006/relationships/hyperlink" Target="https://www.brainpop.com/discover/terms-of-use" TargetMode="External" Id="rId286"/><Relationship Type="http://schemas.openxmlformats.org/officeDocument/2006/relationships/hyperlink" Target="https://www.builtinnyc.com/company/brainpop/offices" TargetMode="External" Id="rId287"/><Relationship Type="http://schemas.openxmlformats.org/officeDocument/2006/relationships/hyperlink" Target="https://chalk.ai/" TargetMode="External" Id="rId288"/><Relationship Type="http://schemas.openxmlformats.org/officeDocument/2006/relationships/hyperlink" Target="https://www.builtinnyc.com/company/chalk/offices" TargetMode="External" Id="rId289"/><Relationship Type="http://schemas.openxmlformats.org/officeDocument/2006/relationships/hyperlink" Target="https://commercialobserver.com/2026/07/chalk-ai-lease-flatiron-43-west-23rd-street/" TargetMode="External" Id="rId290"/><Relationship Type="http://schemas.openxmlformats.org/officeDocument/2006/relationships/hyperlink" Target="https://www.laforce.com/" TargetMode="External" Id="rId291"/><Relationship Type="http://schemas.openxmlformats.org/officeDocument/2006/relationships/hyperlink" Target="https://commercialobserver.com/2025/10/huge-lease-adams-53-west-23rd-street/" TargetMode="External" Id="rId292"/><Relationship Type="http://schemas.openxmlformats.org/officeDocument/2006/relationships/hyperlink" Target="https://triplelift.com/" TargetMode="External" Id="rId293"/><Relationship Type="http://schemas.openxmlformats.org/officeDocument/2006/relationships/hyperlink" Target="https://www.builtinnyc.com/company/triplelift/offices" TargetMode="External" Id="rId294"/><Relationship Type="http://schemas.openxmlformats.org/officeDocument/2006/relationships/hyperlink" Target="https://triplelift.com/contact-us/" TargetMode="External" Id="rId295"/><Relationship Type="http://schemas.openxmlformats.org/officeDocument/2006/relationships/hyperlink" Target="https://www.builtinnyc.com/company/triplelift/offices" TargetMode="External" Id="rId296"/><Relationship Type="http://schemas.openxmlformats.org/officeDocument/2006/relationships/hyperlink" Target="https://www.harvey.ai/" TargetMode="External" Id="rId297"/><Relationship Type="http://schemas.openxmlformats.org/officeDocument/2006/relationships/hyperlink" Target="https://www.builtinnyc.com/company/harvey/offices" TargetMode="External" Id="rId298"/><Relationship Type="http://schemas.openxmlformats.org/officeDocument/2006/relationships/hyperlink" Target="https://commercialobserver.com/2026/03/harvey-ai-expansion-lease-sl-green-one-madison-avenue/" TargetMode="External" Id="rId299"/><Relationship Type="http://schemas.openxmlformats.org/officeDocument/2006/relationships/hyperlink" Target="https://flatironnomad.nyc/newsletter/april-23-2026-flatiron-nomad-economic-development-snapshot-q1-2026/" TargetMode="External" Id="rId300"/><Relationship Type="http://schemas.openxmlformats.org/officeDocument/2006/relationships/hyperlink" Target="https://www.clay.com/" TargetMode="External" Id="rId301"/><Relationship Type="http://schemas.openxmlformats.org/officeDocument/2006/relationships/hyperlink" Target="https://www.builtinnyc.com/company/clay/offices" TargetMode="External" Id="rId302"/><Relationship Type="http://schemas.openxmlformats.org/officeDocument/2006/relationships/hyperlink" Target="https://commercialobserver.com/2026/03/clay-ai-lease-sl-green-11-madison-avenue/" TargetMode="External" Id="rId303"/><Relationship Type="http://schemas.openxmlformats.org/officeDocument/2006/relationships/hyperlink" Target="https://www.metro-manhattan.com/neighborhoods/midtown-south/flatiron/" TargetMode="External" Id="rId304"/><Relationship Type="http://schemas.openxmlformats.org/officeDocument/2006/relationships/hyperlink" Target="https://madisonsquarepark.org/" TargetMode="External" Id="rId305"/><Relationship Type="http://schemas.openxmlformats.org/officeDocument/2006/relationships/hyperlink" Target="https://madisonsquarepark.org/park/contact/" TargetMode="External" Id="rId306"/><Relationship Type="http://schemas.openxmlformats.org/officeDocument/2006/relationships/hyperlink" Target="https://www.orbital.tech/" TargetMode="External" Id="rId307"/><Relationship Type="http://schemas.openxmlformats.org/officeDocument/2006/relationships/hyperlink" Target="https://www.builtinnyc.com/company/orbital" TargetMode="External" Id="rId308"/><Relationship Type="http://schemas.openxmlformats.org/officeDocument/2006/relationships/hyperlink" Target="https://commercialobserver.com/2026/09/orbital-ai-lease-kaufman-organization-40-west-25th-street/" TargetMode="External" Id="rId309"/><Relationship Type="http://schemas.openxmlformats.org/officeDocument/2006/relationships/hyperlink" Target="https://www.ellevest.com/" TargetMode="External" Id="rId310"/><Relationship Type="http://schemas.openxmlformats.org/officeDocument/2006/relationships/hyperlink" Target="https://www.builtinnyc.com/company/ellevest/offices" TargetMode="External" Id="rId311"/><Relationship Type="http://schemas.openxmlformats.org/officeDocument/2006/relationships/hyperlink" Target="https://www.builtinnyc.com/company/ellevest/offices" TargetMode="External" Id="rId312"/><Relationship Type="http://schemas.openxmlformats.org/officeDocument/2006/relationships/hyperlink" Target="https://www.mediacoholding.com/" TargetMode="External" Id="rId313"/><Relationship Type="http://schemas.openxmlformats.org/officeDocument/2006/relationships/hyperlink" Target="https://commercialobserver.com/2026/08/sapien-ai-lease-kaufman-organization-48-west-25th-street/" TargetMode="External" Id="rId314"/><Relationship Type="http://schemas.openxmlformats.org/officeDocument/2006/relationships/hyperlink" Target="https://commercialobserver.com/2026/08/sapien-ai-lease-kaufman-organization-48-west-25th-street/" TargetMode="External" Id="rId315"/><Relationship Type="http://schemas.openxmlformats.org/officeDocument/2006/relationships/hyperlink" Target="https://flatironnomad.nyc/2026/09/02/august-news-roundup-7/" TargetMode="External" Id="rId316"/><Relationship Type="http://schemas.openxmlformats.org/officeDocument/2006/relationships/hyperlink" Target="https://www.greenmountainenergy.com/" TargetMode="External" Id="rId317"/><Relationship Type="http://schemas.openxmlformats.org/officeDocument/2006/relationships/hyperlink" Target="https://www.builtinnyc.com/company/green-mountain-energy/offices" TargetMode="External" Id="rId318"/><Relationship Type="http://schemas.openxmlformats.org/officeDocument/2006/relationships/hyperlink" Target="https://commercialobserver.com/2026/01/purple-lease-16-madison-square-west/" TargetMode="External" Id="rId319"/><Relationship Type="http://schemas.openxmlformats.org/officeDocument/2006/relationships/hyperlink" Target="https://purplepr.com/" TargetMode="External" Id="rId320"/><Relationship Type="http://schemas.openxmlformats.org/officeDocument/2006/relationships/hyperlink" Target="https://commercialobserver.com/2026/01/purple-lease-16-madison-square-west/" TargetMode="External" Id="rId321"/><Relationship Type="http://schemas.openxmlformats.org/officeDocument/2006/relationships/hyperlink" Target="https://flatironnomad.nyc/2026/02/18/january-news-roundup-7/" TargetMode="External" Id="rId322"/><Relationship Type="http://schemas.openxmlformats.org/officeDocument/2006/relationships/hyperlink" Target="https://www.wellcomworldwide.com/" TargetMode="External" Id="rId323"/><Relationship Type="http://schemas.openxmlformats.org/officeDocument/2006/relationships/hyperlink" Target="https://www.builtinnyc.com/company/wellcom-worldwide/offices" TargetMode="External" Id="rId324"/><Relationship Type="http://schemas.openxmlformats.org/officeDocument/2006/relationships/hyperlink" Target="https://commercialobserver.com/2024/08/wellcom-worldwide-signs-24k-sf-lease-16-madison-square-west-manhattan/" TargetMode="External" Id="rId325"/><Relationship Type="http://schemas.openxmlformats.org/officeDocument/2006/relationships/hyperlink" Target="https://www.builtinnyc.com/company/wellcom-worldwide/offices" TargetMode="External" Id="rId326"/><Relationship Type="http://schemas.openxmlformats.org/officeDocument/2006/relationships/hyperlink" Target="https://brighttower.com" TargetMode="External" Id="rId327"/><Relationship Type="http://schemas.openxmlformats.org/officeDocument/2006/relationships/hyperlink" Target="https://commercialobserver.com/2026/03/brighttower-lease-rudin-41-madison-avenue/" TargetMode="External" Id="rId328"/><Relationship Type="http://schemas.openxmlformats.org/officeDocument/2006/relationships/hyperlink" Target="https://commercialobserver.com/2024/06/law-firm-clarick-gueron-reisbaum-signs-13k-sf-lease-at-rudins-41-madison-avenue/" TargetMode="External" Id="rId329"/><Relationship Type="http://schemas.openxmlformats.org/officeDocument/2006/relationships/hyperlink" Target="https://www.kvnational.com" TargetMode="External" Id="rId330"/><Relationship Type="http://schemas.openxmlformats.org/officeDocument/2006/relationships/hyperlink" Target="https://commercialobserver.com/2023/11/law-firm-kensington-vanguard-signs-13k-sf-lease-at-41-madison/" TargetMode="External" Id="rId331"/><Relationship Type="http://schemas.openxmlformats.org/officeDocument/2006/relationships/hyperlink" Target="https://polaramp.com" TargetMode="External" Id="rId332"/><Relationship Type="http://schemas.openxmlformats.org/officeDocument/2006/relationships/hyperlink" Target="https://commercialobserver.com/2026/05/polar-asset-management-partners-lease-rudin-41-madison-avenue/" TargetMode="External" Id="rId333"/><Relationship Type="http://schemas.openxmlformats.org/officeDocument/2006/relationships/hyperlink" Target="https://polaramp.com/contact" TargetMode="External" Id="rId334"/><Relationship Type="http://schemas.openxmlformats.org/officeDocument/2006/relationships/hyperlink" Target="https://tenberke.com" TargetMode="External" Id="rId335"/><Relationship Type="http://schemas.openxmlformats.org/officeDocument/2006/relationships/hyperlink" Target="https://tenberke.com/contact/" TargetMode="External" Id="rId336"/><Relationship Type="http://schemas.openxmlformats.org/officeDocument/2006/relationships/hyperlink" Target="https://commercialobserver.com/2022/12/deborah-berke-takes-13k-sf-at-41-madison-avenue/" TargetMode="External" Id="rId337"/><Relationship Type="http://schemas.openxmlformats.org/officeDocument/2006/relationships/hyperlink" Target="https://commercialobserver.com/2024/11/urban-atelier-group-lease-41-madison-avenue/" TargetMode="External" Id="rId338"/><Relationship Type="http://schemas.openxmlformats.org/officeDocument/2006/relationships/hyperlink" Target="https://commercialobserver.com/2026/09/zip-lease-rudin-41-madison-avenue/" TargetMode="External" Id="rId339"/><Relationship Type="http://schemas.openxmlformats.org/officeDocument/2006/relationships/hyperlink" Target="https://betches.com/" TargetMode="External" Id="rId340"/><Relationship Type="http://schemas.openxmlformats.org/officeDocument/2006/relationships/hyperlink" Target="https://commercialobserver.com/2026/01/betches-coming-360-park-avenue-south/" TargetMode="External" Id="rId341"/><Relationship Type="http://schemas.openxmlformats.org/officeDocument/2006/relationships/hyperlink" Target="https://www.connectcre.com/stories/bxp-secures-230k-sf-of-leases-at-360-park-ave-south/" TargetMode="External" Id="rId342"/><Relationship Type="http://schemas.openxmlformats.org/officeDocument/2006/relationships/hyperlink" Target="https://www.hunterpointcapital.com/" TargetMode="External" Id="rId343"/><Relationship Type="http://schemas.openxmlformats.org/officeDocument/2006/relationships/hyperlink" Target="https://www.connectcre.com/stories/bxp-secures-230k-sf-of-leases-at-360-park-ave-south/" TargetMode="External" Id="rId344"/><Relationship Type="http://schemas.openxmlformats.org/officeDocument/2006/relationships/hyperlink" Target="https://commercialobserver.com/?p=563472" TargetMode="External" Id="rId345"/><Relationship Type="http://schemas.openxmlformats.org/officeDocument/2006/relationships/hyperlink" Target="https://www.iconiq.com" TargetMode="External" Id="rId346"/><Relationship Type="http://schemas.openxmlformats.org/officeDocument/2006/relationships/hyperlink" Target="https://commercialobserver.com/2025/05/optiver-lease-360-park-avenue-south/" TargetMode="External" Id="rId347"/><Relationship Type="http://schemas.openxmlformats.org/officeDocument/2006/relationships/hyperlink" Target="https://rogo.com/" TargetMode="External" Id="rId348"/><Relationship Type="http://schemas.openxmlformats.org/officeDocument/2006/relationships/hyperlink" Target="https://rogo.com/legal/privacy-policy" TargetMode="External" Id="rId349"/><Relationship Type="http://schemas.openxmlformats.org/officeDocument/2006/relationships/hyperlink" Target="https://commercialobserver.com/2026/09/rogo-technologies-360-park-avenue-south-lease-expansion/" TargetMode="External" Id="rId350"/><Relationship Type="http://schemas.openxmlformats.org/officeDocument/2006/relationships/hyperlink" Target="https://www.trexquant.com/" TargetMode="External" Id="rId351"/><Relationship Type="http://schemas.openxmlformats.org/officeDocument/2006/relationships/hyperlink" Target="https://www.builtinnyc.com/company/trexquant-investment/offices" TargetMode="External" Id="rId352"/><Relationship Type="http://schemas.openxmlformats.org/officeDocument/2006/relationships/hyperlink" Target="https://www.connectcre.com/stories/bxp-secures-230k-sf-of-leases-at-360-park-ave-south/" TargetMode="External" Id="rId353"/><Relationship Type="http://schemas.openxmlformats.org/officeDocument/2006/relationships/hyperlink" Target="https://commercialobserver.com/?p=563472" TargetMode="External" Id="rId354"/><Relationship Type="http://schemas.openxmlformats.org/officeDocument/2006/relationships/hyperlink" Target="https://www.at-bay.com/" TargetMode="External" Id="rId355"/><Relationship Type="http://schemas.openxmlformats.org/officeDocument/2006/relationships/hyperlink" Target="https://www.builtinnyc.com/company/at-bay/offices" TargetMode="External" Id="rId356"/><Relationship Type="http://schemas.openxmlformats.org/officeDocument/2006/relationships/hyperlink" Target="https://www.at-bay.com/about/" TargetMode="External" Id="rId357"/><Relationship Type="http://schemas.openxmlformats.org/officeDocument/2006/relationships/hyperlink" Target="https://ottobrandlab.com" TargetMode="External" Id="rId358"/><Relationship Type="http://schemas.openxmlformats.org/officeDocument/2006/relationships/hyperlink" Target="https://ottobrandlab.com/contact" TargetMode="External" Id="rId359"/><Relationship Type="http://schemas.openxmlformats.org/officeDocument/2006/relationships/hyperlink" Target="https://commercialobserver.com/2022/10/otto-brand-labs-takes-5k-sf-at-25-west-26th-street/" TargetMode="External" Id="rId360"/><Relationship Type="http://schemas.openxmlformats.org/officeDocument/2006/relationships/hyperlink" Target="https://commercialobserver.com/2023/10/idesco-renewal-37-west-26th-street/" TargetMode="External" Id="rId361"/><Relationship Type="http://schemas.openxmlformats.org/officeDocument/2006/relationships/hyperlink" Target="https://accessibe.com" TargetMode="External" Id="rId362"/><Relationship Type="http://schemas.openxmlformats.org/officeDocument/2006/relationships/hyperlink" Target="https://www.builtinnyc.com/company/accessibe/offices" TargetMode="External" Id="rId363"/><Relationship Type="http://schemas.openxmlformats.org/officeDocument/2006/relationships/hyperlink" Target="https://www.builtinnyc.com/company/accessibe/offices" TargetMode="External" Id="rId364"/><Relationship Type="http://schemas.openxmlformats.org/officeDocument/2006/relationships/hyperlink" Target="https://commercialobserver.com/2022/07/acessibe-1140-broadway/" TargetMode="External" Id="rId365"/><Relationship Type="http://schemas.openxmlformats.org/officeDocument/2006/relationships/hyperlink" Target="https://simplebet.io" TargetMode="External" Id="rId366"/><Relationship Type="http://schemas.openxmlformats.org/officeDocument/2006/relationships/hyperlink" Target="https://www.builtinnyc.com/company/simplebet/offices" TargetMode="External" Id="rId367"/><Relationship Type="http://schemas.openxmlformats.org/officeDocument/2006/relationships/hyperlink" Target="https://www.builtinnyc.com/company/simplebet/offices" TargetMode="External" Id="rId368"/><Relationship Type="http://schemas.openxmlformats.org/officeDocument/2006/relationships/hyperlink" Target="https://commercialobserver.com/2023/03/simplebet-373-park-avenue-south/" TargetMode="External" Id="rId369"/><Relationship Type="http://schemas.openxmlformats.org/officeDocument/2006/relationships/hyperlink" Target="https://www.activate.com" TargetMode="External" Id="rId370"/><Relationship Type="http://schemas.openxmlformats.org/officeDocument/2006/relationships/hyperlink" Target="https://www.builtinnyc.com/company/activate-consulting/offices" TargetMode="External" Id="rId371"/><Relationship Type="http://schemas.openxmlformats.org/officeDocument/2006/relationships/hyperlink" Target="https://commercialobserver.com/2025/09/activate-consulting-doubles-its-nomad-footprint/" TargetMode="External" Id="rId372"/><Relationship Type="http://schemas.openxmlformats.org/officeDocument/2006/relationships/hyperlink" Target="https://www.builtinnyc.com/company/activate-consulting/offices" TargetMode="External" Id="rId373"/><Relationship Type="http://schemas.openxmlformats.org/officeDocument/2006/relationships/hyperlink" Target="https://www.butterflynetwork.com" TargetMode="External" Id="rId374"/><Relationship Type="http://schemas.openxmlformats.org/officeDocument/2006/relationships/hyperlink" Target="https://www.builtinnyc.com/company/butterfly-network-inc/offices" TargetMode="External" Id="rId375"/><Relationship Type="http://schemas.openxmlformats.org/officeDocument/2006/relationships/hyperlink" Target="https://commercialobserver.com/2025/09/activate-consulting-doubles-its-nomad-footprint/" TargetMode="External" Id="rId376"/><Relationship Type="http://schemas.openxmlformats.org/officeDocument/2006/relationships/hyperlink" Target="https://www.builtinnyc.com/company/butterfly-network-inc/offices" TargetMode="External" Id="rId377"/><Relationship Type="http://schemas.openxmlformats.org/officeDocument/2006/relationships/hyperlink" Target="https://www.holocene.com" TargetMode="External" Id="rId378"/><Relationship Type="http://schemas.openxmlformats.org/officeDocument/2006/relationships/hyperlink" Target="https://commercialobserver.com/2025/10/lutron-electronics-office-lease-11-east-26th-street/" TargetMode="External" Id="rId379"/><Relationship Type="http://schemas.openxmlformats.org/officeDocument/2006/relationships/hyperlink" Target="https://commercialobserver.com/2025/03/reckoner-capital-management-lease-11-east-26th-street/" TargetMode="External" Id="rId380"/><Relationship Type="http://schemas.openxmlformats.org/officeDocument/2006/relationships/hyperlink" Target="https://commercialobserver.com/2025/09/activate-consulting-doubles-its-nomad-footprint/" TargetMode="External" Id="rId381"/><Relationship Type="http://schemas.openxmlformats.org/officeDocument/2006/relationships/hyperlink" Target="https://www.order.co" TargetMode="External" Id="rId382"/><Relationship Type="http://schemas.openxmlformats.org/officeDocument/2006/relationships/hyperlink" Target="https://www.builtinnyc.com/company/orderco/offices" TargetMode="External" Id="rId383"/><Relationship Type="http://schemas.openxmlformats.org/officeDocument/2006/relationships/hyperlink" Target="https://commercialobserver.com/2026/02/order-co-sublease-11-east-26th-street/" TargetMode="External" Id="rId384"/><Relationship Type="http://schemas.openxmlformats.org/officeDocument/2006/relationships/hyperlink" Target="https://reckoner.com" TargetMode="External" Id="rId385"/><Relationship Type="http://schemas.openxmlformats.org/officeDocument/2006/relationships/hyperlink" Target="https://commercialobserver.com/2025/03/reckoner-capital-management-lease-11-east-26th-street/" TargetMode="External" Id="rId386"/><Relationship Type="http://schemas.openxmlformats.org/officeDocument/2006/relationships/hyperlink" Target="https://commercialobserver.com/2025/10/lutron-electronics-office-lease-11-east-26th-street/" TargetMode="External" Id="rId387"/><Relationship Type="http://schemas.openxmlformats.org/officeDocument/2006/relationships/hyperlink" Target="https://sierra.ai" TargetMode="External" Id="rId388"/><Relationship Type="http://schemas.openxmlformats.org/officeDocument/2006/relationships/hyperlink" Target="https://www.builtinnyc.com/company/sierra/offices" TargetMode="External" Id="rId389"/><Relationship Type="http://schemas.openxmlformats.org/officeDocument/2006/relationships/hyperlink" Target="https://commercialobserver.com/2026/05/sierra-lease-rockrose-11-east-26th-street/" TargetMode="External" Id="rId390"/><Relationship Type="http://schemas.openxmlformats.org/officeDocument/2006/relationships/hyperlink" Target="https://commercialobserver.com/2026/09/vestal-point-capital-lease-rockrose-development-11-east-26th-street/" TargetMode="External" Id="rId391"/><Relationship Type="http://schemas.openxmlformats.org/officeDocument/2006/relationships/hyperlink" Target="https://www.suvcap.com" TargetMode="External" Id="rId392"/><Relationship Type="http://schemas.openxmlformats.org/officeDocument/2006/relationships/hyperlink" Target="https://commercialobserver.com/2025/05/suvretta-capital-managment-lease-11-east-26th-street/" TargetMode="External" Id="rId393"/><Relationship Type="http://schemas.openxmlformats.org/officeDocument/2006/relationships/hyperlink" Target="https://commercialobserver.com/2026/09/vestal-point-capital-lease-rockrose-development-11-east-26th-street/" TargetMode="External" Id="rId394"/><Relationship Type="http://schemas.openxmlformats.org/officeDocument/2006/relationships/hyperlink" Target="https://warrenequity.com" TargetMode="External" Id="rId395"/><Relationship Type="http://schemas.openxmlformats.org/officeDocument/2006/relationships/hyperlink" Target="https://commercialobserver.com/2025/06/warren-equity-partners-moving-nyc-hq-to-11-east-26th-street-in-24k-sf-lease/" TargetMode="External" Id="rId396"/><Relationship Type="http://schemas.openxmlformats.org/officeDocument/2006/relationships/hyperlink" Target="https://warrenequity.com/contact-us/" TargetMode="External" Id="rId397"/><Relationship Type="http://schemas.openxmlformats.org/officeDocument/2006/relationships/hyperlink" Target="https://commercialobserver.com/2026/08/arca-financial-lease-60-madison-avenue-moinian/" TargetMode="External" Id="rId398"/><Relationship Type="http://schemas.openxmlformats.org/officeDocument/2006/relationships/hyperlink" Target="https://www.collectedstrategies.com" TargetMode="External" Id="rId399"/><Relationship Type="http://schemas.openxmlformats.org/officeDocument/2006/relationships/hyperlink" Target="https://commercialobserver.com/2025/08/comms-firm-collected-strategies-takes-10k-sf-moinians-60-madison/" TargetMode="External" Id="rId400"/><Relationship Type="http://schemas.openxmlformats.org/officeDocument/2006/relationships/hyperlink" Target="https://www.collectedstrategies.com/" TargetMode="External" Id="rId401"/><Relationship Type="http://schemas.openxmlformats.org/officeDocument/2006/relationships/hyperlink" Target="https://www.fullpicture.com" TargetMode="External" Id="rId402"/><Relationship Type="http://schemas.openxmlformats.org/officeDocument/2006/relationships/hyperlink" Target="https://commercialobserver.com/2026/06/moinian-group-tenex-labs-lease-60-madison-avenue/" TargetMode="External" Id="rId403"/><Relationship Type="http://schemas.openxmlformats.org/officeDocument/2006/relationships/hyperlink" Target="https://www.fullpicture.com/" TargetMode="External" Id="rId404"/><Relationship Type="http://schemas.openxmlformats.org/officeDocument/2006/relationships/hyperlink" Target="https://commercialobserver.com/2026/06/moinian-group-tenex-labs-lease-60-madison-avenue/" TargetMode="External" Id="rId405"/><Relationship Type="http://schemas.openxmlformats.org/officeDocument/2006/relationships/hyperlink" Target="https://commercialobserver.com/2026/06/moinian-group-tenex-labs-lease-60-madison-avenue/" TargetMode="External" Id="rId406"/><Relationship Type="http://schemas.openxmlformats.org/officeDocument/2006/relationships/hyperlink" Target="https://commercialobserver.com/2025/04/envogue-international-lease-230-fifth-avenue/" TargetMode="External" Id="rId407"/><Relationship Type="http://schemas.openxmlformats.org/officeDocument/2006/relationships/hyperlink" Target="https://slhomefashions.com" TargetMode="External" Id="rId408"/><Relationship Type="http://schemas.openxmlformats.org/officeDocument/2006/relationships/hyperlink" Target="https://commercialobserver.com/2024/10/sl-home-fashions-lease-230-fifth-avenue/" TargetMode="External" Id="rId409"/><Relationship Type="http://schemas.openxmlformats.org/officeDocument/2006/relationships/hyperlink" Target="https://slhomefashions.com/contact/" TargetMode="External" Id="rId410"/><Relationship Type="http://schemas.openxmlformats.org/officeDocument/2006/relationships/hyperlink" Target="https://us.caudalie.com" TargetMode="External" Id="rId411"/><Relationship Type="http://schemas.openxmlformats.org/officeDocument/2006/relationships/hyperlink" Target="https://commercialobserver.com/2024/01/skin-care-brand-caudalie-signs-14k-sf-lease-at-381-park-avenue-south/" TargetMode="External" Id="rId412"/><Relationship Type="http://schemas.openxmlformats.org/officeDocument/2006/relationships/hyperlink" Target="https://www.etonshirts.com" TargetMode="External" Id="rId413"/><Relationship Type="http://schemas.openxmlformats.org/officeDocument/2006/relationships/hyperlink" Target="https://commercialobserver.com/2024/03/mens-clothing-company-eton-signs-5k-sf-lease-at-381-park-avenue-south/" TargetMode="External" Id="rId414"/><Relationship Type="http://schemas.openxmlformats.org/officeDocument/2006/relationships/hyperlink" Target="https://www.leeandlow.com" TargetMode="External" Id="rId415"/><Relationship Type="http://schemas.openxmlformats.org/officeDocument/2006/relationships/hyperlink" Target="https://www.leeandlow.com/about/" TargetMode="External" Id="rId416"/><Relationship Type="http://schemas.openxmlformats.org/officeDocument/2006/relationships/hyperlink" Target="https://commercialobserver.com/2024/04/publisher-lee-low-moving-offices-to-6k-sf-at-381-park-avenue-south/" TargetMode="External" Id="rId417"/><Relationship Type="http://schemas.openxmlformats.org/officeDocument/2006/relationships/hyperlink" Target="https://commercialobserver.com/2026/08/swa-group-lease-381-park-avenue-south/" TargetMode="External" Id="rId418"/><Relationship Type="http://schemas.openxmlformats.org/officeDocument/2006/relationships/hyperlink" Target="https://www.corcoran.com" TargetMode="External" Id="rId419"/><Relationship Type="http://schemas.openxmlformats.org/officeDocument/2006/relationships/hyperlink" Target="https://commercialobserver.com/2026/04/corcoran-group-lease-381-park-avenue-south/" TargetMode="External" Id="rId420"/><Relationship Type="http://schemas.openxmlformats.org/officeDocument/2006/relationships/hyperlink" Target="https://carbyne.com" TargetMode="External" Id="rId421"/><Relationship Type="http://schemas.openxmlformats.org/officeDocument/2006/relationships/hyperlink" Target="https://www.builtinnyc.com/company/carbyne/offices" TargetMode="External" Id="rId422"/><Relationship Type="http://schemas.openxmlformats.org/officeDocument/2006/relationships/hyperlink" Target="https://carbyne.com/company/about-us/" TargetMode="External" Id="rId423"/><Relationship Type="http://schemas.openxmlformats.org/officeDocument/2006/relationships/hyperlink" Target="https://www.builtinnyc.com/company/carbyne/offices" TargetMode="External" Id="rId424"/><Relationship Type="http://schemas.openxmlformats.org/officeDocument/2006/relationships/hyperlink" Target="https://www.everlast.com" TargetMode="External" Id="rId425"/><Relationship Type="http://schemas.openxmlformats.org/officeDocument/2006/relationships/hyperlink" Target="https://commercialobserver.com/2023/12/boxing-equipment-maker-everlast-signs-office-lease-15-west-27th-street/" TargetMode="External" Id="rId426"/><Relationship Type="http://schemas.openxmlformats.org/officeDocument/2006/relationships/hyperlink" Target="https://www.seedtag.com" TargetMode="External" Id="rId427"/><Relationship Type="http://schemas.openxmlformats.org/officeDocument/2006/relationships/hyperlink" Target="https://www.builtinnyc.com/company/seedtag/offices" TargetMode="External" Id="rId428"/><Relationship Type="http://schemas.openxmlformats.org/officeDocument/2006/relationships/hyperlink" Target="https://www.seedtag.com/contact" TargetMode="External" Id="rId429"/><Relationship Type="http://schemas.openxmlformats.org/officeDocument/2006/relationships/hyperlink" Target="https://commercialobserver.com/2023/03/kaufman-organization-seedtag-advertising-15-west-27th-street/" TargetMode="External" Id="rId430"/><Relationship Type="http://schemas.openxmlformats.org/officeDocument/2006/relationships/hyperlink" Target="https://us.christianlouboutin.com" TargetMode="External" Id="rId431"/><Relationship Type="http://schemas.openxmlformats.org/officeDocument/2006/relationships/hyperlink" Target="https://commercialobserver.com/2026/03/thor-equities-buys-1165-broadway/" TargetMode="External" Id="rId432"/><Relationship Type="http://schemas.openxmlformats.org/officeDocument/2006/relationships/hyperlink" Target="https://www.primarywave.com" TargetMode="External" Id="rId433"/><Relationship Type="http://schemas.openxmlformats.org/officeDocument/2006/relationships/hyperlink" Target="https://www.builtinnyc.com/company/primary-wave/offices" TargetMode="External" Id="rId434"/><Relationship Type="http://schemas.openxmlformats.org/officeDocument/2006/relationships/hyperlink" Target="https://commercialobserver.com/2026/03/thor-equities-buys-1165-broadway/" TargetMode="External" Id="rId435"/><Relationship Type="http://schemas.openxmlformats.org/officeDocument/2006/relationships/hyperlink" Target="https://primarywave.com/contact/" TargetMode="External" Id="rId436"/><Relationship Type="http://schemas.openxmlformats.org/officeDocument/2006/relationships/hyperlink" Target="https://commercialobserver.com/2026/02/primary-ventures-sigma-computing-leases-386-park-avenue-south/" TargetMode="External" Id="rId437"/><Relationship Type="http://schemas.openxmlformats.org/officeDocument/2006/relationships/hyperlink" Target="https://www.primary.vc" TargetMode="External" Id="rId438"/><Relationship Type="http://schemas.openxmlformats.org/officeDocument/2006/relationships/hyperlink" Target="https://commercialobserver.com/2023/07/primary-vc-sublease-386-park-avenue-south/" TargetMode="External" Id="rId439"/><Relationship Type="http://schemas.openxmlformats.org/officeDocument/2006/relationships/hyperlink" Target="https://commercialobserver.com/2026/02/primary-ventures-sigma-computing-leases-386-park-avenue-south/" TargetMode="External" Id="rId440"/><Relationship Type="http://schemas.openxmlformats.org/officeDocument/2006/relationships/hyperlink" Target="https://commercialobserver.com/2023/07/primary-vc-sublease-386-park-avenue-south/" TargetMode="External" Id="rId441"/><Relationship Type="http://schemas.openxmlformats.org/officeDocument/2006/relationships/hyperlink" Target="https://www.sigmacomputing.com" TargetMode="External" Id="rId442"/><Relationship Type="http://schemas.openxmlformats.org/officeDocument/2006/relationships/hyperlink" Target="https://www.builtinnyc.com/company/sigma-computing" TargetMode="External" Id="rId443"/><Relationship Type="http://schemas.openxmlformats.org/officeDocument/2006/relationships/hyperlink" Target="https://commercialobserver.com/2026/02/primary-ventures-sigma-computing-leases-386-park-avenue-south/" TargetMode="External" Id="rId444"/><Relationship Type="http://schemas.openxmlformats.org/officeDocument/2006/relationships/hyperlink" Target="https://www.hanoverpark.com" TargetMode="External" Id="rId445"/><Relationship Type="http://schemas.openxmlformats.org/officeDocument/2006/relationships/hyperlink" Target="https://www.builtinnyc.com/company/hanover-park/offices" TargetMode="External" Id="rId446"/><Relationship Type="http://schemas.openxmlformats.org/officeDocument/2006/relationships/hyperlink" Target="https://commercialobserver.com/2026/08/hanover-park-lease-tf-cornerstone-387-park-avenue-south/" TargetMode="External" Id="rId447"/><Relationship Type="http://schemas.openxmlformats.org/officeDocument/2006/relationships/hyperlink" Target="https://www.connectcre.com/stories/ai-native-hanover-park-leases-full-floor-at-387-park-ave-south/" TargetMode="External" Id="rId448"/><Relationship Type="http://schemas.openxmlformats.org/officeDocument/2006/relationships/hyperlink" Target="https://khealth.com" TargetMode="External" Id="rId449"/><Relationship Type="http://schemas.openxmlformats.org/officeDocument/2006/relationships/hyperlink" Target="https://www.builtinnyc.com/company/k-health/offices" TargetMode="External" Id="rId450"/><Relationship Type="http://schemas.openxmlformats.org/officeDocument/2006/relationships/hyperlink" Target="https://www.connectcre.com/stories/ai-native-hanover-park-leases-full-floor-at-387-park-ave-south/" TargetMode="External" Id="rId451"/><Relationship Type="http://schemas.openxmlformats.org/officeDocument/2006/relationships/hyperlink" Target="https://khealth.com/terms-of-use/" TargetMode="External" Id="rId452"/><Relationship Type="http://schemas.openxmlformats.org/officeDocument/2006/relationships/hyperlink" Target="https://commercialobserver.com/2025/03/institute-of-integrative-nutrition-moinian-group-245-fifth-avenue/" TargetMode="External" Id="rId453"/><Relationship Type="http://schemas.openxmlformats.org/officeDocument/2006/relationships/hyperlink" Target="https://us.mcmworldwide.com" TargetMode="External" Id="rId454"/><Relationship Type="http://schemas.openxmlformats.org/officeDocument/2006/relationships/hyperlink" Target="https://commercialobserver.com/2025/11/mcm-lease-245-fifth-avenue/" TargetMode="External" Id="rId455"/><Relationship Type="http://schemas.openxmlformats.org/officeDocument/2006/relationships/hyperlink" Target="https://www.chnnyc.org" TargetMode="External" Id="rId456"/><Relationship Type="http://schemas.openxmlformats.org/officeDocument/2006/relationships/hyperlink" Target="https://commercialobserver.com/2025/02/community-healthcare-network-lease-44-west-28th-street/" TargetMode="External" Id="rId457"/><Relationship Type="http://schemas.openxmlformats.org/officeDocument/2006/relationships/hyperlink" Target="https://www.chnnyc.org/contact/" TargetMode="External" Id="rId458"/><Relationship Type="http://schemas.openxmlformats.org/officeDocument/2006/relationships/hyperlink" Target="https://commercialobserver.com/2023/01/beauty-pr-firm-french-skin-care-manufacturer-ink-deals-at-261-fifth-ave/" TargetMode="External" Id="rId459"/><Relationship Type="http://schemas.openxmlformats.org/officeDocument/2006/relationships/hyperlink" Target="https://www.fcarchitects.com" TargetMode="External" Id="rId460"/><Relationship Type="http://schemas.openxmlformats.org/officeDocument/2006/relationships/hyperlink" Target="https://commercialobserver.com/2025/02/fca-lease-261-fifth-avenue/" TargetMode="External" Id="rId461"/><Relationship Type="http://schemas.openxmlformats.org/officeDocument/2006/relationships/hyperlink" Target="https://www.fcarchitects.com/contact" TargetMode="External" Id="rId462"/><Relationship Type="http://schemas.openxmlformats.org/officeDocument/2006/relationships/hyperlink" Target="https://www.avp.vc" TargetMode="External" Id="rId463"/><Relationship Type="http://schemas.openxmlformats.org/officeDocument/2006/relationships/hyperlink" Target="https://commercialobserver.com/2025/09/investment-firm-atlantic-vantage-point-takes-8k-sf-at-99-madison-avenue/" TargetMode="External" Id="rId464"/><Relationship Type="http://schemas.openxmlformats.org/officeDocument/2006/relationships/hyperlink" Target="https://commercialobserver.com/2025/11/davies-group-lease-99-madison-avenue/" TargetMode="External" Id="rId465"/><Relationship Type="http://schemas.openxmlformats.org/officeDocument/2006/relationships/hyperlink" Target="https://commercialobserver.com/2026/06/mediaplus-group-lease-432-park-avenue-south/" TargetMode="External" Id="rId466"/><Relationship Type="http://schemas.openxmlformats.org/officeDocument/2006/relationships/hyperlink" Target="https://www.pumpkin.care" TargetMode="External" Id="rId467"/><Relationship Type="http://schemas.openxmlformats.org/officeDocument/2006/relationships/hyperlink" Target="https://www.builtinnyc.com/company/pumpkin/offices" TargetMode="External" Id="rId468"/><Relationship Type="http://schemas.openxmlformats.org/officeDocument/2006/relationships/hyperlink" Target="https://www.builtinnyc.com/company/pumpkin/offices" TargetMode="External" Id="rId469"/><Relationship Type="http://schemas.openxmlformats.org/officeDocument/2006/relationships/hyperlink" Target="https://commercialobserver.com/2023/01/pumpkin-pet-insurance-takes-10k-sf-at-432-park-avenue/" TargetMode="External" Id="rId470"/><Relationship Type="http://schemas.openxmlformats.org/officeDocument/2006/relationships/hyperlink" Target="https://innovant.com" TargetMode="External" Id="rId471"/><Relationship Type="http://schemas.openxmlformats.org/officeDocument/2006/relationships/hyperlink" Target="https://commercialobserver.com/2023/06/innovant-440-park-avenue-south-nomad/" TargetMode="External" Id="rId472"/><Relationship Type="http://schemas.openxmlformats.org/officeDocument/2006/relationships/hyperlink" Target="https://innovant.com/contact-us/" TargetMode="External" Id="rId473"/><Relationship Type="http://schemas.openxmlformats.org/officeDocument/2006/relationships/hyperlink" Target="https://www.signal-ai.com" TargetMode="External" Id="rId474"/><Relationship Type="http://schemas.openxmlformats.org/officeDocument/2006/relationships/hyperlink" Target="https://www.builtinnyc.com/company/signal-ai/offices" TargetMode="External" Id="rId475"/><Relationship Type="http://schemas.openxmlformats.org/officeDocument/2006/relationships/hyperlink" Target="https://www.builtinnyc.com/company/signal-ai/offices" TargetMode="External" Id="rId476"/><Relationship Type="http://schemas.openxmlformats.org/officeDocument/2006/relationships/hyperlink" Target="https://commercialobserver.com/2022/12/signal-ai-doubles-offices-in-move-to-440-park-avenue-south/" TargetMode="External" Id="rId477"/><Relationship Type="http://schemas.openxmlformats.org/officeDocument/2006/relationships/hyperlink" Target="https://www.builtinnyc.com/company/agentio/offices" TargetMode="External" Id="rId478"/><Relationship Type="http://schemas.openxmlformats.org/officeDocument/2006/relationships/hyperlink" Target="https://commercialobserver.com/2026/03/agentio-lease-295-fifth-avenue/" TargetMode="External" Id="rId479"/><Relationship Type="http://schemas.openxmlformats.org/officeDocument/2006/relationships/hyperlink" Target="https://www.builtinnyc.com/company/agentio/offices" TargetMode="External" Id="rId480"/><Relationship Type="http://schemas.openxmlformats.org/officeDocument/2006/relationships/hyperlink" Target="https://www.pilotfiber.com/" TargetMode="External" Id="rId481"/><Relationship Type="http://schemas.openxmlformats.org/officeDocument/2006/relationships/hyperlink" Target="https://www.pilotfiber.com/legal" TargetMode="External" Id="rId482"/><Relationship Type="http://schemas.openxmlformats.org/officeDocument/2006/relationships/hyperlink" Target="https://commercialobserver.com/2026/01/purple-lease-16-madison-square-west/" TargetMode="External" Id="rId483"/><Relationship Type="http://schemas.openxmlformats.org/officeDocument/2006/relationships/hyperlink" Target="https://www.deerfield.com/" TargetMode="External" Id="rId484"/><Relationship Type="http://schemas.openxmlformats.org/officeDocument/2006/relationships/hyperlink" Target="https://en.wikipedia.org/wiki/Deerfield_Management" TargetMode="External" Id="rId485"/><Relationship Type="http://schemas.openxmlformats.org/officeDocument/2006/relationships/hyperlink" Target="https://www.deerfield.com/contact" TargetMode="External" Id="rId486"/><Relationship Type="http://schemas.openxmlformats.org/officeDocument/2006/relationships/hyperlink" Target="https://en.wikipedia.org/wiki/Deerfield_Management" TargetMode="External" Id="rId487"/><Relationship Type="http://schemas.openxmlformats.org/officeDocument/2006/relationships/hyperlink" Target="https://insilico.com/" TargetMode="External" Id="rId488"/><Relationship Type="http://schemas.openxmlformats.org/officeDocument/2006/relationships/hyperlink" Target="https://www.builtinnyc.com/company/insilico-medicine/offices" TargetMode="External" Id="rId489"/><Relationship Type="http://schemas.openxmlformats.org/officeDocument/2006/relationships/hyperlink" Target="https://wewillcure.com/community/residents" TargetMode="External" Id="rId490"/><Relationship Type="http://schemas.openxmlformats.org/officeDocument/2006/relationships/hyperlink" Target="https://www.lexeotx.com/" TargetMode="External" Id="rId491"/><Relationship Type="http://schemas.openxmlformats.org/officeDocument/2006/relationships/hyperlink" Target="https://www.builtinnyc.com/company/lexeo-therapeutics/offices" TargetMode="External" Id="rId492"/><Relationship Type="http://schemas.openxmlformats.org/officeDocument/2006/relationships/hyperlink" Target="https://wewillcure.com/community/residents" TargetMode="External" Id="rId493"/><Relationship Type="http://schemas.openxmlformats.org/officeDocument/2006/relationships/hyperlink" Target="https://www.builtinnyc.com/company/lexeo-therapeutics/offices" TargetMode="External" Id="rId494"/><Relationship Type="http://schemas.openxmlformats.org/officeDocument/2006/relationships/hyperlink" Target="https://montecarlo.ai" TargetMode="External" Id="rId495"/><Relationship Type="http://schemas.openxmlformats.org/officeDocument/2006/relationships/hyperlink" Target="https://www.builtinnyc.com/company/monte-carlo/offices" TargetMode="External" Id="rId496"/><Relationship Type="http://schemas.openxmlformats.org/officeDocument/2006/relationships/hyperlink" Target="https://www.builtinnyc.com/company/monte-carlo/offices" TargetMode="External" Id="rId497"/><Relationship Type="http://schemas.openxmlformats.org/officeDocument/2006/relationships/hyperlink" Target="https://liquidspace.com/us/ny/new-york/wework-27-e-28th-st" TargetMode="External" Id="rId498"/><Relationship Type="http://schemas.openxmlformats.org/officeDocument/2006/relationships/hyperlink" Target="https://www.augury.com" TargetMode="External" Id="rId499"/><Relationship Type="http://schemas.openxmlformats.org/officeDocument/2006/relationships/hyperlink" Target="https://www.builtinnyc.com/company/augury/offices" TargetMode="External" Id="rId500"/><Relationship Type="http://schemas.openxmlformats.org/officeDocument/2006/relationships/hyperlink" Target="https://www.builtinnyc.com/company/augury/offices" TargetMode="External" Id="rId501"/></Relationships>
</file>

<file path=xl/worksheets/_rels/sheet2.xml.rels><Relationships xmlns="http://schemas.openxmlformats.org/package/2006/relationships"><Relationship Type="http://schemas.openxmlformats.org/officeDocument/2006/relationships/hyperlink" Target="https://853broadway.sharplaunch.com/" TargetMode="External" Id="rId1"/><Relationship Type="http://schemas.openxmlformats.org/officeDocument/2006/relationships/hyperlink" Target="https://www.metro-manhattan.com/buildings/215-park-avenue-south/" TargetMode="External" Id="rId2"/><Relationship Type="http://schemas.openxmlformats.org/officeDocument/2006/relationships/hyperlink" Target="https://www.metro-manhattan.com/buildings/620-avenue-of-the-americas/" TargetMode="External" Id="rId3"/><Relationship Type="http://schemas.openxmlformats.org/officeDocument/2006/relationships/hyperlink" Target="https://www.metro-manhattan.com/buildings/115-fifth-avenue/" TargetMode="External" Id="rId4"/><Relationship Type="http://schemas.openxmlformats.org/officeDocument/2006/relationships/hyperlink" Target="https://www.metro-manhattan.com/buildings/37-west-20th-street-office-space-for-lease/" TargetMode="External" Id="rId5"/><Relationship Type="http://schemas.openxmlformats.org/officeDocument/2006/relationships/hyperlink" Target="https://www.metro-manhattan.com/buildings/902-broadway/" TargetMode="External" Id="rId6"/><Relationship Type="http://schemas.openxmlformats.org/officeDocument/2006/relationships/hyperlink" Target="https://www.metro-manhattan.com/buildings/915-broadway-office-space-for-lease/" TargetMode="External" Id="rId7"/><Relationship Type="http://schemas.openxmlformats.org/officeDocument/2006/relationships/hyperlink" Target="https://commercialobserver.com/2022/06/the-information-20-west-22nd-street/" TargetMode="External" Id="rId8"/><Relationship Type="http://schemas.openxmlformats.org/officeDocument/2006/relationships/hyperlink" Target="https://rockrose.com/office/300-park-ave-s/" TargetMode="External" Id="rId9"/><Relationship Type="http://schemas.openxmlformats.org/officeDocument/2006/relationships/hyperlink" Target="https://nyrej.com/index.php/two-new-leases-signed-at-50-west-23rd-st" TargetMode="External" Id="rId10"/><Relationship Type="http://schemas.openxmlformats.org/officeDocument/2006/relationships/hyperlink" Target="https://www.adamsre.com/collections/madison-square-park/products/53-west-23rd" TargetMode="External" Id="rId11"/><Relationship Type="http://schemas.openxmlformats.org/officeDocument/2006/relationships/hyperlink" Target="https://en.wikipedia.org/wiki/11_Madison_Avenue" TargetMode="External" Id="rId12"/><Relationship Type="http://schemas.openxmlformats.org/officeDocument/2006/relationships/hyperlink" Target="https://www.adamsre.com/collections/madison-square-park/products/16-madison-square-west" TargetMode="External" Id="rId13"/><Relationship Type="http://schemas.openxmlformats.org/officeDocument/2006/relationships/hyperlink" Target="https://www.metro-manhattan.com/buildings/41-madison-avenue-forty-one-madison-office-space/" TargetMode="External" Id="rId14"/><Relationship Type="http://schemas.openxmlformats.org/officeDocument/2006/relationships/hyperlink" Target="https://www.metro-manhattan.com/buildings/1140-broadway-office-space-for-lease/" TargetMode="External" Id="rId15"/><Relationship Type="http://schemas.openxmlformats.org/officeDocument/2006/relationships/hyperlink" Target="https://www.metro-manhattan.com/buildings/245-fifth-avenue-office-space-for-lease/" TargetMode="External" Id="rId16"/><Relationship Type="http://schemas.openxmlformats.org/officeDocument/2006/relationships/hyperlink" Target="https://www.metro-manhattan.com/buildings/261-fifth-avenue-office-space-for-lease/" TargetMode="External" Id="rId17"/></Relationships>
</file>

<file path=xl/worksheets/_rels/sheet3.xml.rels><Relationships xmlns="http://schemas.openxmlformats.org/package/2006/relationships"><Relationship Type="http://schemas.openxmlformats.org/officeDocument/2006/relationships/hyperlink" Target="https://civichall.org/memberships" TargetMode="External" Id="rId1"/><Relationship Type="http://schemas.openxmlformats.org/officeDocument/2006/relationships/hyperlink" Target="https://civichall.org/contact-us/" TargetMode="External" Id="rId2"/><Relationship Type="http://schemas.openxmlformats.org/officeDocument/2006/relationships/hyperlink" Target="https://commercialobserver.com/2025/02/capital-one-expansion-114-fifth-avenue/" TargetMode="External" Id="rId3"/><Relationship Type="http://schemas.openxmlformats.org/officeDocument/2006/relationships/hyperlink" Target="https://www.industriousoffice.com/locations/manhattan---860-broadway-6th-floor" TargetMode="External" Id="rId4"/><Relationship Type="http://schemas.openxmlformats.org/officeDocument/2006/relationships/hyperlink" Target="https://www.industriousoffice.com/m/new-york-city" TargetMode="External" Id="rId5"/><Relationship Type="http://schemas.openxmlformats.org/officeDocument/2006/relationships/hyperlink" Target="https://www.wework.com/buildings/18-west-18th-street--new-york-city--NY" TargetMode="External" Id="rId6"/><Relationship Type="http://schemas.openxmlformats.org/officeDocument/2006/relationships/hyperlink" Target="https://www.wework.com/buildings/18-west-18th-street--new-york-city--NY" TargetMode="External" Id="rId7"/><Relationship Type="http://schemas.openxmlformats.org/officeDocument/2006/relationships/hyperlink" Target="https://www.industriousoffice.com/locations/215-park-avenue-south-11th-floor" TargetMode="External" Id="rId8"/><Relationship Type="http://schemas.openxmlformats.org/officeDocument/2006/relationships/hyperlink" Target="https://www.industriousoffice.com/m/new-york-city" TargetMode="External" Id="rId9"/><Relationship Type="http://schemas.openxmlformats.org/officeDocument/2006/relationships/hyperlink" Target="https://api.deskpass.com/api/spaces/the-malin-flatiron" TargetMode="External" Id="rId10"/><Relationship Type="http://schemas.openxmlformats.org/officeDocument/2006/relationships/hyperlink" Target="https://rebusinessonline.com/the-malin-opens-32700-sf-coworking-space-in-manhattans-flatiron-district/" TargetMode="External" Id="rId11"/><Relationship Type="http://schemas.openxmlformats.org/officeDocument/2006/relationships/hyperlink" Target="https://www.industriousoffice.com/locations/156-5th-avenue-4th-floor-new-york" TargetMode="External" Id="rId12"/><Relationship Type="http://schemas.openxmlformats.org/officeDocument/2006/relationships/hyperlink" Target="https://www.industriousoffice.com/m/new-york-city" TargetMode="External" Id="rId13"/><Relationship Type="http://schemas.openxmlformats.org/officeDocument/2006/relationships/hyperlink" Target="https://www.industriousoffice.com/locations/902-broadway-7th-floor-new-york" TargetMode="External" Id="rId14"/><Relationship Type="http://schemas.openxmlformats.org/officeDocument/2006/relationships/hyperlink" Target="https://www.industriousoffice.com/m/new-york-city" TargetMode="External" Id="rId15"/><Relationship Type="http://schemas.openxmlformats.org/officeDocument/2006/relationships/hyperlink" Target="https://flatironnomad.nyc/2024/06/26/meet-le-parc/" TargetMode="External" Id="rId16"/><Relationship Type="http://schemas.openxmlformats.org/officeDocument/2006/relationships/hyperlink" Target="https://www.neuehouse.com/private-events/madison-square/" TargetMode="External" Id="rId17"/><Relationship Type="http://schemas.openxmlformats.org/officeDocument/2006/relationships/hyperlink" Target="https://nyrej.com/print/57154" TargetMode="External" Id="rId18"/><Relationship Type="http://schemas.openxmlformats.org/officeDocument/2006/relationships/hyperlink" Target="https://www.selectofficesuites.com/office-space-for-rent-flatiron-district-new-york-city/" TargetMode="External" Id="rId19"/><Relationship Type="http://schemas.openxmlformats.org/officeDocument/2006/relationships/hyperlink" Target="https://www.selectofficesuites.com/office-space-for-rent-flatiron-district-new-york-city/" TargetMode="External" Id="rId20"/><Relationship Type="http://schemas.openxmlformats.org/officeDocument/2006/relationships/hyperlink" Target="https://old.regus.com/offices/united-states/new-york/new-york-city/office-space/ny-new-york-city-41-madison-avenue" TargetMode="External" Id="rId21"/><Relationship Type="http://schemas.openxmlformats.org/officeDocument/2006/relationships/hyperlink" Target="https://wewillcure.com/community/residents" TargetMode="External" Id="rId22"/><Relationship Type="http://schemas.openxmlformats.org/officeDocument/2006/relationships/hyperlink" Target="https://wewillcure.com/community/residents" TargetMode="External" Id="rId23"/><Relationship Type="http://schemas.openxmlformats.org/officeDocument/2006/relationships/hyperlink" Target="https://en.wikipedia.org/wiki/Deerfield_Management" TargetMode="External" Id="rId24"/><Relationship Type="http://schemas.openxmlformats.org/officeDocument/2006/relationships/hyperlink" Target="https://www.industriousoffice.com/locations/776-6th-avenue-2nd-floor-new-york" TargetMode="External" Id="rId25"/><Relationship Type="http://schemas.openxmlformats.org/officeDocument/2006/relationships/hyperlink" Target="https://www.industriousoffice.com/m/new-york-city" TargetMode="External" Id="rId26"/><Relationship Type="http://schemas.openxmlformats.org/officeDocument/2006/relationships/hyperlink" Target="https://theyard.com/flatiron-south-coworking/" TargetMode="External" Id="rId27"/><Relationship Type="http://schemas.openxmlformats.org/officeDocument/2006/relationships/hyperlink" Target="https://theyard.com/the-yard-new-york-city/" TargetMode="External" Id="rId28"/><Relationship Type="http://schemas.openxmlformats.org/officeDocument/2006/relationships/hyperlink" Target="https://www.industriousoffice.com/locations/386-park-avenue-south-18th-floor-new-york" TargetMode="External" Id="rId29"/><Relationship Type="http://schemas.openxmlformats.org/officeDocument/2006/relationships/hyperlink" Target="https://www.industriousoffice.com/m/new-york-city" TargetMode="External" Id="rId30"/><Relationship Type="http://schemas.openxmlformats.org/officeDocument/2006/relationships/hyperlink" Target="https://api.deskpass.com/api/spaces/the-malin-nomad" TargetMode="External" Id="rId31"/><Relationship Type="http://schemas.openxmlformats.org/officeDocument/2006/relationships/hyperlink" Target="https://commercialobserver.com/2024/11/the-malin-lease-895-broadway" TargetMode="External" Id="rId32"/><Relationship Type="http://schemas.openxmlformats.org/officeDocument/2006/relationships/hyperlink" Target="https://www.wework.com/buildings/245-5th-ave--new-york-city--NY" TargetMode="External" Id="rId33"/><Relationship Type="http://schemas.openxmlformats.org/officeDocument/2006/relationships/hyperlink" Target="https://www.wework.com/buildings/245-5th-ave--new-york-city--NY" TargetMode="External" Id="rId34"/><Relationship Type="http://schemas.openxmlformats.org/officeDocument/2006/relationships/hyperlink" Target="https://old.regus.com/offices/united-states/new-york/new-york-city/office-space/ny-new-york-spaces-midtown-south" TargetMode="External" Id="rId35"/><Relationship Type="http://schemas.openxmlformats.org/officeDocument/2006/relationships/hyperlink" Target="https://liquidspace.com/us/ny/new-york/wework-27-e-28th-st" TargetMode="External" Id="rId36"/><Relationship Type="http://schemas.openxmlformats.org/officeDocument/2006/relationships/hyperlink" Target="https://liquidspace.com/us/ny/new-york/wework-27-e-28th-st" TargetMode="External" Id="rId37"/><Relationship Type="http://schemas.openxmlformats.org/officeDocument/2006/relationships/hyperlink" Target="https://www.builtinnyc.com/company/monte-carlo/offices" TargetMode="External" Id="rId38"/><Relationship Type="http://schemas.openxmlformats.org/officeDocument/2006/relationships/hyperlink" Target="https://api.deskpass.com/api/spaces/luminary" TargetMode="External" Id="rId39"/><Relationship Type="http://schemas.openxmlformats.org/officeDocument/2006/relationships/hyperlink" Target="https://www.weareluminary.com/home" TargetMode="External" Id="rId40"/><Relationship Type="http://schemas.openxmlformats.org/officeDocument/2006/relationships/hyperlink" Target="https://api.deskpass.com/api/spaces/sage-workspace" TargetMode="External" Id="rId41"/><Relationship Type="http://schemas.openxmlformats.org/officeDocument/2006/relationships/hyperlink" Target="https://www.sageworkspace.com/" TargetMode="External" Id="rId42"/><Relationship Type="http://schemas.openxmlformats.org/officeDocument/2006/relationships/hyperlink" Target="https://api.deskpass.com/api/spaces/nomadworks" TargetMode="External" Id="rId43"/><Relationship Type="http://schemas.openxmlformats.org/officeDocument/2006/relationships/hyperlink" Target="https://nomadworks.com/" TargetMode="External" Id="rId44"/><Relationship Type="http://schemas.openxmlformats.org/officeDocument/2006/relationships/hyperlink" Target="https://www.wework.com/buildings/450-park-ave-s--new-york-city--NY" TargetMode="External" Id="rId45"/><Relationship Type="http://schemas.openxmlformats.org/officeDocument/2006/relationships/hyperlink" Target="https://www.wework.com/buildings/450-park-ave-s--new-york-city--NY" TargetMode="External" Id="rId46"/><Relationship Type="http://schemas.openxmlformats.org/officeDocument/2006/relationships/hyperlink" Target="https://residentcompanyclub.com/" TargetMode="External" Id="rId47"/><Relationship Type="http://schemas.openxmlformats.org/officeDocument/2006/relationships/hyperlink" Target="https://commercialobserver.com/2025/12/coworking-resident-company-club-lease-113-university-place/" TargetMode="External" Id="rId48"/><Relationship Type="http://schemas.openxmlformats.org/officeDocument/2006/relationships/hyperlink" Target="https://www.wework.com/buildings/33-irving-pl--new-york-city--NY" TargetMode="External" Id="rId49"/><Relationship Type="http://schemas.openxmlformats.org/officeDocument/2006/relationships/hyperlink" Target="https://www.wework.com/buildings/33-irving-pl--new-york-city--NY" TargetMode="External" Id="rId50"/><Relationship Type="http://schemas.openxmlformats.org/officeDocument/2006/relationships/hyperlink" Target="https://www.industriousoffice.com/locations/120-east-23rd-street-4th-floor-new-york" TargetMode="External" Id="rId51"/><Relationship Type="http://schemas.openxmlformats.org/officeDocument/2006/relationships/hyperlink" Target="https://www.industriousoffice.com/m/new-york-city" TargetMode="External" Id="rId52"/><Relationship Type="http://schemas.openxmlformats.org/officeDocument/2006/relationships/hyperlink" Target="https://residentcompanyclub.com/" TargetMode="External" Id="rId53"/><Relationship Type="http://schemas.openxmlformats.org/officeDocument/2006/relationships/hyperlink" Target="https://residentcompanyclub.com/" TargetMode="External" Id="rId54"/><Relationship Type="http://schemas.openxmlformats.org/officeDocument/2006/relationships/hyperlink" Target="https://www.wework.com/buildings/135-madison-ave--new-york-city--NY" TargetMode="External" Id="rId55"/><Relationship Type="http://schemas.openxmlformats.org/officeDocument/2006/relationships/hyperlink" Target="https://www.wework.com/buildings/135-madison-ave--new-york-city--NY" TargetMode="External" Id="rId56"/><Relationship Type="http://schemas.openxmlformats.org/officeDocument/2006/relationships/hyperlink" Target="https://old.regus.com/offices/united-states/new-york/new-york-city/office-space/ny-new-york-city-136-madison-avenue" TargetMode="External" Id="rId57"/><Relationship Type="http://schemas.openxmlformats.org/officeDocument/2006/relationships/hyperlink" Target="https://old.regus.com/offices/united-states/new-york/new-york-city/office-space/ny-new-york-1250-broadway" TargetMode="External" Id="rId58"/><Relationship Type="http://schemas.openxmlformats.org/officeDocument/2006/relationships/hyperlink" Target="https://api.deskpass.com/api/spaces/two-park-avenue-coworking" TargetMode="External" Id="rId59"/><Relationship Type="http://schemas.openxmlformats.org/officeDocument/2006/relationships/hyperlink" Target="https://www.corporatesuites.com/" TargetMode="External" Id="rId60"/></Relationships>
</file>

<file path=xl/worksheets/_rels/sheet4.xml.rels><Relationships xmlns="http://schemas.openxmlformats.org/package/2006/relationships"><Relationship Type="http://schemas.openxmlformats.org/officeDocument/2006/relationships/hyperlink" Target="https://www.eataly.com/us_en/stores/nyc-flatiron" TargetMode="External" Id="rId1"/><Relationship Type="http://schemas.openxmlformats.org/officeDocument/2006/relationships/hyperlink" Target="https://www.eataly.com/us_en/stores/nyc-flatiron" TargetMode="External" Id="rId2"/><Relationship Type="http://schemas.openxmlformats.org/officeDocument/2006/relationships/hyperlink" Target="https://edengourmet.com/" TargetMode="External" Id="rId3"/><Relationship Type="http://schemas.openxmlformats.org/officeDocument/2006/relationships/hyperlink" Target="https://edengourmet.com/" TargetMode="External" Id="rId4"/><Relationship Type="http://schemas.openxmlformats.org/officeDocument/2006/relationships/hyperlink" Target="https://www.fairwaymarket.com/" TargetMode="External" Id="rId5"/><Relationship Type="http://schemas.openxmlformats.org/officeDocument/2006/relationships/hyperlink" Target="https://www.fairwaymarket.com/" TargetMode="External" Id="rId6"/><Relationship Type="http://schemas.openxmlformats.org/officeDocument/2006/relationships/hyperlink" Target="https://www.mortonwilliams.com/our-locations" TargetMode="External" Id="rId7"/><Relationship Type="http://schemas.openxmlformats.org/officeDocument/2006/relationships/hyperlink" Target="https://www.mortonwilliams.com/our-locations" TargetMode="External" Id="rId8"/><Relationship Type="http://schemas.openxmlformats.org/officeDocument/2006/relationships/hyperlink" Target="https://data.ny.gov/resource/9a8c-vfzj.json?license_number=730366" TargetMode="External" Id="rId9"/><Relationship Type="http://schemas.openxmlformats.org/officeDocument/2006/relationships/hyperlink" Target="https://data.ny.gov/resource/9a8c-vfzj.json?license_number=730366" TargetMode="External" Id="rId10"/><Relationship Type="http://schemas.openxmlformats.org/officeDocument/2006/relationships/hyperlink" Target="https://data.ny.gov/resource/9a8c-vfzj.json?license_number=628556" TargetMode="External" Id="rId11"/><Relationship Type="http://schemas.openxmlformats.org/officeDocument/2006/relationships/hyperlink" Target="https://data.ny.gov/resource/9a8c-vfzj.json?license_number=628556" TargetMode="External" Id="rId12"/><Relationship Type="http://schemas.openxmlformats.org/officeDocument/2006/relationships/hyperlink" Target="https://www.target.com/sl/manhattan-union-square/3380" TargetMode="External" Id="rId13"/><Relationship Type="http://schemas.openxmlformats.org/officeDocument/2006/relationships/hyperlink" Target="https://www.target.com/sl/manhattan-union-square/3380" TargetMode="External" Id="rId14"/><Relationship Type="http://schemas.openxmlformats.org/officeDocument/2006/relationships/hyperlink" Target="https://locations.traderjoes.com/ny/new-york/" TargetMode="External" Id="rId15"/><Relationship Type="http://schemas.openxmlformats.org/officeDocument/2006/relationships/hyperlink" Target="https://locations.traderjoes.com/ny/new-york/" TargetMode="External" Id="rId16"/><Relationship Type="http://schemas.openxmlformats.org/officeDocument/2006/relationships/hyperlink" Target="https://locations.traderjoes.com/ny/new-york/" TargetMode="External" Id="rId17"/><Relationship Type="http://schemas.openxmlformats.org/officeDocument/2006/relationships/hyperlink" Target="https://locations.traderjoes.com/ny/new-york/" TargetMode="External" Id="rId18"/><Relationship Type="http://schemas.openxmlformats.org/officeDocument/2006/relationships/hyperlink" Target="https://www.wholefoodsmarket.com/stores/nomad" TargetMode="External" Id="rId19"/><Relationship Type="http://schemas.openxmlformats.org/officeDocument/2006/relationships/hyperlink" Target="https://www.wholefoodsmarket.com/stores/nomad" TargetMode="External" Id="rId20"/><Relationship Type="http://schemas.openxmlformats.org/officeDocument/2006/relationships/hyperlink" Target="https://www.wholefoodsmarket.com/stores/unionsquare" TargetMode="External" Id="rId21"/><Relationship Type="http://schemas.openxmlformats.org/officeDocument/2006/relationships/hyperlink" Target="https://www.wholefoodsmarket.com/stores/unionsquare" TargetMode="External" Id="rId22"/><Relationship Type="http://schemas.openxmlformats.org/officeDocument/2006/relationships/hyperlink" Target="https://mercimarketnyc.com/" TargetMode="External" Id="rId23"/><Relationship Type="http://schemas.openxmlformats.org/officeDocument/2006/relationships/hyperlink" Target="https://mercimarketnyc.com/" TargetMode="External" Id="rId24"/><Relationship Type="http://schemas.openxmlformats.org/officeDocument/2006/relationships/hyperlink" Target="https://www.wmarketnyc.com/" TargetMode="External" Id="rId25"/><Relationship Type="http://schemas.openxmlformats.org/officeDocument/2006/relationships/hyperlink" Target="https://www.wmarketnyc.com/" TargetMode="External" Id="rId26"/><Relationship Type="http://schemas.openxmlformats.org/officeDocument/2006/relationships/hyperlink" Target="https://data.ny.gov/resource/9a8c-vfzj.json?license_number=622971" TargetMode="External" Id="rId27"/><Relationship Type="http://schemas.openxmlformats.org/officeDocument/2006/relationships/hyperlink" Target="https://www.kalustyans.com/" TargetMode="External" Id="rId28"/><Relationship Type="http://schemas.openxmlformats.org/officeDocument/2006/relationships/hyperlink" Target="https://data.ny.gov/resource/9a8c-vfzj.json?license_number=710893" TargetMode="External" Id="rId29"/><Relationship Type="http://schemas.openxmlformats.org/officeDocument/2006/relationships/hyperlink" Target="https://data.ny.gov/resource/9a8c-vfzj.json?license_number=710893" TargetMode="External" Id="rId30"/><Relationship Type="http://schemas.openxmlformats.org/officeDocument/2006/relationships/hyperlink" Target="https://www.wmarketnyc.com/" TargetMode="External" Id="rId31"/><Relationship Type="http://schemas.openxmlformats.org/officeDocument/2006/relationships/hyperlink" Target="https://www.wmarketnyc.com/" TargetMode="External" Id="rId32"/><Relationship Type="http://schemas.openxmlformats.org/officeDocument/2006/relationships/hyperlink" Target="https://www.wmarketnyc.com/" TargetMode="External" Id="rId33"/><Relationship Type="http://schemas.openxmlformats.org/officeDocument/2006/relationships/hyperlink" Target="https://www.wmarketnyc.com/" TargetMode="External" Id="rId34"/><Relationship Type="http://schemas.openxmlformats.org/officeDocument/2006/relationships/hyperlink" Target="https://www.wmarketnyc.com/" TargetMode="External" Id="rId35"/><Relationship Type="http://schemas.openxmlformats.org/officeDocument/2006/relationships/hyperlink" Target="https://www.wmarketnyc.com/" TargetMode="External" Id="rId36"/><Relationship Type="http://schemas.openxmlformats.org/officeDocument/2006/relationships/hyperlink" Target="https://data.ny.gov/resource/9a8c-vfzj.json?license_number=629113" TargetMode="External" Id="rId37"/><Relationship Type="http://schemas.openxmlformats.org/officeDocument/2006/relationships/hyperlink" Target="https://data.ny.gov/resource/9a8c-vfzj.json?license_number=629113" TargetMode="External" Id="rId38"/><Relationship Type="http://schemas.openxmlformats.org/officeDocument/2006/relationships/hyperlink" Target="https://edengourmet.com/" TargetMode="External" Id="rId39"/><Relationship Type="http://schemas.openxmlformats.org/officeDocument/2006/relationships/hyperlink" Target="https://edengourmet.com/" TargetMode="External" Id="rId40"/><Relationship Type="http://schemas.openxmlformats.org/officeDocument/2006/relationships/hyperlink" Target="https://www.wholefoodsmarket.com/stores/chelsea" TargetMode="External" Id="rId41"/><Relationship Type="http://schemas.openxmlformats.org/officeDocument/2006/relationships/hyperlink" Target="https://www.wholefoodsmarket.com/stores/chelsea" TargetMode="External" Id="rId42"/><Relationship Type="http://schemas.openxmlformats.org/officeDocument/2006/relationships/hyperlink" Target="https://www.target.com/sl/manhattan-herald-square/3277" TargetMode="External" Id="rId43"/><Relationship Type="http://schemas.openxmlformats.org/officeDocument/2006/relationships/hyperlink" Target="https://www.target.com/sl/manhattan-herald-square/3277" TargetMode="External" Id="rId44"/><Relationship Type="http://schemas.openxmlformats.org/officeDocument/2006/relationships/hyperlink" Target="https://data.ny.gov/resource/9a8c-vfzj.json?license_number=624652" TargetMode="External" Id="rId45"/><Relationship Type="http://schemas.openxmlformats.org/officeDocument/2006/relationships/hyperlink" Target="https://data.ny.gov/resource/9a8c-vfzj.json?license_number=624652" TargetMode="External" Id="rId46"/><Relationship Type="http://schemas.openxmlformats.org/officeDocument/2006/relationships/hyperlink" Target="https://www.wegmans.com/stores/astor-place-ny/" TargetMode="External" Id="rId47"/><Relationship Type="http://schemas.openxmlformats.org/officeDocument/2006/relationships/hyperlink" Target="https://www.wegmans.com/stores/astor-place-ny/" TargetMode="External" Id="rId48"/><Relationship Type="http://schemas.openxmlformats.org/officeDocument/2006/relationships/hyperlink" Target="https://www.lifethymemarket.com/" TargetMode="External" Id="rId49"/><Relationship Type="http://schemas.openxmlformats.org/officeDocument/2006/relationships/hyperlink" Target="https://www.lifethymemarket.com/" TargetMode="External" Id="rId50"/><Relationship Type="http://schemas.openxmlformats.org/officeDocument/2006/relationships/hyperlink" Target="https://data.ny.gov/resource/9a8c-vfzj.json?license_number=752904" TargetMode="External" Id="rId51"/><Relationship Type="http://schemas.openxmlformats.org/officeDocument/2006/relationships/hyperlink" Target="https://data.ny.gov/resource/9a8c-vfzj.json?license_number=752904" TargetMode="External" Id="rId52"/><Relationship Type="http://schemas.openxmlformats.org/officeDocument/2006/relationships/hyperlink" Target="https://www.target.com/sl/chelsea-23rd-and-8th/3412" TargetMode="External" Id="rId53"/><Relationship Type="http://schemas.openxmlformats.org/officeDocument/2006/relationships/hyperlink" Target="https://www.target.com/sl/chelsea-23rd-and-8th/3412" TargetMode="External" Id="rId54"/><Relationship Type="http://schemas.openxmlformats.org/officeDocument/2006/relationships/hyperlink" Target="https://www.target.com/sl/kips-bay/3321" TargetMode="External" Id="rId55"/><Relationship Type="http://schemas.openxmlformats.org/officeDocument/2006/relationships/hyperlink" Target="https://www.target.com/sl/kips-bay/3321" TargetMode="External" Id="rId56"/><Relationship Type="http://schemas.openxmlformats.org/officeDocument/2006/relationships/hyperlink" Target="https://www.fairwaymarket.com/" TargetMode="External" Id="rId57"/><Relationship Type="http://schemas.openxmlformats.org/officeDocument/2006/relationships/hyperlink" Target="https://www.fairwaymarket.com/" TargetMode="External" Id="rId58"/><Relationship Type="http://schemas.openxmlformats.org/officeDocument/2006/relationships/hyperlink" Target="https://www.mortonwilliams.com/our-locations" TargetMode="External" Id="rId59"/><Relationship Type="http://schemas.openxmlformats.org/officeDocument/2006/relationships/hyperlink" Target="https://www.mortonwilliams.com/our-locations" TargetMode="External" Id="rId60"/></Relationships>
</file>

<file path=xl/worksheets/_rels/sheet7.xml.rels><Relationships xmlns="http://schemas.openxmlformats.org/package/2006/relationships"><Relationship Type="http://schemas.openxmlformats.org/officeDocument/2006/relationships/hyperlink" Target="https://movableink.com" TargetMode="External" Id="rId1"/><Relationship Type="http://schemas.openxmlformats.org/officeDocument/2006/relationships/hyperlink" Target="https://www.builtinnyc.com/company/movable-ink" TargetMode="External" Id="rId2"/><Relationship Type="http://schemas.openxmlformats.org/officeDocument/2006/relationships/hyperlink" Target="https://commercialobserver.com/2024/06/movable-ink-lease-841-broadway/" TargetMode="External" Id="rId3"/><Relationship Type="http://schemas.openxmlformats.org/officeDocument/2006/relationships/hyperlink" Target="https://www.robinhood.org" TargetMode="External" Id="rId4"/><Relationship Type="http://schemas.openxmlformats.org/officeDocument/2006/relationships/hyperlink" Target="https://www.builtinnyc.com/company/robin-hood" TargetMode="External" Id="rId5"/><Relationship Type="http://schemas.openxmlformats.org/officeDocument/2006/relationships/hyperlink" Target="https://rebusinessonline.com/robin-hood-signs-53000-sf-office-lease-at-841-broadway-in-manhattan/" TargetMode="External" Id="rId6"/><Relationship Type="http://schemas.openxmlformats.org/officeDocument/2006/relationships/hyperlink" Target="https://commercialobserver.com/2026/04/nonprofit-robin-hood-lease-841-broadway/" TargetMode="External" Id="rId7"/><Relationship Type="http://schemas.openxmlformats.org/officeDocument/2006/relationships/hyperlink" Target="https://www.coned.com" TargetMode="External" Id="rId8"/><Relationship Type="http://schemas.openxmlformats.org/officeDocument/2006/relationships/hyperlink" Target="https://en.wikipedia.org/wiki/Consolidated_Edison" TargetMode="External" Id="rId9"/><Relationship Type="http://schemas.openxmlformats.org/officeDocument/2006/relationships/hyperlink" Target="https://en.wikipedia.org/wiki/Consolidated_Edison_Building" TargetMode="External" Id="rId10"/><Relationship Type="http://schemas.openxmlformats.org/officeDocument/2006/relationships/hyperlink" Target="https://www.adyen.com" TargetMode="External" Id="rId11"/><Relationship Type="http://schemas.openxmlformats.org/officeDocument/2006/relationships/hyperlink" Target="https://www.builtinnyc.com/company/adyen" TargetMode="External" Id="rId12"/><Relationship Type="http://schemas.openxmlformats.org/officeDocument/2006/relationships/hyperlink" Target="https://www.adyen.com/offices" TargetMode="External" Id="rId13"/><Relationship Type="http://schemas.openxmlformats.org/officeDocument/2006/relationships/hyperlink" Target="https://www.connectcre.com/stories/ayden-doubles-footprint-of-union-square-offices/" TargetMode="External" Id="rId14"/><Relationship Type="http://schemas.openxmlformats.org/officeDocument/2006/relationships/hyperlink" Target="https://www.capgemini.com/us-en/" TargetMode="External" Id="rId15"/><Relationship Type="http://schemas.openxmlformats.org/officeDocument/2006/relationships/hyperlink" Target="https://www.builtinnyc.com/company/capgemini" TargetMode="External" Id="rId16"/><Relationship Type="http://schemas.openxmlformats.org/officeDocument/2006/relationships/hyperlink" Target="https://commercialobserver.com/2026/08/thinking-machines-lab-79-fifth-avenue-lease/" TargetMode="External" Id="rId17"/><Relationship Type="http://schemas.openxmlformats.org/officeDocument/2006/relationships/hyperlink" Target="https://www.hulu.com" TargetMode="External" Id="rId18"/><Relationship Type="http://schemas.openxmlformats.org/officeDocument/2006/relationships/hyperlink" Target="https://www.builtinnyc.com/company/hulu" TargetMode="External" Id="rId19"/><Relationship Type="http://schemas.openxmlformats.org/officeDocument/2006/relationships/hyperlink" Target="https://commercialobserver.com/2026/08/thinking-machines-lab-79-fifth-avenue-lease/" TargetMode="External" Id="rId20"/><Relationship Type="http://schemas.openxmlformats.org/officeDocument/2006/relationships/hyperlink" Target="https://www.faire.com" TargetMode="External" Id="rId21"/><Relationship Type="http://schemas.openxmlformats.org/officeDocument/2006/relationships/hyperlink" Target="https://www.builtinnyc.com/company/faire" TargetMode="External" Id="rId22"/><Relationship Type="http://schemas.openxmlformats.org/officeDocument/2006/relationships/hyperlink" Target="https://commercialobserver.com/2025/03/faire-lease-26-west-17th-street/" TargetMode="External" Id="rId23"/><Relationship Type="http://schemas.openxmlformats.org/officeDocument/2006/relationships/hyperlink" Target="https://www.similarweb.com" TargetMode="External" Id="rId24"/><Relationship Type="http://schemas.openxmlformats.org/officeDocument/2006/relationships/hyperlink" Target="https://www.builtinnyc.com/company/similarweb" TargetMode="External" Id="rId25"/><Relationship Type="http://schemas.openxmlformats.org/officeDocument/2006/relationships/hyperlink" Target="https://www.builtinnyc.com/company/similarweb/offices" TargetMode="External" Id="rId26"/><Relationship Type="http://schemas.openxmlformats.org/officeDocument/2006/relationships/hyperlink" Target="https://www.acxiom.com" TargetMode="External" Id="rId27"/><Relationship Type="http://schemas.openxmlformats.org/officeDocument/2006/relationships/hyperlink" Target="https://www.builtinnyc.com/company/acxiom" TargetMode="External" Id="rId28"/><Relationship Type="http://schemas.openxmlformats.org/officeDocument/2006/relationships/hyperlink" Target="https://commercialobserver.com/2025/02/capital-one-expansion-114-fifth-avenue/" TargetMode="External" Id="rId29"/><Relationship Type="http://schemas.openxmlformats.org/officeDocument/2006/relationships/hyperlink" Target="https://www.capitalone.com" TargetMode="External" Id="rId30"/><Relationship Type="http://schemas.openxmlformats.org/officeDocument/2006/relationships/hyperlink" Target="https://www.builtinnyc.com/company/capital-one" TargetMode="External" Id="rId31"/><Relationship Type="http://schemas.openxmlformats.org/officeDocument/2006/relationships/hyperlink" Target="https://commercialobserver.com/2025/02/capital-one-expansion-114-fifth-avenue/" TargetMode="External" Id="rId32"/><Relationship Type="http://schemas.openxmlformats.org/officeDocument/2006/relationships/hyperlink" Target="https://www.chainalysis.com" TargetMode="External" Id="rId33"/><Relationship Type="http://schemas.openxmlformats.org/officeDocument/2006/relationships/hyperlink" Target="https://www.builtinnyc.com/company/chainalysis" TargetMode="External" Id="rId34"/><Relationship Type="http://schemas.openxmlformats.org/officeDocument/2006/relationships/hyperlink" Target="https://commercialobserver.com/2022/01/chainalysis-78k-sf-114-fifth-avenue/" TargetMode="External" Id="rId35"/><Relationship Type="http://schemas.openxmlformats.org/officeDocument/2006/relationships/hyperlink" Target="https://www.builtinnyc.com/company/us-news-world-report" TargetMode="External" Id="rId36"/><Relationship Type="http://schemas.openxmlformats.org/officeDocument/2006/relationships/hyperlink" Target="https://commercialobserver.com/2026/10/eagle-ai-lease-office-120-fifth-avenue/" TargetMode="External" Id="rId37"/><Relationship Type="http://schemas.openxmlformats.org/officeDocument/2006/relationships/hyperlink" Target="https://corp.kaltura.com" TargetMode="External" Id="rId38"/><Relationship Type="http://schemas.openxmlformats.org/officeDocument/2006/relationships/hyperlink" Target="https://www.builtinnyc.com/company/kaltura-inc" TargetMode="External" Id="rId39"/><Relationship Type="http://schemas.openxmlformats.org/officeDocument/2006/relationships/hyperlink" Target="https://commercialobserver.com/2026/08/selldorf-architects-renews-14k-sf-860-broadway-lease-for-10-years/" TargetMode="External" Id="rId40"/><Relationship Type="http://schemas.openxmlformats.org/officeDocument/2006/relationships/hyperlink" Target="https://commercialobserver.com/2022/01/kaltura-lease-860-broadway-gordon-property-group/" TargetMode="External" Id="rId41"/><Relationship Type="http://schemas.openxmlformats.org/officeDocument/2006/relationships/hyperlink" Target="https://www.weightwatchers.com" TargetMode="External" Id="rId42"/><Relationship Type="http://schemas.openxmlformats.org/officeDocument/2006/relationships/hyperlink" Target="https://www.builtinnyc.com/company/weightwatchers" TargetMode="External" Id="rId43"/><Relationship Type="http://schemas.openxmlformats.org/officeDocument/2006/relationships/hyperlink" Target="https://www.sec.gov/Archives/edgar/data/105319/000119312526335166/ww-20260630.htm" TargetMode="External" Id="rId44"/><Relationship Type="http://schemas.openxmlformats.org/officeDocument/2006/relationships/hyperlink" Target="https://www.chime.com" TargetMode="External" Id="rId45"/><Relationship Type="http://schemas.openxmlformats.org/officeDocument/2006/relationships/hyperlink" Target="https://www.builtinnyc.com/company/chime" TargetMode="External" Id="rId46"/><Relationship Type="http://schemas.openxmlformats.org/officeDocument/2006/relationships/hyperlink" Target="https://commercialobserver.com/?p=521355" TargetMode="External" Id="rId47"/><Relationship Type="http://schemas.openxmlformats.org/officeDocument/2006/relationships/hyperlink" Target="https://commercialobserver.com/2026/06/ebay-lease-bromley-companies-122-fifth-avenue/" TargetMode="External" Id="rId48"/><Relationship Type="http://schemas.openxmlformats.org/officeDocument/2006/relationships/hyperlink" Target="https://www.microsoft.com" TargetMode="External" Id="rId49"/><Relationship Type="http://schemas.openxmlformats.org/officeDocument/2006/relationships/hyperlink" Target="https://www.builtinnyc.com/company/microsoft" TargetMode="External" Id="rId50"/><Relationship Type="http://schemas.openxmlformats.org/officeDocument/2006/relationships/hyperlink" Target="https://commercialobserver.com/2026/06/ebay-lease-bromley-companies-122-fifth-avenue/" TargetMode="External" Id="rId51"/><Relationship Type="http://schemas.openxmlformats.org/officeDocument/2006/relationships/hyperlink" Target="https://commercialobserver.com/?p=521355" TargetMode="External" Id="rId52"/><Relationship Type="http://schemas.openxmlformats.org/officeDocument/2006/relationships/hyperlink" Target="https://www.ebay.com" TargetMode="External" Id="rId53"/><Relationship Type="http://schemas.openxmlformats.org/officeDocument/2006/relationships/hyperlink" Target="https://www.builtinnyc.com/company/ebay" TargetMode="External" Id="rId54"/><Relationship Type="http://schemas.openxmlformats.org/officeDocument/2006/relationships/hyperlink" Target="https://commercialobserver.com/2026/06/ebay-lease-bromley-companies-122-fifth-avenue/" TargetMode="External" Id="rId55"/><Relationship Type="http://schemas.openxmlformats.org/officeDocument/2006/relationships/hyperlink" Target="https://www.charliehealth.com" TargetMode="External" Id="rId56"/><Relationship Type="http://schemas.openxmlformats.org/officeDocument/2006/relationships/hyperlink" Target="https://www.builtinnyc.com/company/charlie-health" TargetMode="External" Id="rId57"/><Relationship Type="http://schemas.openxmlformats.org/officeDocument/2006/relationships/hyperlink" Target="https://www.sec.gov/Archives/edgar/data/1013454/000153949726000704/n5676_x5-424h.htm" TargetMode="External" Id="rId58"/><Relationship Type="http://schemas.openxmlformats.org/officeDocument/2006/relationships/hyperlink" Target="https://www.builtinnyc.com/company/rakuten-advertising" TargetMode="External" Id="rId59"/><Relationship Type="http://schemas.openxmlformats.org/officeDocument/2006/relationships/hyperlink" Target="https://www.sec.gov/Archives/edgar/data/1013454/000153949726000704/n5676_x5-424h.htm" TargetMode="External" Id="rId60"/><Relationship Type="http://schemas.openxmlformats.org/officeDocument/2006/relationships/hyperlink" Target="https://www.nyrej.com/sl-green-signs-29-915-s-f-lease-with-nayya-health-at-215-park-ave-south" TargetMode="External" Id="rId61"/><Relationship Type="http://schemas.openxmlformats.org/officeDocument/2006/relationships/hyperlink" Target="https://www.airbnb.com" TargetMode="External" Id="rId62"/><Relationship Type="http://schemas.openxmlformats.org/officeDocument/2006/relationships/hyperlink" Target="https://www.builtinnyc.com/company/airbnb" TargetMode="External" Id="rId63"/><Relationship Type="http://schemas.openxmlformats.org/officeDocument/2006/relationships/hyperlink" Target="https://commercialobserver.com/2024/12/airbnb-lease-130-fifth-avenue/" TargetMode="External" Id="rId64"/><Relationship Type="http://schemas.openxmlformats.org/officeDocument/2006/relationships/hyperlink" Target="https://commercialobserver.com/2026/07/airbnb-buys-281-park-avenue-south-office/" TargetMode="External" Id="rId65"/><Relationship Type="http://schemas.openxmlformats.org/officeDocument/2006/relationships/hyperlink" Target="https://monday.com" TargetMode="External" Id="rId66"/><Relationship Type="http://schemas.openxmlformats.org/officeDocument/2006/relationships/hyperlink" Target="https://www.builtinnyc.com/company/mondaycom" TargetMode="External" Id="rId67"/><Relationship Type="http://schemas.openxmlformats.org/officeDocument/2006/relationships/hyperlink" Target="https://commercialobserver.com/2025/12/expanding-monday-work-platform-takes-more-space-gramercy-park/" TargetMode="External" Id="rId68"/><Relationship Type="http://schemas.openxmlformats.org/officeDocument/2006/relationships/hyperlink" Target="https://ro.co" TargetMode="External" Id="rId69"/><Relationship Type="http://schemas.openxmlformats.org/officeDocument/2006/relationships/hyperlink" Target="https://www.builtinnyc.com/company/ro" TargetMode="External" Id="rId70"/><Relationship Type="http://schemas.openxmlformats.org/officeDocument/2006/relationships/hyperlink" Target="https://www.builtinnyc.com/company/ro/offices" TargetMode="External" Id="rId71"/><Relationship Type="http://schemas.openxmlformats.org/officeDocument/2006/relationships/hyperlink" Target="https://commercialobserver.com/2024/11/trading-firm-gts-lease-625-avenue-of-the-americas/" TargetMode="External" Id="rId72"/><Relationship Type="http://schemas.openxmlformats.org/officeDocument/2006/relationships/hyperlink" Target="https://www.colehaan.com" TargetMode="External" Id="rId73"/><Relationship Type="http://schemas.openxmlformats.org/officeDocument/2006/relationships/hyperlink" Target="https://www.builtinnyc.com/company/cole-haan" TargetMode="External" Id="rId74"/><Relationship Type="http://schemas.openxmlformats.org/officeDocument/2006/relationships/hyperlink" Target="https://commercialobserver.com/2024/09/cole-haan-32bj-lease-620-avenue-of-the-americas/" TargetMode="External" Id="rId75"/><Relationship Type="http://schemas.openxmlformats.org/officeDocument/2006/relationships/hyperlink" Target="https://www.builtinnyc.com/company/cole-haan/offices" TargetMode="External" Id="rId76"/><Relationship Type="http://schemas.openxmlformats.org/officeDocument/2006/relationships/hyperlink" Target="https://www.palantir.com" TargetMode="External" Id="rId77"/><Relationship Type="http://schemas.openxmlformats.org/officeDocument/2006/relationships/hyperlink" Target="https://en.wikipedia.org/wiki/Palantir_Technologies" TargetMode="External" Id="rId78"/><Relationship Type="http://schemas.openxmlformats.org/officeDocument/2006/relationships/hyperlink" Target="https://commercialobserver.com/2024/05/palantir-lease-620-avenue-of-the-americas/" TargetMode="External" Id="rId79"/><Relationship Type="http://schemas.openxmlformats.org/officeDocument/2006/relationships/hyperlink" Target="https://www.wbd.com" TargetMode="External" Id="rId80"/><Relationship Type="http://schemas.openxmlformats.org/officeDocument/2006/relationships/hyperlink" Target="https://www.builtinnyc.com/company/warner-bros-discovery" TargetMode="External" Id="rId81"/><Relationship Type="http://schemas.openxmlformats.org/officeDocument/2006/relationships/hyperlink" Target="https://data.sec.gov/submissions/CIK0001437107.json" TargetMode="External" Id="rId82"/><Relationship Type="http://schemas.openxmlformats.org/officeDocument/2006/relationships/hyperlink" Target="https://commercialobserver.com/2023/01/warner-brothers-discovery-park-avenue-south/" TargetMode="External" Id="rId83"/><Relationship Type="http://schemas.openxmlformats.org/officeDocument/2006/relationships/hyperlink" Target="https://www.perkinseastman.com" TargetMode="External" Id="rId84"/><Relationship Type="http://schemas.openxmlformats.org/officeDocument/2006/relationships/hyperlink" Target="https://www.builtinnyc.com/company/perkins-eastman" TargetMode="External" Id="rId85"/><Relationship Type="http://schemas.openxmlformats.org/officeDocument/2006/relationships/hyperlink" Target="https://www.perkinseastman.com/studios/new-york/" TargetMode="External" Id="rId86"/><Relationship Type="http://schemas.openxmlformats.org/officeDocument/2006/relationships/hyperlink" Target="https://www.prophet.com" TargetMode="External" Id="rId87"/><Relationship Type="http://schemas.openxmlformats.org/officeDocument/2006/relationships/hyperlink" Target="https://www.builtinnyc.com/company/prophet" TargetMode="External" Id="rId88"/><Relationship Type="http://schemas.openxmlformats.org/officeDocument/2006/relationships/hyperlink" Target="https://commercialobserver.com/2026/04/adyen-lease-111-115-fifth-avenue/" TargetMode="External" Id="rId89"/><Relationship Type="http://schemas.openxmlformats.org/officeDocument/2006/relationships/hyperlink" Target="https://www.netflix.com" TargetMode="External" Id="rId90"/><Relationship Type="http://schemas.openxmlformats.org/officeDocument/2006/relationships/hyperlink" Target="https://www.builtinnyc.com/company/netflix" TargetMode="External" Id="rId91"/><Relationship Type="http://schemas.openxmlformats.org/officeDocument/2006/relationships/hyperlink" Target="https://commercialobserver.com/2026/10/williams-equities-michael-t-cohen-robert-getreu-andrew-roos-office-new-york/" TargetMode="External" Id="rId92"/><Relationship Type="http://schemas.openxmlformats.org/officeDocument/2006/relationships/hyperlink" Target="https://therealdeal.com/new-york/2025/02/14/cannon-hill-recaps-888-broadway-at-amount-above-200m/" TargetMode="External" Id="rId93"/><Relationship Type="http://schemas.openxmlformats.org/officeDocument/2006/relationships/hyperlink" Target="https://www.zgf.com" TargetMode="External" Id="rId94"/><Relationship Type="http://schemas.openxmlformats.org/officeDocument/2006/relationships/hyperlink" Target="https://en.wikipedia.org/wiki/ZGF_Architects" TargetMode="External" Id="rId95"/><Relationship Type="http://schemas.openxmlformats.org/officeDocument/2006/relationships/hyperlink" Target="https://www.zgf.com/contact" TargetMode="External" Id="rId96"/><Relationship Type="http://schemas.openxmlformats.org/officeDocument/2006/relationships/hyperlink" Target="https://commercialobserver.com/2020/01/zgf-architects-lease-39-west-19th-street-rosen-family/" TargetMode="External" Id="rId97"/><Relationship Type="http://schemas.openxmlformats.org/officeDocument/2006/relationships/hyperlink" Target="https://www.toryburch.com" TargetMode="External" Id="rId98"/><Relationship Type="http://schemas.openxmlformats.org/officeDocument/2006/relationships/hyperlink" Target="https://www.builtinnyc.com/company/tory-burch" TargetMode="External" Id="rId99"/><Relationship Type="http://schemas.openxmlformats.org/officeDocument/2006/relationships/hyperlink" Target="https://www.builtinnyc.com/company/tory-burch/offices" TargetMode="External" Id="rId100"/><Relationship Type="http://schemas.openxmlformats.org/officeDocument/2006/relationships/hyperlink" Target="https://commercialobserver.com/2022/08/tory-burch-renewal-11-west-19th-street/" TargetMode="External" Id="rId101"/><Relationship Type="http://schemas.openxmlformats.org/officeDocument/2006/relationships/hyperlink" Target="https://www.infor.com" TargetMode="External" Id="rId102"/><Relationship Type="http://schemas.openxmlformats.org/officeDocument/2006/relationships/hyperlink" Target="https://www.builtinnyc.com/company/infor" TargetMode="External" Id="rId103"/><Relationship Type="http://schemas.openxmlformats.org/officeDocument/2006/relationships/hyperlink" Target="https://commercialobserver.com/2026/09/stash-financial-lease-641-avenue-of-the-americas/" TargetMode="External" Id="rId104"/><Relationship Type="http://schemas.openxmlformats.org/officeDocument/2006/relationships/hyperlink" Target="https://commercialobserver.com/2021/05/software-company-infor-reups-90k-sf-at-635-641-avenue-of-the-americas/" TargetMode="External" Id="rId105"/><Relationship Type="http://schemas.openxmlformats.org/officeDocument/2006/relationships/hyperlink" Target="https://www.dsm-firmenich.com" TargetMode="External" Id="rId106"/><Relationship Type="http://schemas.openxmlformats.org/officeDocument/2006/relationships/hyperlink" Target="https://en.wikipedia.org/wiki/DSM-Firmenich" TargetMode="External" Id="rId107"/><Relationship Type="http://schemas.openxmlformats.org/officeDocument/2006/relationships/hyperlink" Target="https://commercialobserver.com/2026/09/stash-financial-lease-641-avenue-of-the-americas/" TargetMode="External" Id="rId108"/><Relationship Type="http://schemas.openxmlformats.org/officeDocument/2006/relationships/hyperlink" Target="https://commercialobserver.com/2024/10/dsm-firmenich-lease-641-avenue-of-the-americas/" TargetMode="External" Id="rId109"/><Relationship Type="http://schemas.openxmlformats.org/officeDocument/2006/relationships/hyperlink" Target="https://www.mastercard.com" TargetMode="External" Id="rId110"/><Relationship Type="http://schemas.openxmlformats.org/officeDocument/2006/relationships/hyperlink" Target="https://www.builtinnyc.com/company/mastercard" TargetMode="External" Id="rId111"/><Relationship Type="http://schemas.openxmlformats.org/officeDocument/2006/relationships/hyperlink" Target="https://commercialobserver.com/2025/09/bam-labs-150-fifth-avenue-first-u-s-location/" TargetMode="External" Id="rId112"/><Relationship Type="http://schemas.openxmlformats.org/officeDocument/2006/relationships/hyperlink" Target="https://commercialobserver.com/2021/10/150-fifth-avenue-debuts-as-mastercards-new-tech-hq/" TargetMode="External" Id="rId113"/><Relationship Type="http://schemas.openxmlformats.org/officeDocument/2006/relationships/hyperlink" Target="https://www.millerknoll.com" TargetMode="External" Id="rId114"/><Relationship Type="http://schemas.openxmlformats.org/officeDocument/2006/relationships/hyperlink" Target="https://www.builtinnyc.com/company/millerknoll" TargetMode="External" Id="rId115"/><Relationship Type="http://schemas.openxmlformats.org/officeDocument/2006/relationships/hyperlink" Target="https://commercialobserver.com/2023/05/office-furniture-giant-millerknoll-adds-15k-sf-to-251-park-avenue-south-footprint/" TargetMode="External" Id="rId116"/><Relationship Type="http://schemas.openxmlformats.org/officeDocument/2006/relationships/hyperlink" Target="https://www.fenwick.com" TargetMode="External" Id="rId117"/><Relationship Type="http://schemas.openxmlformats.org/officeDocument/2006/relationships/hyperlink" Target="https://www.builtinnyc.com/company/fenwick-west" TargetMode="External" Id="rId118"/><Relationship Type="http://schemas.openxmlformats.org/officeDocument/2006/relationships/hyperlink" Target="https://commercialobserver.com/2026/06/fenwick-west-lease-expansion-rosen-902-broadway/" TargetMode="External" Id="rId119"/><Relationship Type="http://schemas.openxmlformats.org/officeDocument/2006/relationships/hyperlink" Target="https://www.builtinnyc.com/company/fenwick-west/offices" TargetMode="External" Id="rId120"/><Relationship Type="http://schemas.openxmlformats.org/officeDocument/2006/relationships/hyperlink" Target="https://seatgeek.com" TargetMode="External" Id="rId121"/><Relationship Type="http://schemas.openxmlformats.org/officeDocument/2006/relationships/hyperlink" Target="https://www.builtinnyc.com/company/seatgeek" TargetMode="External" Id="rId122"/><Relationship Type="http://schemas.openxmlformats.org/officeDocument/2006/relationships/hyperlink" Target="https://commercialobserver.com/2018/10/seatgeek-leases-72k-sf-for-new-flatiron-offices/" TargetMode="External" Id="rId123"/><Relationship Type="http://schemas.openxmlformats.org/officeDocument/2006/relationships/hyperlink" Target="https://www.metro-manhattan.com/buildings/902-broadway/" TargetMode="External" Id="rId124"/><Relationship Type="http://schemas.openxmlformats.org/officeDocument/2006/relationships/hyperlink" Target="https://www.angellist.com" TargetMode="External" Id="rId125"/><Relationship Type="http://schemas.openxmlformats.org/officeDocument/2006/relationships/hyperlink" Target="https://www.builtinnyc.com/company/angellist" TargetMode="External" Id="rId126"/><Relationship Type="http://schemas.openxmlformats.org/officeDocument/2006/relationships/hyperlink" Target="https://commercialobserver.com/2025/09/angellist-lease-257-park-avenue-south/" TargetMode="External" Id="rId127"/><Relationship Type="http://schemas.openxmlformats.org/officeDocument/2006/relationships/hyperlink" Target="https://www.reaktor.com" TargetMode="External" Id="rId128"/><Relationship Type="http://schemas.openxmlformats.org/officeDocument/2006/relationships/hyperlink" Target="https://www.builtinnyc.com/company/reaktor" TargetMode="External" Id="rId129"/><Relationship Type="http://schemas.openxmlformats.org/officeDocument/2006/relationships/hyperlink" Target="https://www.builtinnyc.com/company/reaktor/offices" TargetMode="External" Id="rId130"/><Relationship Type="http://schemas.openxmlformats.org/officeDocument/2006/relationships/hyperlink" Target="https://commercialobserver.com/2025/04/actively-ai-lease-30-west-21st-street/" TargetMode="External" Id="rId131"/><Relationship Type="http://schemas.openxmlformats.org/officeDocument/2006/relationships/hyperlink" Target="https://www.airtable.com" TargetMode="External" Id="rId132"/><Relationship Type="http://schemas.openxmlformats.org/officeDocument/2006/relationships/hyperlink" Target="https://www.builtinnyc.com/company/airtable" TargetMode="External" Id="rId133"/><Relationship Type="http://schemas.openxmlformats.org/officeDocument/2006/relationships/hyperlink" Target="https://www.builtinnyc.com/company/airtable/offices" TargetMode="External" Id="rId134"/><Relationship Type="http://schemas.openxmlformats.org/officeDocument/2006/relationships/hyperlink" Target="https://www.mcsaatchi.com/" TargetMode="External" Id="rId135"/><Relationship Type="http://schemas.openxmlformats.org/officeDocument/2006/relationships/hyperlink" Target="https://en.wikipedia.org/wiki/M%26C_Saatchi" TargetMode="External" Id="rId136"/><Relationship Type="http://schemas.openxmlformats.org/officeDocument/2006/relationships/hyperlink" Target="https://www.builtinnyc.com/company/m-c-saatchi-group/offices" TargetMode="External" Id="rId137"/><Relationship Type="http://schemas.openxmlformats.org/officeDocument/2006/relationships/hyperlink" Target="https://flatironnomad.nyc/2024/01/03/december-news-roundup-4/" TargetMode="External" Id="rId138"/><Relationship Type="http://schemas.openxmlformats.org/officeDocument/2006/relationships/hyperlink" Target="https://www.elfcosmetics.com" TargetMode="External" Id="rId139"/><Relationship Type="http://schemas.openxmlformats.org/officeDocument/2006/relationships/hyperlink" Target="https://www.builtinnyc.com/company/elf-beauty" TargetMode="External" Id="rId140"/><Relationship Type="http://schemas.openxmlformats.org/officeDocument/2006/relationships/hyperlink" Target="https://commercialobserver.com/2024/08/elf-beauty-lease-gfp-real-estate-16-west-22nd-street/" TargetMode="External" Id="rId141"/><Relationship Type="http://schemas.openxmlformats.org/officeDocument/2006/relationships/hyperlink" Target="https://www.fanduel.com/" TargetMode="External" Id="rId142"/><Relationship Type="http://schemas.openxmlformats.org/officeDocument/2006/relationships/hyperlink" Target="https://www.builtinnyc.com/company/fanduel/offices" TargetMode="External" Id="rId143"/><Relationship Type="http://schemas.openxmlformats.org/officeDocument/2006/relationships/hyperlink" Target="https://rockrose.com/office/300-park-ave-s/" TargetMode="External" Id="rId144"/><Relationship Type="http://schemas.openxmlformats.org/officeDocument/2006/relationships/hyperlink" Target="https://www.builtinnyc.com/company/fanduel/offices" TargetMode="External" Id="rId145"/><Relationship Type="http://schemas.openxmlformats.org/officeDocument/2006/relationships/hyperlink" Target="https://www.buzzfeed.com/" TargetMode="External" Id="rId146"/><Relationship Type="http://schemas.openxmlformats.org/officeDocument/2006/relationships/hyperlink" Target="https://www.builtinnyc.com/company/buzzfeed/offices" TargetMode="External" Id="rId147"/><Relationship Type="http://schemas.openxmlformats.org/officeDocument/2006/relationships/hyperlink" Target="https://commercialobserver.com/2025/03/buzfeed-lease-50-west-23rd-street/" TargetMode="External" Id="rId148"/><Relationship Type="http://schemas.openxmlformats.org/officeDocument/2006/relationships/hyperlink" Target="https://commercialobserver.com/?p=544473" TargetMode="External" Id="rId149"/><Relationship Type="http://schemas.openxmlformats.org/officeDocument/2006/relationships/hyperlink" Target="https://www.instacart.com/" TargetMode="External" Id="rId150"/><Relationship Type="http://schemas.openxmlformats.org/officeDocument/2006/relationships/hyperlink" Target="https://www.builtinnyc.com/company/instacart/offices" TargetMode="External" Id="rId151"/><Relationship Type="http://schemas.openxmlformats.org/officeDocument/2006/relationships/hyperlink" Target="https://nyrej.com/index.php/two-new-leases-signed-at-50-west-23rd-st" TargetMode="External" Id="rId152"/><Relationship Type="http://schemas.openxmlformats.org/officeDocument/2006/relationships/hyperlink" Target="https://commercialobserver.com/2026/07/instacart-lease-esrt-111-west-33rd-street/" TargetMode="External" Id="rId153"/><Relationship Type="http://schemas.openxmlformats.org/officeDocument/2006/relationships/hyperlink" Target="https://www.msqpartners.com/" TargetMode="External" Id="rId154"/><Relationship Type="http://schemas.openxmlformats.org/officeDocument/2006/relationships/hyperlink" Target="https://www.msqpartners.com/about" TargetMode="External" Id="rId155"/><Relationship Type="http://schemas.openxmlformats.org/officeDocument/2006/relationships/hyperlink" Target="https://commercialobserver.com/?p=544473" TargetMode="External" Id="rId156"/><Relationship Type="http://schemas.openxmlformats.org/officeDocument/2006/relationships/hyperlink" Target="https://nyrej.com/index.php/two-new-leases-signed-at-50-west-23rd-st" TargetMode="External" Id="rId157"/><Relationship Type="http://schemas.openxmlformats.org/officeDocument/2006/relationships/hyperlink" Target="https://www.trustpilot.com/" TargetMode="External" Id="rId158"/><Relationship Type="http://schemas.openxmlformats.org/officeDocument/2006/relationships/hyperlink" Target="https://www.builtinnyc.com/company/trustpilot/offices" TargetMode="External" Id="rId159"/><Relationship Type="http://schemas.openxmlformats.org/officeDocument/2006/relationships/hyperlink" Target="https://nyrej.com/index.php/two-new-leases-signed-at-50-west-23rd-st" TargetMode="External" Id="rId160"/><Relationship Type="http://schemas.openxmlformats.org/officeDocument/2006/relationships/hyperlink" Target="https://www.builtinnyc.com/company/trustpilot/offices" TargetMode="External" Id="rId161"/><Relationship Type="http://schemas.openxmlformats.org/officeDocument/2006/relationships/hyperlink" Target="https://ramp.com/" TargetMode="External" Id="rId162"/><Relationship Type="http://schemas.openxmlformats.org/officeDocument/2006/relationships/hyperlink" Target="https://en.wikipedia.org/wiki/Ramp_(company)" TargetMode="External" Id="rId163"/><Relationship Type="http://schemas.openxmlformats.org/officeDocument/2006/relationships/hyperlink" Target="https://commercialobserver.com/2026/04/manhattan-office-leasing-2026-class-a/" TargetMode="External" Id="rId164"/><Relationship Type="http://schemas.openxmlformats.org/officeDocument/2006/relationships/hyperlink" Target="https://www.metro-manhattan.com/neighborhoods/midtown-south/flatiron/" TargetMode="External" Id="rId165"/><Relationship Type="http://schemas.openxmlformats.org/officeDocument/2006/relationships/hyperlink" Target="https://www.img.com" TargetMode="External" Id="rId166"/><Relationship Type="http://schemas.openxmlformats.org/officeDocument/2006/relationships/hyperlink" Target="https://en.wikipedia.org/wiki/IMG_(company)" TargetMode="External" Id="rId167"/><Relationship Type="http://schemas.openxmlformats.org/officeDocument/2006/relationships/hyperlink" Target="https://commercialobserver.com/2026/09/img-worldwide-lease-renewal-304-park-avenue-south/" TargetMode="External" Id="rId168"/><Relationship Type="http://schemas.openxmlformats.org/officeDocument/2006/relationships/hyperlink" Target="https://therealdeal.com/new-york/2026/10/07/new-york-citys-top-office-leases-in-september/" TargetMode="External" Id="rId169"/><Relationship Type="http://schemas.openxmlformats.org/officeDocument/2006/relationships/hyperlink" Target="https://www.hugeinc.com/" TargetMode="External" Id="rId170"/><Relationship Type="http://schemas.openxmlformats.org/officeDocument/2006/relationships/hyperlink" Target="https://www.builtinnyc.com/company/huge/offices" TargetMode="External" Id="rId171"/><Relationship Type="http://schemas.openxmlformats.org/officeDocument/2006/relationships/hyperlink" Target="https://commercialobserver.com/2025/10/huge-lease-adams-53-west-23rd-street/" TargetMode="External" Id="rId172"/><Relationship Type="http://schemas.openxmlformats.org/officeDocument/2006/relationships/hyperlink" Target="https://flatironnomad.nyc/2025/11/05/october-news-roundup-6/" TargetMode="External" Id="rId173"/><Relationship Type="http://schemas.openxmlformats.org/officeDocument/2006/relationships/hyperlink" Target="https://www.tilebar.com/" TargetMode="External" Id="rId174"/><Relationship Type="http://schemas.openxmlformats.org/officeDocument/2006/relationships/hyperlink" Target="https://www.builtinnyc.com/company/tilebar/offices" TargetMode="External" Id="rId175"/><Relationship Type="http://schemas.openxmlformats.org/officeDocument/2006/relationships/hyperlink" Target="https://rebusinessonline.com/tilebar-signs-34000-sf-office-lease-in-manhattans-flatiron-district/" TargetMode="External" Id="rId176"/><Relationship Type="http://schemas.openxmlformats.org/officeDocument/2006/relationships/hyperlink" Target="https://commercialobserver.com/2025/10/huge-lease-adams-53-west-23rd-street/" TargetMode="External" Id="rId177"/><Relationship Type="http://schemas.openxmlformats.org/officeDocument/2006/relationships/hyperlink" Target="https://www.doordash.com/" TargetMode="External" Id="rId178"/><Relationship Type="http://schemas.openxmlformats.org/officeDocument/2006/relationships/hyperlink" Target="https://en.wikipedia.org/wiki/DoorDash" TargetMode="External" Id="rId179"/><Relationship Type="http://schemas.openxmlformats.org/officeDocument/2006/relationships/hyperlink" Target="https://therealdeal.com/new-york/2025/04/03/bxps-200-fifth-avenue-lands-law-firm-tenant" TargetMode="External" Id="rId180"/><Relationship Type="http://schemas.openxmlformats.org/officeDocument/2006/relationships/hyperlink" Target="https://www.goodwinlaw.com/" TargetMode="External" Id="rId181"/><Relationship Type="http://schemas.openxmlformats.org/officeDocument/2006/relationships/hyperlink" Target="https://en.wikipedia.org/wiki/Goodwin_Procter" TargetMode="External" Id="rId182"/><Relationship Type="http://schemas.openxmlformats.org/officeDocument/2006/relationships/hyperlink" Target="https://therealdeal.com/new-york/2025/04/03/bxps-200-fifth-avenue-lands-law-firm-tenant" TargetMode="External" Id="rId183"/><Relationship Type="http://schemas.openxmlformats.org/officeDocument/2006/relationships/hyperlink" Target="https://flatironnomad.nyc/2025/05/07/april-news-roundup-6/" TargetMode="External" Id="rId184"/><Relationship Type="http://schemas.openxmlformats.org/officeDocument/2006/relationships/hyperlink" Target="https://www.grey.com/" TargetMode="External" Id="rId185"/><Relationship Type="http://schemas.openxmlformats.org/officeDocument/2006/relationships/hyperlink" Target="https://www.builtinnyc.com/company/grey-group/offices" TargetMode="External" Id="rId186"/><Relationship Type="http://schemas.openxmlformats.org/officeDocument/2006/relationships/hyperlink" Target="https://therealdeal.com/new-york/2025/04/03/bxps-200-fifth-avenue-lands-law-firm-tenant" TargetMode="External" Id="rId187"/><Relationship Type="http://schemas.openxmlformats.org/officeDocument/2006/relationships/hyperlink" Target="https://tkogrp.com/" TargetMode="External" Id="rId188"/><Relationship Type="http://schemas.openxmlformats.org/officeDocument/2006/relationships/hyperlink" Target="https://en.wikipedia.org/wiki/TKO_Group_Holdings" TargetMode="External" Id="rId189"/><Relationship Type="http://schemas.openxmlformats.org/officeDocument/2006/relationships/hyperlink" Target="https://tkogrp.com/privacy-policy/" TargetMode="External" Id="rId190"/><Relationship Type="http://schemas.openxmlformats.org/officeDocument/2006/relationships/hyperlink" Target="https://en.wikipedia.org/wiki/200_Fifth_Avenue" TargetMode="External" Id="rId191"/><Relationship Type="http://schemas.openxmlformats.org/officeDocument/2006/relationships/hyperlink" Target="https://www.tiffany.com/" TargetMode="External" Id="rId192"/><Relationship Type="http://schemas.openxmlformats.org/officeDocument/2006/relationships/hyperlink" Target="https://www.builtinnyc.com/company/tiffany-co/offices" TargetMode="External" Id="rId193"/><Relationship Type="http://schemas.openxmlformats.org/officeDocument/2006/relationships/hyperlink" Target="https://therealdeal.com/new-york/2025/04/03/bxps-200-fifth-avenue-lands-law-firm-tenant" TargetMode="External" Id="rId194"/><Relationship Type="http://schemas.openxmlformats.org/officeDocument/2006/relationships/hyperlink" Target="https://www.builtinnyc.com/company/tiffany-co/offices" TargetMode="External" Id="rId195"/><Relationship Type="http://schemas.openxmlformats.org/officeDocument/2006/relationships/hyperlink" Target="https://www.coinbase.com/" TargetMode="External" Id="rId196"/><Relationship Type="http://schemas.openxmlformats.org/officeDocument/2006/relationships/hyperlink" Target="https://en.wikipedia.org/wiki/Coinbase" TargetMode="External" Id="rId197"/><Relationship Type="http://schemas.openxmlformats.org/officeDocument/2006/relationships/hyperlink" Target="https://slgreen.com/sl-green-signs-new-64000-square-foot-lease-with-sigma-computing-at-one-madison-avenue/" TargetMode="External" Id="rId198"/><Relationship Type="http://schemas.openxmlformats.org/officeDocument/2006/relationships/hyperlink" Target="https://www.flutter.com/" TargetMode="External" Id="rId199"/><Relationship Type="http://schemas.openxmlformats.org/officeDocument/2006/relationships/hyperlink" Target="https://en.wikipedia.org/wiki/Flutter_Entertainment" TargetMode="External" Id="rId200"/><Relationship Type="http://schemas.openxmlformats.org/officeDocument/2006/relationships/hyperlink" Target="https://slgreen.com/sl-green-signs-new-64000-square-foot-lease-with-sigma-computing-at-one-madison-avenue/" TargetMode="External" Id="rId201"/><Relationship Type="http://schemas.openxmlformats.org/officeDocument/2006/relationships/hyperlink" Target="https://www.franklintempleton.com/" TargetMode="External" Id="rId202"/><Relationship Type="http://schemas.openxmlformats.org/officeDocument/2006/relationships/hyperlink" Target="https://en.wikipedia.org/wiki/Franklin_Templeton" TargetMode="External" Id="rId203"/><Relationship Type="http://schemas.openxmlformats.org/officeDocument/2006/relationships/hyperlink" Target="https://slgreen.com/sl-green-signs-new-64000-square-foot-lease-with-sigma-computing-at-one-madison-avenue/" TargetMode="External" Id="rId204"/><Relationship Type="http://schemas.openxmlformats.org/officeDocument/2006/relationships/hyperlink" Target="https://rebusinessonline.com/franklin-templeton-signs-347474-sf-office-lease-at-one-madison-avenue-in-manhattan/" TargetMode="External" Id="rId205"/><Relationship Type="http://schemas.openxmlformats.org/officeDocument/2006/relationships/hyperlink" Target="https://www.ibm.com/" TargetMode="External" Id="rId206"/><Relationship Type="http://schemas.openxmlformats.org/officeDocument/2006/relationships/hyperlink" Target="https://en.wikipedia.org/wiki/IBM" TargetMode="External" Id="rId207"/><Relationship Type="http://schemas.openxmlformats.org/officeDocument/2006/relationships/hyperlink" Target="https://commercialobserver.com/2026/03/harvey-ai-expansion-lease-sl-green-one-madison-avenue/" TargetMode="External" Id="rId208"/><Relationship Type="http://schemas.openxmlformats.org/officeDocument/2006/relationships/hyperlink" Target="https://slgreen.com/sl-green-signs-new-64000-square-foot-lease-with-sigma-computing-at-one-madison-avenue/" TargetMode="External" Id="rId209"/><Relationship Type="http://schemas.openxmlformats.org/officeDocument/2006/relationships/hyperlink" Target="https://www.paloaltonetworks.com/" TargetMode="External" Id="rId210"/><Relationship Type="http://schemas.openxmlformats.org/officeDocument/2006/relationships/hyperlink" Target="https://en.wikipedia.org/wiki/Palo_Alto_Networks" TargetMode="External" Id="rId211"/><Relationship Type="http://schemas.openxmlformats.org/officeDocument/2006/relationships/hyperlink" Target="https://slgreen.com/sl-green-signs-new-64000-square-foot-lease-with-sigma-computing-at-one-madison-avenue/" TargetMode="External" Id="rId212"/><Relationship Type="http://schemas.openxmlformats.org/officeDocument/2006/relationships/hyperlink" Target="https://www.amazon.com/" TargetMode="External" Id="rId213"/><Relationship Type="http://schemas.openxmlformats.org/officeDocument/2006/relationships/hyperlink" Target="https://en.wikipedia.org/wiki/Amazon_(company)" TargetMode="External" Id="rId214"/><Relationship Type="http://schemas.openxmlformats.org/officeDocument/2006/relationships/hyperlink" Target="https://commercialobserver.com/2026/02/bluefish-lease-315-park-avenue-south/" TargetMode="External" Id="rId215"/><Relationship Type="http://schemas.openxmlformats.org/officeDocument/2006/relationships/hyperlink" Target="https://pitchbook.com/" TargetMode="External" Id="rId216"/><Relationship Type="http://schemas.openxmlformats.org/officeDocument/2006/relationships/hyperlink" Target="https://www.builtinnyc.com/company/pitchbook/offices" TargetMode="External" Id="rId217"/><Relationship Type="http://schemas.openxmlformats.org/officeDocument/2006/relationships/hyperlink" Target="https://commercialobserver.com/2026/02/bluefish-lease-315-park-avenue-south/" TargetMode="External" Id="rId218"/><Relationship Type="http://schemas.openxmlformats.org/officeDocument/2006/relationships/hyperlink" Target="https://www.builtinnyc.com/company/pitchbook/offices" TargetMode="External" Id="rId219"/><Relationship Type="http://schemas.openxmlformats.org/officeDocument/2006/relationships/hyperlink" Target="https://www.unitedtalent.com/" TargetMode="External" Id="rId220"/><Relationship Type="http://schemas.openxmlformats.org/officeDocument/2006/relationships/hyperlink" Target="https://en.wikipedia.org/wiki/United_Talent_Agency" TargetMode="External" Id="rId221"/><Relationship Type="http://schemas.openxmlformats.org/officeDocument/2006/relationships/hyperlink" Target="https://commercialobserver.com/2026/07/united-talent-agency-lease-esrt-empire-state-building/" TargetMode="External" Id="rId222"/><Relationship Type="http://schemas.openxmlformats.org/officeDocument/2006/relationships/hyperlink" Target="https://legora.com/" TargetMode="External" Id="rId223"/><Relationship Type="http://schemas.openxmlformats.org/officeDocument/2006/relationships/hyperlink" Target="https://www.builtinnyc.com/company/legora/offices" TargetMode="External" Id="rId224"/><Relationship Type="http://schemas.openxmlformats.org/officeDocument/2006/relationships/hyperlink" Target="https://commercialobserver.com/2026/07/ai-firm-legora-takes-98k-sl-greens-11-madison-avenue/" TargetMode="External" Id="rId225"/><Relationship Type="http://schemas.openxmlformats.org/officeDocument/2006/relationships/hyperlink" Target="https://flatironnomad.nyc/2026/08/05/july-news-roundup-6/" TargetMode="External" Id="rId226"/><Relationship Type="http://schemas.openxmlformats.org/officeDocument/2006/relationships/hyperlink" Target="https://www.pinterest.com/" TargetMode="External" Id="rId227"/><Relationship Type="http://schemas.openxmlformats.org/officeDocument/2006/relationships/hyperlink" Target="https://en.wikipedia.org/wiki/Pinterest" TargetMode="External" Id="rId228"/><Relationship Type="http://schemas.openxmlformats.org/officeDocument/2006/relationships/hyperlink" Target="https://commercialobserver.com/2026/07/ai-firm-legora-takes-98k-sl-greens-11-madison-avenue/" TargetMode="External" Id="rId229"/><Relationship Type="http://schemas.openxmlformats.org/officeDocument/2006/relationships/hyperlink" Target="https://slgreen.com/?p=12833" TargetMode="External" Id="rId230"/><Relationship Type="http://schemas.openxmlformats.org/officeDocument/2006/relationships/hyperlink" Target="https://www.sonymusic.com/" TargetMode="External" Id="rId231"/><Relationship Type="http://schemas.openxmlformats.org/officeDocument/2006/relationships/hyperlink" Target="https://en.wikipedia.org/wiki/Sony_Music" TargetMode="External" Id="rId232"/><Relationship Type="http://schemas.openxmlformats.org/officeDocument/2006/relationships/hyperlink" Target="https://slgreen.com/?p=12833" TargetMode="External" Id="rId233"/><Relationship Type="http://schemas.openxmlformats.org/officeDocument/2006/relationships/hyperlink" Target="https://en.wikipedia.org/wiki/Sony_Music" TargetMode="External" Id="rId234"/><Relationship Type="http://schemas.openxmlformats.org/officeDocument/2006/relationships/hyperlink" Target="https://www.suntoryglobalspirits.com/" TargetMode="External" Id="rId235"/><Relationship Type="http://schemas.openxmlformats.org/officeDocument/2006/relationships/hyperlink" Target="https://en.wikipedia.org/wiki/Suntory_Global_Spirits" TargetMode="External" Id="rId236"/><Relationship Type="http://schemas.openxmlformats.org/officeDocument/2006/relationships/hyperlink" Target="https://slgreen.com/?p=12833" TargetMode="External" Id="rId237"/><Relationship Type="http://schemas.openxmlformats.org/officeDocument/2006/relationships/hyperlink" Target="https://commercialobserver.com/2026/07/ai-firm-legora-takes-98k-sl-greens-11-madison-avenue/" TargetMode="External" Id="rId238"/><Relationship Type="http://schemas.openxmlformats.org/officeDocument/2006/relationships/hyperlink" Target="https://www.tempus.com/" TargetMode="External" Id="rId239"/><Relationship Type="http://schemas.openxmlformats.org/officeDocument/2006/relationships/hyperlink" Target="https://en.wikipedia.org/wiki/Tempus_AI" TargetMode="External" Id="rId240"/><Relationship Type="http://schemas.openxmlformats.org/officeDocument/2006/relationships/hyperlink" Target="https://commercialobserver.com/2026/03/clay-ai-lease-sl-green-11-madison-avenue/" TargetMode="External" Id="rId241"/><Relationship Type="http://schemas.openxmlformats.org/officeDocument/2006/relationships/hyperlink" Target="https://commercialobserver.com/2026/07/ai-firm-legora-takes-98k-sl-greens-11-madison-avenue/" TargetMode="External" Id="rId242"/><Relationship Type="http://schemas.openxmlformats.org/officeDocument/2006/relationships/hyperlink" Target="https://www.ubs.com/" TargetMode="External" Id="rId243"/><Relationship Type="http://schemas.openxmlformats.org/officeDocument/2006/relationships/hyperlink" Target="https://en.wikipedia.org/wiki/UBS" TargetMode="External" Id="rId244"/><Relationship Type="http://schemas.openxmlformats.org/officeDocument/2006/relationships/hyperlink" Target="https://slgreen.com/?p=12833" TargetMode="External" Id="rId245"/><Relationship Type="http://schemas.openxmlformats.org/officeDocument/2006/relationships/hyperlink" Target="https://commercialobserver.com/2026/07/ai-firm-legora-takes-98k-sl-greens-11-madison-avenue/" TargetMode="External" Id="rId246"/><Relationship Type="http://schemas.openxmlformats.org/officeDocument/2006/relationships/hyperlink" Target="https://www.wmeagency.com/" TargetMode="External" Id="rId247"/><Relationship Type="http://schemas.openxmlformats.org/officeDocument/2006/relationships/hyperlink" Target="https://en.wikipedia.org/wiki/William_Morris_Endeavor" TargetMode="External" Id="rId248"/><Relationship Type="http://schemas.openxmlformats.org/officeDocument/2006/relationships/hyperlink" Target="https://slgreen.com/?p=12833" TargetMode="External" Id="rId249"/><Relationship Type="http://schemas.openxmlformats.org/officeDocument/2006/relationships/hyperlink" Target="https://commercialobserver.com/2026/07/ai-firm-legora-takes-98k-sl-greens-11-madison-avenue/" TargetMode="External" Id="rId250"/><Relationship Type="http://schemas.openxmlformats.org/officeDocument/2006/relationships/hyperlink" Target="https://withpersona.com/" TargetMode="External" Id="rId251"/><Relationship Type="http://schemas.openxmlformats.org/officeDocument/2006/relationships/hyperlink" Target="https://www.builtinnyc.com/company/persona/offices" TargetMode="External" Id="rId252"/><Relationship Type="http://schemas.openxmlformats.org/officeDocument/2006/relationships/hyperlink" Target="https://www.builtinnyc.com/company/persona/offices" TargetMode="External" Id="rId253"/><Relationship Type="http://schemas.openxmlformats.org/officeDocument/2006/relationships/hyperlink" Target="https://www.mphasis.com" TargetMode="External" Id="rId254"/><Relationship Type="http://schemas.openxmlformats.org/officeDocument/2006/relationships/hyperlink" Target="https://www.builtinnyc.com/company/mphasis/offices" TargetMode="External" Id="rId255"/><Relationship Type="http://schemas.openxmlformats.org/officeDocument/2006/relationships/hyperlink" Target="https://commercialobserver.com/2026/10/mphasis-lease-expansion-rudin-41-madison-avenue/" TargetMode="External" Id="rId256"/><Relationship Type="http://schemas.openxmlformats.org/officeDocument/2006/relationships/hyperlink" Target="https://www.sharkninja.com" TargetMode="External" Id="rId257"/><Relationship Type="http://schemas.openxmlformats.org/officeDocument/2006/relationships/hyperlink" Target="https://www.builtinnyc.com/company/sharkninja/offices" TargetMode="External" Id="rId258"/><Relationship Type="http://schemas.openxmlformats.org/officeDocument/2006/relationships/hyperlink" Target="https://www.builtinnyc.com/articles/sharkninja-opens-nyc-office-20251105" TargetMode="External" Id="rId259"/><Relationship Type="http://schemas.openxmlformats.org/officeDocument/2006/relationships/hyperlink" Target="https://commercialobserver.com/2025/01/sharkninja-rudin-41-madison-avenue/" TargetMode="External" Id="rId260"/><Relationship Type="http://schemas.openxmlformats.org/officeDocument/2006/relationships/hyperlink" Target="https://www.marriott.com/" TargetMode="External" Id="rId261"/><Relationship Type="http://schemas.openxmlformats.org/officeDocument/2006/relationships/hyperlink" Target="https://en.wikipedia.org/wiki/Marriott_International" TargetMode="External" Id="rId262"/><Relationship Type="http://schemas.openxmlformats.org/officeDocument/2006/relationships/hyperlink" Target="https://www.connectcre.com/stories/bxp-secures-230k-sf-of-leases-at-360-park-ave-south/" TargetMode="External" Id="rId263"/><Relationship Type="http://schemas.openxmlformats.org/officeDocument/2006/relationships/hyperlink" Target="https://commercialobserver.com/2026/09/rogo-technologies-360-park-avenue-south-lease-expansion/" TargetMode="External" Id="rId264"/><Relationship Type="http://schemas.openxmlformats.org/officeDocument/2006/relationships/hyperlink" Target="https://optiver.com" TargetMode="External" Id="rId265"/><Relationship Type="http://schemas.openxmlformats.org/officeDocument/2006/relationships/hyperlink" Target="https://www.builtinnyc.com/company/optiver/offices" TargetMode="External" Id="rId266"/><Relationship Type="http://schemas.openxmlformats.org/officeDocument/2006/relationships/hyperlink" Target="https://commercialobserver.com/2025/05/optiver-lease-360-park-avenue-south/" TargetMode="External" Id="rId267"/><Relationship Type="http://schemas.openxmlformats.org/officeDocument/2006/relationships/hyperlink" Target="https://www.builtinnyc.com/company/optiver/offices" TargetMode="External" Id="rId268"/><Relationship Type="http://schemas.openxmlformats.org/officeDocument/2006/relationships/hyperlink" Target="https://www.grammarly.com/" TargetMode="External" Id="rId269"/><Relationship Type="http://schemas.openxmlformats.org/officeDocument/2006/relationships/hyperlink" Target="https://www.builtinnyc.com/company/superhuman-1/offices" TargetMode="External" Id="rId270"/><Relationship Type="http://schemas.openxmlformats.org/officeDocument/2006/relationships/hyperlink" Target="https://commercialobserver.com/2025/09/grammarly-bxps-360-park-avenue-south/" TargetMode="External" Id="rId271"/><Relationship Type="http://schemas.openxmlformats.org/officeDocument/2006/relationships/hyperlink" Target="https://commercialobserver.com/2026/01/betches-coming-360-park-avenue-south/" TargetMode="External" Id="rId272"/><Relationship Type="http://schemas.openxmlformats.org/officeDocument/2006/relationships/hyperlink" Target="https://vercel.com/" TargetMode="External" Id="rId273"/><Relationship Type="http://schemas.openxmlformats.org/officeDocument/2006/relationships/hyperlink" Target="https://en.wikipedia.org/wiki/Vercel" TargetMode="External" Id="rId274"/><Relationship Type="http://schemas.openxmlformats.org/officeDocument/2006/relationships/hyperlink" Target="https://www.connectcre.com/stories/bxp-secures-230k-sf-of-leases-at-360-park-ave-south/" TargetMode="External" Id="rId275"/><Relationship Type="http://schemas.openxmlformats.org/officeDocument/2006/relationships/hyperlink" Target="https://commercialobserver.com/2026/09/rogo-technologies-360-park-avenue-south-lease-expansion/" TargetMode="External" Id="rId276"/><Relationship Type="http://schemas.openxmlformats.org/officeDocument/2006/relationships/hyperlink" Target="https://www.ziffdavis.com" TargetMode="External" Id="rId277"/><Relationship Type="http://schemas.openxmlformats.org/officeDocument/2006/relationships/hyperlink" Target="https://www.builtinnyc.com/company/ziff-davis/offices" TargetMode="External" Id="rId278"/><Relationship Type="http://schemas.openxmlformats.org/officeDocument/2006/relationships/hyperlink" Target="https://commercialobserver.com/2025/05/optiver-lease-360-park-avenue-south/" TargetMode="External" Id="rId279"/><Relationship Type="http://schemas.openxmlformats.org/officeDocument/2006/relationships/hyperlink" Target="https://www.ziffdavis.com/" TargetMode="External" Id="rId280"/><Relationship Type="http://schemas.openxmlformats.org/officeDocument/2006/relationships/hyperlink" Target="https://www.kohler.com" TargetMode="External" Id="rId281"/><Relationship Type="http://schemas.openxmlformats.org/officeDocument/2006/relationships/hyperlink" Target="https://en.wikipedia.org/wiki/Kohler_Co." TargetMode="External" Id="rId282"/><Relationship Type="http://schemas.openxmlformats.org/officeDocument/2006/relationships/hyperlink" Target="https://commercialobserver.com/2023/04/kohler-lease-1140-broadway/" TargetMode="External" Id="rId283"/><Relationship Type="http://schemas.openxmlformats.org/officeDocument/2006/relationships/hyperlink" Target="https://www.jumptrading.com" TargetMode="External" Id="rId284"/><Relationship Type="http://schemas.openxmlformats.org/officeDocument/2006/relationships/hyperlink" Target="https://en.wikipedia.org/wiki/Jump_Trading" TargetMode="External" Id="rId285"/><Relationship Type="http://schemas.openxmlformats.org/officeDocument/2006/relationships/hyperlink" Target="https://commercialobserver.com/2025/10/lutron-electronics-office-lease-11-east-26th-street/" TargetMode="External" Id="rId286"/><Relationship Type="http://schemas.openxmlformats.org/officeDocument/2006/relationships/hyperlink" Target="https://commercialobserver.com/2025/03/reckoner-capital-management-lease-11-east-26th-street/" TargetMode="External" Id="rId287"/><Relationship Type="http://schemas.openxmlformats.org/officeDocument/2006/relationships/hyperlink" Target="https://www.lutron.com" TargetMode="External" Id="rId288"/><Relationship Type="http://schemas.openxmlformats.org/officeDocument/2006/relationships/hyperlink" Target="https://www.builtinnyc.com/company/lutron-electronics/offices" TargetMode="External" Id="rId289"/><Relationship Type="http://schemas.openxmlformats.org/officeDocument/2006/relationships/hyperlink" Target="https://commercialobserver.com/2025/10/lutron-electronics-office-lease-11-east-26th-street/" TargetMode="External" Id="rId290"/><Relationship Type="http://schemas.openxmlformats.org/officeDocument/2006/relationships/hyperlink" Target="https://grimshaw.global" TargetMode="External" Id="rId291"/><Relationship Type="http://schemas.openxmlformats.org/officeDocument/2006/relationships/hyperlink" Target="https://en.wikipedia.org/wiki/Grimshaw_Architects" TargetMode="External" Id="rId292"/><Relationship Type="http://schemas.openxmlformats.org/officeDocument/2006/relationships/hyperlink" Target="https://grimshaw.global/contact/" TargetMode="External" Id="rId293"/><Relationship Type="http://schemas.openxmlformats.org/officeDocument/2006/relationships/hyperlink" Target="https://commercialobserver.com/2022/12/grimshaw-architects-takes-19k-sf-offices-by-madison-square-park/" TargetMode="External" Id="rId294"/><Relationship Type="http://schemas.openxmlformats.org/officeDocument/2006/relationships/hyperlink" Target="https://www.springhealth.com" TargetMode="External" Id="rId295"/><Relationship Type="http://schemas.openxmlformats.org/officeDocument/2006/relationships/hyperlink" Target="https://www.builtinnyc.com/company/spring-health/offices" TargetMode="External" Id="rId296"/><Relationship Type="http://schemas.openxmlformats.org/officeDocument/2006/relationships/hyperlink" Target="https://www.builtinnyc.com/company/spring-health/offices" TargetMode="External" Id="rId297"/><Relationship Type="http://schemas.openxmlformats.org/officeDocument/2006/relationships/hyperlink" Target="https://commercialobserver.com/2022/08/spring-health-takes-30k-sf-60-madison-office-vacated-by-knotel/" TargetMode="External" Id="rId298"/><Relationship Type="http://schemas.openxmlformats.org/officeDocument/2006/relationships/hyperlink" Target="https://www.criteo.com" TargetMode="External" Id="rId299"/><Relationship Type="http://schemas.openxmlformats.org/officeDocument/2006/relationships/hyperlink" Target="https://www.builtinnyc.com/company/criteo/offices" TargetMode="External" Id="rId300"/><Relationship Type="http://schemas.openxmlformats.org/officeDocument/2006/relationships/hyperlink" Target="https://commercialobserver.com/2024/11/criteo-lease-387-park-avenue-south/" TargetMode="External" Id="rId301"/><Relationship Type="http://schemas.openxmlformats.org/officeDocument/2006/relationships/hyperlink" Target="https://www.builtinnyc.com/company/criteo/offices" TargetMode="External" Id="rId302"/><Relationship Type="http://schemas.openxmlformats.org/officeDocument/2006/relationships/hyperlink" Target="https://www.pmg.com" TargetMode="External" Id="rId303"/><Relationship Type="http://schemas.openxmlformats.org/officeDocument/2006/relationships/hyperlink" Target="https://www.builtinnyc.com/company/pmg/offices" TargetMode="External" Id="rId304"/><Relationship Type="http://schemas.openxmlformats.org/officeDocument/2006/relationships/hyperlink" Target="https://commercialobserver.com/2026/08/hanover-park-lease-tf-cornerstone-387-park-avenue-south/" TargetMode="External" Id="rId305"/><Relationship Type="http://schemas.openxmlformats.org/officeDocument/2006/relationships/hyperlink" Target="https://www.builtinnyc.com/company/pmg/offices" TargetMode="External" Id="rId306"/><Relationship Type="http://schemas.openxmlformats.org/officeDocument/2006/relationships/hyperlink" Target="https://www.ae.com" TargetMode="External" Id="rId307"/><Relationship Type="http://schemas.openxmlformats.org/officeDocument/2006/relationships/hyperlink" Target="https://www.builtinnyc.com/company/american-eagle-outfitters/offices" TargetMode="External" Id="rId308"/><Relationship Type="http://schemas.openxmlformats.org/officeDocument/2006/relationships/hyperlink" Target="https://commercialobserver.com/2025/08/american-eagle-outfitters-expansion-63-madison-avenue/" TargetMode="External" Id="rId309"/><Relationship Type="http://schemas.openxmlformats.org/officeDocument/2006/relationships/hyperlink" Target="https://www.prosek.com" TargetMode="External" Id="rId310"/><Relationship Type="http://schemas.openxmlformats.org/officeDocument/2006/relationships/hyperlink" Target="https://www.builtinnyc.com/company/prosek-partners/offices" TargetMode="External" Id="rId311"/><Relationship Type="http://schemas.openxmlformats.org/officeDocument/2006/relationships/hyperlink" Target="https://www.prosek.com/contact-us/" TargetMode="External" Id="rId312"/><Relationship Type="http://schemas.openxmlformats.org/officeDocument/2006/relationships/hyperlink" Target="https://commercialobserver.com/2022/06/communication-firm-prosek-partners-leases-34k-sf-at-28-east-28th-street/" TargetMode="External" Id="rId313"/><Relationship Type="http://schemas.openxmlformats.org/officeDocument/2006/relationships/hyperlink" Target="https://global.lockton.com/re/en" TargetMode="External" Id="rId314"/><Relationship Type="http://schemas.openxmlformats.org/officeDocument/2006/relationships/hyperlink" Target="https://en.wikipedia.org/wiki/Lockton_Companies" TargetMode="External" Id="rId315"/><Relationship Type="http://schemas.openxmlformats.org/officeDocument/2006/relationships/hyperlink" Target="https://commercialobserver.com/2023/07/lockton-re-relocating-to-19k-sf-at-261-fifth-avenue/" TargetMode="External" Id="rId316"/><Relationship Type="http://schemas.openxmlformats.org/officeDocument/2006/relationships/hyperlink" Target="https://rebusinessonline.com/lockton-re-signs-19326-sf-office-lease-in-manhattans-nomad-district/" TargetMode="External" Id="rId317"/><Relationship Type="http://schemas.openxmlformats.org/officeDocument/2006/relationships/hyperlink" Target="https://www.wearemiq.com" TargetMode="External" Id="rId318"/><Relationship Type="http://schemas.openxmlformats.org/officeDocument/2006/relationships/hyperlink" Target="https://www.builtinnyc.com/company/miq-digital/offices" TargetMode="External" Id="rId319"/><Relationship Type="http://schemas.openxmlformats.org/officeDocument/2006/relationships/hyperlink" Target="https://nyrej.com/print/57401" TargetMode="External" Id="rId320"/><Relationship Type="http://schemas.openxmlformats.org/officeDocument/2006/relationships/hyperlink" Target="https://www.builtinnyc.com/company/bridgewater-associates/offices" TargetMode="External" Id="rId321"/><Relationship Type="http://schemas.openxmlformats.org/officeDocument/2006/relationships/hyperlink" Target="https://commercialobserver.com/2024/09/bridgewater-associates-lease-295-fifth-avenue/" TargetMode="External" Id="rId322"/><Relationship Type="http://schemas.openxmlformats.org/officeDocument/2006/relationships/hyperlink" Target="https://octus.com" TargetMode="External" Id="rId323"/><Relationship Type="http://schemas.openxmlformats.org/officeDocument/2006/relationships/hyperlink" Target="https://www.builtinnyc.com/company/octus/offices" TargetMode="External" Id="rId324"/><Relationship Type="http://schemas.openxmlformats.org/officeDocument/2006/relationships/hyperlink" Target="https://commercialobserver.com/2025/03/octus-lease-295-fifth-avenue/" TargetMode="External" Id="rId325"/><Relationship Type="http://schemas.openxmlformats.org/officeDocument/2006/relationships/hyperlink" Target="https://www.builtinnyc.com/company/the-knot-worldwide/offices" TargetMode="External" Id="rId326"/><Relationship Type="http://schemas.openxmlformats.org/officeDocument/2006/relationships/hyperlink" Target="https://commercialobserver.com/2025/11/the-knot-settle-down-295-fifth-avenue/" TargetMode="External" Id="rId327"/><Relationship Type="http://schemas.openxmlformats.org/officeDocument/2006/relationships/hyperlink" Target="https://www.reprally.com/" TargetMode="External" Id="rId328"/><Relationship Type="http://schemas.openxmlformats.org/officeDocument/2006/relationships/hyperlink" Target="https://www.builtinnyc.com/company/reprally/offices" TargetMode="External" Id="rId329"/><Relationship Type="http://schemas.openxmlformats.org/officeDocument/2006/relationships/hyperlink" Target="https://www.reprally.com/company/msa" TargetMode="External" Id="rId330"/><Relationship Type="http://schemas.openxmlformats.org/officeDocument/2006/relationships/hyperlink" Target="https://commercialobserver.com/2025/09/reprally-lease-137-east-25th-street/" TargetMode="External" Id="rId331"/><Relationship Type="http://schemas.openxmlformats.org/officeDocument/2006/relationships/hyperlink" Target="https://www.runwise.com" TargetMode="External" Id="rId332"/><Relationship Type="http://schemas.openxmlformats.org/officeDocument/2006/relationships/hyperlink" Target="https://www.builtinnyc.com/company/runwise-2/offices" TargetMode="External" Id="rId333"/><Relationship Type="http://schemas.openxmlformats.org/officeDocument/2006/relationships/hyperlink" Target="https://www.builtinnyc.com/company/runwise-2/offices" TargetMode="External" Id="rId334"/><Relationship Type="http://schemas.openxmlformats.org/officeDocument/2006/relationships/hyperlink" Target="https://www.builtinnyc.com/company/gumgum/offices" TargetMode="External" Id="rId335"/><Relationship Type="http://schemas.openxmlformats.org/officeDocument/2006/relationships/hyperlink" Target="https://commercialobserver.com/2022/10/online-advertising-firm-gumgum-heads-to-1245-broadway/" TargetMode="External" Id="rId336"/><Relationship Type="http://schemas.openxmlformats.org/officeDocument/2006/relationships/hyperlink" Target="https://www.parloa.com" TargetMode="External" Id="rId337"/><Relationship Type="http://schemas.openxmlformats.org/officeDocument/2006/relationships/hyperlink" Target="https://www.builtinnyc.com/company/parloa/offices" TargetMode="External" Id="rId338"/><Relationship Type="http://schemas.openxmlformats.org/officeDocument/2006/relationships/hyperlink" Target="https://commercialobserver.com/2026/06/parloa-lease-expansion-gdsny-1245-broadway/" TargetMode="External" Id="rId339"/><Relationship Type="http://schemas.openxmlformats.org/officeDocument/2006/relationships/hyperlink" Target="https://www.parloa.com/contact/" TargetMode="External" Id="rId340"/><Relationship Type="http://schemas.openxmlformats.org/officeDocument/2006/relationships/hyperlink" Target="https://fordmodels.com" TargetMode="External" Id="rId341"/><Relationship Type="http://schemas.openxmlformats.org/officeDocument/2006/relationships/hyperlink" Target="https://fordmodels.com/contact" TargetMode="External" Id="rId342"/><Relationship Type="http://schemas.openxmlformats.org/officeDocument/2006/relationships/hyperlink" Target="https://commercialobserver.com/2026/03/ford-models-office-lease-36-east-31st-street/" TargetMode="External" Id="rId343"/><Relationship Type="http://schemas.openxmlformats.org/officeDocument/2006/relationships/hyperlink" Target="https://theancillaryproject.com" TargetMode="External" Id="rId344"/><Relationship Type="http://schemas.openxmlformats.org/officeDocument/2006/relationships/hyperlink" Target="https://commercialobserver.com/2026/01/ancillary-project-lease-36-east-31st-street/" TargetMode="External" Id="rId345"/><Relationship Type="http://schemas.openxmlformats.org/officeDocument/2006/relationships/hyperlink" Target="https://theancillaryproject.com/" TargetMode="External" Id="rId346"/></Relationships>
</file>

<file path=xl/worksheets/sheet1.xml><?xml version="1.0" encoding="utf-8"?>
<worksheet xmlns="http://schemas.openxmlformats.org/spreadsheetml/2006/main">
  <sheetPr>
    <outlinePr summaryBelow="1" summaryRight="1"/>
    <pageSetUpPr/>
  </sheetPr>
  <dimension ref="A1:AJ17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34" customWidth="1" min="2" max="2"/>
    <col width="12" customWidth="1" min="3" max="3"/>
    <col width="12" customWidth="1" min="4" max="4"/>
    <col width="14" customWidth="1" min="5" max="5"/>
    <col width="30" customWidth="1" min="6" max="6"/>
    <col width="12" customWidth="1" min="7" max="7"/>
    <col width="12" customWidth="1" min="8" max="8"/>
    <col width="12" customWidth="1" min="9" max="9"/>
    <col width="12" customWidth="1" min="10" max="10"/>
    <col width="14" customWidth="1" min="11" max="11"/>
    <col width="17" customWidth="1" min="12" max="12"/>
    <col width="18" customWidth="1" min="13" max="13"/>
    <col width="23" customWidth="1" min="14" max="14"/>
    <col width="21" customWidth="1" min="15" max="15"/>
    <col width="22" customWidth="1" min="16" max="16"/>
    <col width="20" customWidth="1" min="17" max="17"/>
    <col width="13" customWidth="1" min="18" max="18"/>
    <col width="15" customWidth="1" min="19" max="19"/>
    <col width="15" customWidth="1" min="20" max="20"/>
    <col width="23" customWidth="1" min="21" max="21"/>
    <col width="80" customWidth="1" min="22" max="22"/>
    <col width="13" customWidth="1" min="23" max="23"/>
    <col width="22" customWidth="1" min="24" max="24"/>
    <col width="19" customWidth="1" min="25" max="25"/>
    <col width="15" customWidth="1" min="26" max="26"/>
    <col width="15" customWidth="1" min="27" max="27"/>
    <col width="24" customWidth="1" min="28" max="28"/>
    <col width="50" customWidth="1" min="29" max="29"/>
    <col width="22" customWidth="1" min="30" max="30"/>
    <col width="21" customWidth="1" min="31" max="31"/>
    <col width="18" customWidth="1" min="32" max="32"/>
    <col width="12" customWidth="1" min="33" max="33"/>
    <col width="17" customWidth="1" min="34" max="34"/>
    <col width="22" customWidth="1" min="35" max="35"/>
    <col width="17" customWidth="1" min="36" max="36"/>
  </cols>
  <sheetData>
    <row r="1">
      <c r="A1" s="1" t="inlineStr">
        <is>
          <t>company_id</t>
        </is>
      </c>
      <c r="B1" s="1" t="inlineStr">
        <is>
          <t>company_name</t>
        </is>
      </c>
      <c r="C1" s="1" t="inlineStr">
        <is>
          <t>website</t>
        </is>
      </c>
      <c r="D1" s="1" t="inlineStr">
        <is>
          <t>industry</t>
        </is>
      </c>
      <c r="E1" s="1" t="inlineStr">
        <is>
          <t>building_id</t>
        </is>
      </c>
      <c r="F1" s="1" t="inlineStr">
        <is>
          <t>street_address</t>
        </is>
      </c>
      <c r="G1" s="1" t="inlineStr">
        <is>
          <t>floor</t>
        </is>
      </c>
      <c r="H1" s="1" t="inlineStr">
        <is>
          <t>zip</t>
        </is>
      </c>
      <c r="I1" s="1" t="inlineStr">
        <is>
          <t>lat</t>
        </is>
      </c>
      <c r="J1" s="1" t="inlineStr">
        <is>
          <t>lon</t>
        </is>
      </c>
      <c r="K1" s="1" t="inlineStr">
        <is>
          <t>in_boundary</t>
        </is>
      </c>
      <c r="L1" s="1" t="inlineStr">
        <is>
          <t>headcount_band</t>
        </is>
      </c>
      <c r="M1" s="1" t="inlineStr">
        <is>
          <t>headcount_scope</t>
        </is>
      </c>
      <c r="N1" s="1" t="inlineStr">
        <is>
          <t>headcount_source_url</t>
        </is>
      </c>
      <c r="O1" s="1" t="inlineStr">
        <is>
          <t>address_source_url</t>
        </is>
      </c>
      <c r="P1" s="1" t="inlineStr">
        <is>
          <t>address_source_date</t>
        </is>
      </c>
      <c r="Q1" s="1" t="inlineStr">
        <is>
          <t>second_source_url</t>
        </is>
      </c>
      <c r="R1" s="1" t="inlineStr">
        <is>
          <t>confidence</t>
        </is>
      </c>
      <c r="S1" s="1" t="inlineStr">
        <is>
          <t>in_coworking</t>
        </is>
      </c>
      <c r="T1" s="1" t="inlineStr">
        <is>
          <t>coworking_id</t>
        </is>
      </c>
      <c r="U1" s="1" t="inlineStr">
        <is>
          <t>linkedin_company_url</t>
        </is>
      </c>
      <c r="V1" s="1" t="inlineStr">
        <is>
          <t>notes</t>
        </is>
      </c>
      <c r="W1" s="1" t="inlineStr">
        <is>
          <t>found_date</t>
        </is>
      </c>
      <c r="X1" s="1" t="inlineStr">
        <is>
          <t>building_lobby_type</t>
        </is>
      </c>
      <c r="Y1" s="1" t="inlineStr">
        <is>
          <t>candidate_status</t>
        </is>
      </c>
      <c r="Z1" s="1" t="inlineStr">
        <is>
          <t>lease_status</t>
        </is>
      </c>
      <c r="AA1" s="1" t="inlineStr">
        <is>
          <t>move_in_date</t>
        </is>
      </c>
      <c r="AB1" s="1" t="inlineStr">
        <is>
          <t>headcount_source_date</t>
        </is>
      </c>
      <c r="AC1" s="1" t="inlineStr">
        <is>
          <t>headcount_unknown_reason</t>
        </is>
      </c>
      <c r="AD1" s="1" t="inlineStr">
        <is>
          <t>address_source_type</t>
        </is>
      </c>
      <c r="AE1" s="1" t="inlineStr">
        <is>
          <t>second_source_date</t>
        </is>
      </c>
      <c r="AF1" s="1" t="inlineStr">
        <is>
          <t>coworking_check</t>
        </is>
      </c>
      <c r="AG1" s="1" t="inlineStr">
        <is>
          <t>bbl</t>
        </is>
      </c>
      <c r="AH1" s="1" t="inlineStr">
        <is>
          <t>blocks_outside</t>
        </is>
      </c>
      <c r="AI1" s="1" t="inlineStr">
        <is>
          <t>leased_sf_mentioned</t>
        </is>
      </c>
      <c r="AJ1" s="1" t="inlineStr">
        <is>
          <t>research_slice</t>
        </is>
      </c>
    </row>
    <row r="2">
      <c r="A2" t="inlineStr">
        <is>
          <t>B-C-001</t>
        </is>
      </c>
      <c r="B2" t="inlineStr">
        <is>
          <t>HUMAN Security</t>
        </is>
      </c>
      <c r="C2" s="2" t="inlineStr">
        <is>
          <t>https://www.humansecurity.com</t>
        </is>
      </c>
      <c r="D2" t="inlineStr">
        <is>
          <t>cybersecurity</t>
        </is>
      </c>
      <c r="E2" t="inlineStr">
        <is>
          <t>B-B-001</t>
        </is>
      </c>
      <c r="F2" t="inlineStr">
        <is>
          <t>841 Broadway</t>
        </is>
      </c>
      <c r="G2" t="inlineStr">
        <is>
          <t>2</t>
        </is>
      </c>
      <c r="H2" t="inlineStr">
        <is>
          <t>10003</t>
        </is>
      </c>
      <c r="I2" t="n">
        <v>40.734318</v>
      </c>
      <c r="J2" t="n">
        <v>-73.991231</v>
      </c>
      <c r="K2" t="inlineStr">
        <is>
          <t>Y</t>
        </is>
      </c>
      <c r="L2" t="inlineStr">
        <is>
          <t>251-500</t>
        </is>
      </c>
      <c r="M2" t="inlineStr">
        <is>
          <t>whole-company</t>
        </is>
      </c>
      <c r="N2" s="2" t="inlineStr">
        <is>
          <t>https://www.builtinnyc.com/company/human</t>
        </is>
      </c>
      <c r="O2" s="2" t="inlineStr">
        <is>
          <t>https://commercialobserver.com/2024/06/movable-ink-lease-841-broadway/</t>
        </is>
      </c>
      <c r="P2" t="inlineStr">
        <is>
          <t>2024-06</t>
        </is>
      </c>
      <c r="Q2" s="2" t="inlineStr">
        <is>
          <t>https://builtinnyc.com/articles/nyc-tech-headquarters-openings-2023</t>
        </is>
      </c>
      <c r="R2" t="inlineStr">
        <is>
          <t>low</t>
        </is>
      </c>
      <c r="S2" t="inlineStr">
        <is>
          <t>N</t>
        </is>
      </c>
      <c r="T2" t="inlineStr"/>
      <c r="U2" t="inlineStr"/>
      <c r="V2" s="3" t="inlineStr">
        <is>
          <t>CO 2024-06 says HUMAN Security relocated to 841 Broadway, taking 13,809 sf in 2023; Built In NYC 2023 article says it planned to move from 111 W 33rd St to 841 Broadway on a seven-year lease. Both older than 24 months and the company site is blocked (403), so low; founder to confirm. Built In NYC: 393 total employees, HQ New York, 4 offices.</t>
        </is>
      </c>
      <c r="W2" t="inlineStr">
        <is>
          <t>2026-10-23</t>
        </is>
      </c>
      <c r="X2" t="inlineStr">
        <is>
          <t>security desk</t>
        </is>
      </c>
      <c r="Y2" t="inlineStr">
        <is>
          <t>candidate</t>
        </is>
      </c>
      <c r="Z2" t="inlineStr">
        <is>
          <t>occupancy-unconfirmed</t>
        </is>
      </c>
      <c r="AA2" t="inlineStr"/>
      <c r="AB2" t="inlineStr">
        <is>
          <t>2026-10-23</t>
        </is>
      </c>
      <c r="AC2" s="3" t="inlineStr"/>
      <c r="AD2" t="inlineStr">
        <is>
          <t>leasing-press</t>
        </is>
      </c>
      <c r="AE2" t="inlineStr">
        <is>
          <t>2023</t>
        </is>
      </c>
      <c r="AF2" t="inlineStr">
        <is>
          <t>no-coworking-in-building</t>
        </is>
      </c>
      <c r="AG2" t="inlineStr">
        <is>
          <t>1005650015</t>
        </is>
      </c>
      <c r="AH2" t="n">
        <v>0</v>
      </c>
      <c r="AI2" t="inlineStr">
        <is>
          <t>13,809 sf</t>
        </is>
      </c>
      <c r="AJ2" t="inlineStr">
        <is>
          <t>S1</t>
        </is>
      </c>
    </row>
    <row r="3">
      <c r="A3" t="inlineStr">
        <is>
          <t>B-C-002</t>
        </is>
      </c>
      <c r="B3" t="inlineStr">
        <is>
          <t>Casa Komos Brand Group</t>
        </is>
      </c>
      <c r="C3" t="inlineStr"/>
      <c r="D3" t="inlineStr">
        <is>
          <t>consumer beverage brand (tequila)</t>
        </is>
      </c>
      <c r="E3" t="inlineStr">
        <is>
          <t>B-B-001</t>
        </is>
      </c>
      <c r="F3" t="inlineStr">
        <is>
          <t>853 Broadway</t>
        </is>
      </c>
      <c r="G3" t="inlineStr">
        <is>
          <t>2; part of 9</t>
        </is>
      </c>
      <c r="H3" t="inlineStr">
        <is>
          <t>10003</t>
        </is>
      </c>
      <c r="I3" t="n">
        <v>40.734626</v>
      </c>
      <c r="J3" t="n">
        <v>-73.9911</v>
      </c>
      <c r="K3" t="inlineStr">
        <is>
          <t>Y</t>
        </is>
      </c>
      <c r="L3" t="inlineStr">
        <is>
          <t>unknown</t>
        </is>
      </c>
      <c r="M3" t="inlineStr">
        <is>
          <t>unknown</t>
        </is>
      </c>
      <c r="N3" t="inlineStr"/>
      <c r="O3" s="2" t="inlineStr">
        <is>
          <t>https://commercialobserver.com/2026/01/perplexity-lease-841-broadway-union-square/</t>
        </is>
      </c>
      <c r="P3" t="inlineStr">
        <is>
          <t>2026-01-27</t>
        </is>
      </c>
      <c r="Q3" s="2" t="inlineStr">
        <is>
          <t>https://commercialobserver.com/2024/02/tequila-brand-casa-komos-moving-offices-to-10k-sf-at-853-broadway/</t>
        </is>
      </c>
      <c r="R3" t="inlineStr">
        <is>
          <t>medium</t>
        </is>
      </c>
      <c r="S3" t="inlineStr">
        <is>
          <t>N</t>
        </is>
      </c>
      <c r="T3" t="inlineStr"/>
      <c r="U3" t="inlineStr"/>
      <c r="V3" s="3" t="inlineStr">
        <is>
          <t>CO 2024-02: 10-year 10,300 sf office lease on the 2nd floor and part of the 9th. CO 2026-01-27 lists Casa Komos as a current tenant across 841-853 Broadway. Alcohol company: fine as an office host, never as a Desk Drop brand. Company site failed TLS; headcount unknown. | Assembly 2026-10-24: Confidence lowered at assembly from high to medium: second source is the same publisher or missing.</t>
        </is>
      </c>
      <c r="W3" t="inlineStr">
        <is>
          <t>2026-10-23</t>
        </is>
      </c>
      <c r="X3" t="inlineStr">
        <is>
          <t>security desk</t>
        </is>
      </c>
      <c r="Y3" t="inlineStr">
        <is>
          <t>candidate</t>
        </is>
      </c>
      <c r="Z3" t="inlineStr">
        <is>
          <t>occupied</t>
        </is>
      </c>
      <c r="AA3" t="inlineStr"/>
      <c r="AB3" t="inlineStr"/>
      <c r="AC3" s="3" t="inlineStr">
        <is>
          <t>No opened source gives a count: no Built In profile with a total, the company site publishes none, and LinkedIn was off-limits. Founder to confirm at intake.</t>
        </is>
      </c>
      <c r="AD3" t="inlineStr">
        <is>
          <t>leasing-press</t>
        </is>
      </c>
      <c r="AE3" t="inlineStr">
        <is>
          <t>2024-02</t>
        </is>
      </c>
      <c r="AF3" t="inlineStr">
        <is>
          <t>no-coworking-in-building</t>
        </is>
      </c>
      <c r="AG3" t="inlineStr">
        <is>
          <t>1005650015</t>
        </is>
      </c>
      <c r="AH3" t="n">
        <v>0</v>
      </c>
      <c r="AI3" t="inlineStr">
        <is>
          <t>10,300 sf</t>
        </is>
      </c>
      <c r="AJ3" t="inlineStr">
        <is>
          <t>S1</t>
        </is>
      </c>
    </row>
    <row r="4">
      <c r="A4" t="inlineStr">
        <is>
          <t>B-C-003</t>
        </is>
      </c>
      <c r="B4" t="inlineStr">
        <is>
          <t>First Look Media</t>
        </is>
      </c>
      <c r="C4" t="inlineStr"/>
      <c r="D4" t="inlineStr">
        <is>
          <t>nonprofit media (streaming and production)</t>
        </is>
      </c>
      <c r="E4" t="inlineStr">
        <is>
          <t>B-B-001</t>
        </is>
      </c>
      <c r="F4" t="inlineStr">
        <is>
          <t>853 Broadway</t>
        </is>
      </c>
      <c r="G4" t="inlineStr">
        <is>
          <t>10</t>
        </is>
      </c>
      <c r="H4" t="inlineStr">
        <is>
          <t>10003</t>
        </is>
      </c>
      <c r="I4" t="n">
        <v>40.734626</v>
      </c>
      <c r="J4" t="n">
        <v>-73.9911</v>
      </c>
      <c r="K4" t="inlineStr">
        <is>
          <t>Y</t>
        </is>
      </c>
      <c r="L4" t="inlineStr">
        <is>
          <t>76-150</t>
        </is>
      </c>
      <c r="M4" t="inlineStr">
        <is>
          <t>whole-company</t>
        </is>
      </c>
      <c r="N4" s="2" t="inlineStr">
        <is>
          <t>https://www.builtinnyc.com/company/first-look-media</t>
        </is>
      </c>
      <c r="O4" s="2" t="inlineStr">
        <is>
          <t>https://rebusinessonline.com/first-look-media-signs-7896-sf-office-lease-at-853-broadway-in-manhattan/</t>
        </is>
      </c>
      <c r="P4" t="inlineStr">
        <is>
          <t>2023-06-07</t>
        </is>
      </c>
      <c r="Q4" t="inlineStr"/>
      <c r="R4" t="inlineStr">
        <is>
          <t>low</t>
        </is>
      </c>
      <c r="S4" t="inlineStr">
        <is>
          <t>N</t>
        </is>
      </c>
      <c r="T4" t="inlineStr"/>
      <c r="U4" t="inlineStr"/>
      <c r="V4" s="3" t="inlineStr">
        <is>
          <t>REBusiness 2023-06-07: five-year 7,896 sf lease, entire 10th floor. Not in the 2026 CO list of 841-853 tenants; source older than 24 months, so low until confirmed. Built In NYC: 129 total employees (profile may be stale).</t>
        </is>
      </c>
      <c r="W4" t="inlineStr">
        <is>
          <t>2026-10-23</t>
        </is>
      </c>
      <c r="X4" t="inlineStr">
        <is>
          <t>security desk</t>
        </is>
      </c>
      <c r="Y4" t="inlineStr">
        <is>
          <t>candidate</t>
        </is>
      </c>
      <c r="Z4" t="inlineStr">
        <is>
          <t>occupancy-unconfirmed</t>
        </is>
      </c>
      <c r="AA4" t="inlineStr"/>
      <c r="AB4" t="inlineStr">
        <is>
          <t>2026-10-23</t>
        </is>
      </c>
      <c r="AC4" s="3" t="inlineStr"/>
      <c r="AD4" t="inlineStr">
        <is>
          <t>leasing-press</t>
        </is>
      </c>
      <c r="AE4" t="inlineStr"/>
      <c r="AF4" t="inlineStr">
        <is>
          <t>no-coworking-in-building</t>
        </is>
      </c>
      <c r="AG4" t="inlineStr">
        <is>
          <t>1005650015</t>
        </is>
      </c>
      <c r="AH4" t="n">
        <v>0</v>
      </c>
      <c r="AI4" t="inlineStr">
        <is>
          <t>7,896 sf</t>
        </is>
      </c>
      <c r="AJ4" t="inlineStr">
        <is>
          <t>S1</t>
        </is>
      </c>
    </row>
    <row r="5">
      <c r="A5" t="inlineStr">
        <is>
          <t>B-C-004</t>
        </is>
      </c>
      <c r="B5" t="inlineStr">
        <is>
          <t>Lepercq de Neuflize &amp; Co.</t>
        </is>
      </c>
      <c r="C5" s="2" t="inlineStr">
        <is>
          <t>https://www.lepercq.com</t>
        </is>
      </c>
      <c r="D5" t="inlineStr">
        <is>
          <t>investment management</t>
        </is>
      </c>
      <c r="E5" t="inlineStr">
        <is>
          <t>B-B-001</t>
        </is>
      </c>
      <c r="F5" t="inlineStr">
        <is>
          <t>853 Broadway</t>
        </is>
      </c>
      <c r="G5" t="inlineStr">
        <is>
          <t>16</t>
        </is>
      </c>
      <c r="H5" t="inlineStr">
        <is>
          <t>10003</t>
        </is>
      </c>
      <c r="I5" t="n">
        <v>40.734626</v>
      </c>
      <c r="J5" t="n">
        <v>-73.9911</v>
      </c>
      <c r="K5" t="inlineStr">
        <is>
          <t>Y</t>
        </is>
      </c>
      <c r="L5" t="inlineStr">
        <is>
          <t>unknown</t>
        </is>
      </c>
      <c r="M5" t="inlineStr">
        <is>
          <t>unknown</t>
        </is>
      </c>
      <c r="N5" t="inlineStr"/>
      <c r="O5" s="2" t="inlineStr">
        <is>
          <t>https://www.lepercq.com/</t>
        </is>
      </c>
      <c r="P5" t="inlineStr">
        <is>
          <t>2026-10-23</t>
        </is>
      </c>
      <c r="Q5" s="2" t="inlineStr">
        <is>
          <t>https://nyrej.com/print/54591</t>
        </is>
      </c>
      <c r="R5" t="inlineStr">
        <is>
          <t>high</t>
        </is>
      </c>
      <c r="S5" t="inlineStr">
        <is>
          <t>N</t>
        </is>
      </c>
      <c r="T5" t="inlineStr"/>
      <c r="U5" t="inlineStr"/>
      <c r="V5" s="3" t="inlineStr">
        <is>
          <t>853 Broadway sits on the south side of 14th St (same tax block as Whole Foods Union Sq), so margin. Site footer: 853 Broadway, New York, NY 10003. NYREJ 2025-04-08: expanded to the full 16th floor, 7,563 sf, 10-year term. Headcount not found; may be under 40.</t>
        </is>
      </c>
      <c r="W5" t="inlineStr">
        <is>
          <t>2026-10-23</t>
        </is>
      </c>
      <c r="X5" t="inlineStr">
        <is>
          <t>security desk</t>
        </is>
      </c>
      <c r="Y5" t="inlineStr">
        <is>
          <t>candidate</t>
        </is>
      </c>
      <c r="Z5" t="inlineStr">
        <is>
          <t>occupied</t>
        </is>
      </c>
      <c r="AA5" t="inlineStr"/>
      <c r="AB5" t="inlineStr"/>
      <c r="AC5" s="3" t="inlineStr">
        <is>
          <t>No opened source gives a count: no Built In profile with a total, the company site publishes none, and LinkedIn was off-limits. Founder to confirm at intake.</t>
        </is>
      </c>
      <c r="AD5" t="inlineStr">
        <is>
          <t>company-site</t>
        </is>
      </c>
      <c r="AE5" t="inlineStr">
        <is>
          <t>2025-04-08</t>
        </is>
      </c>
      <c r="AF5" t="inlineStr">
        <is>
          <t>no-coworking-in-building</t>
        </is>
      </c>
      <c r="AG5" t="inlineStr">
        <is>
          <t>1005650015</t>
        </is>
      </c>
      <c r="AH5" t="n">
        <v>0</v>
      </c>
      <c r="AI5" t="inlineStr">
        <is>
          <t>7,563 sf</t>
        </is>
      </c>
      <c r="AJ5" t="inlineStr">
        <is>
          <t>S1</t>
        </is>
      </c>
    </row>
    <row r="6">
      <c r="A6" t="inlineStr">
        <is>
          <t>B-C-005</t>
        </is>
      </c>
      <c r="B6" t="inlineStr">
        <is>
          <t>Nourish</t>
        </is>
      </c>
      <c r="C6" s="2" t="inlineStr">
        <is>
          <t>https://www.usenourish.com</t>
        </is>
      </c>
      <c r="D6" t="inlineStr">
        <is>
          <t>health tech (dietitian telehealth)</t>
        </is>
      </c>
      <c r="E6" t="inlineStr">
        <is>
          <t>B-B-001</t>
        </is>
      </c>
      <c r="F6" t="inlineStr">
        <is>
          <t>853 Broadway</t>
        </is>
      </c>
      <c r="G6" t="inlineStr">
        <is>
          <t>15</t>
        </is>
      </c>
      <c r="H6" t="inlineStr">
        <is>
          <t>10003</t>
        </is>
      </c>
      <c r="I6" t="n">
        <v>40.734626</v>
      </c>
      <c r="J6" t="n">
        <v>-73.9911</v>
      </c>
      <c r="K6" t="inlineStr">
        <is>
          <t>Y</t>
        </is>
      </c>
      <c r="L6" t="inlineStr">
        <is>
          <t>251-500</t>
        </is>
      </c>
      <c r="M6" t="inlineStr">
        <is>
          <t>whole-company</t>
        </is>
      </c>
      <c r="N6" s="2" t="inlineStr">
        <is>
          <t>https://www.builtinnyc.com/company/nourish</t>
        </is>
      </c>
      <c r="O6" s="2" t="inlineStr">
        <is>
          <t>https://nyrej.com/print/54591</t>
        </is>
      </c>
      <c r="P6" t="inlineStr">
        <is>
          <t>2025-04-08</t>
        </is>
      </c>
      <c r="Q6" s="2" t="inlineStr">
        <is>
          <t>https://commercialobserver.com/2025/02/nourish-lease-853-broadway/</t>
        </is>
      </c>
      <c r="R6" t="inlineStr">
        <is>
          <t>high</t>
        </is>
      </c>
      <c r="S6" t="inlineStr">
        <is>
          <t>N</t>
        </is>
      </c>
      <c r="T6" t="inlineStr"/>
      <c r="U6" t="inlineStr"/>
      <c r="V6" s="3" t="inlineStr">
        <is>
          <t>NYREJ 2025-04-08: entire 15th floor, 7,563 sf, five years, already moved in. Built In NYC: 315 total employees, HQ New York; many clinicians likely remote, NYC office count unknown. CO 2025-02 independently reports the same 15th-floor lease.</t>
        </is>
      </c>
      <c r="W6" t="inlineStr">
        <is>
          <t>2026-10-23</t>
        </is>
      </c>
      <c r="X6" t="inlineStr">
        <is>
          <t>security desk</t>
        </is>
      </c>
      <c r="Y6" t="inlineStr">
        <is>
          <t>candidate</t>
        </is>
      </c>
      <c r="Z6" t="inlineStr">
        <is>
          <t>occupied</t>
        </is>
      </c>
      <c r="AA6" t="inlineStr"/>
      <c r="AB6" t="inlineStr">
        <is>
          <t>2026-10-23</t>
        </is>
      </c>
      <c r="AC6" s="3" t="inlineStr"/>
      <c r="AD6" t="inlineStr">
        <is>
          <t>leasing-press</t>
        </is>
      </c>
      <c r="AE6" t="inlineStr">
        <is>
          <t>2025-02</t>
        </is>
      </c>
      <c r="AF6" t="inlineStr">
        <is>
          <t>no-coworking-in-building</t>
        </is>
      </c>
      <c r="AG6" t="inlineStr">
        <is>
          <t>1005650015</t>
        </is>
      </c>
      <c r="AH6" t="n">
        <v>0</v>
      </c>
      <c r="AI6" t="inlineStr">
        <is>
          <t>7,563 sf</t>
        </is>
      </c>
      <c r="AJ6" t="inlineStr">
        <is>
          <t>S1</t>
        </is>
      </c>
    </row>
    <row r="7">
      <c r="A7" t="inlineStr">
        <is>
          <t>B-C-006</t>
        </is>
      </c>
      <c r="B7" t="inlineStr">
        <is>
          <t>Perplexity</t>
        </is>
      </c>
      <c r="C7" s="2" t="inlineStr">
        <is>
          <t>https://www.perplexity.ai</t>
        </is>
      </c>
      <c r="D7" t="inlineStr">
        <is>
          <t>AI search</t>
        </is>
      </c>
      <c r="E7" t="inlineStr">
        <is>
          <t>B-B-001</t>
        </is>
      </c>
      <c r="F7" t="inlineStr">
        <is>
          <t>853 Broadway</t>
        </is>
      </c>
      <c r="G7" t="inlineStr">
        <is>
          <t>4 (plus 4th floor of adjoining 841 Broadway)</t>
        </is>
      </c>
      <c r="H7" t="inlineStr">
        <is>
          <t>10003</t>
        </is>
      </c>
      <c r="I7" t="n">
        <v>40.734626</v>
      </c>
      <c r="J7" t="n">
        <v>-73.9911</v>
      </c>
      <c r="K7" t="inlineStr">
        <is>
          <t>Y</t>
        </is>
      </c>
      <c r="L7" t="inlineStr">
        <is>
          <t>unknown</t>
        </is>
      </c>
      <c r="M7" t="inlineStr">
        <is>
          <t>unknown</t>
        </is>
      </c>
      <c r="N7" t="inlineStr"/>
      <c r="O7" s="2" t="inlineStr">
        <is>
          <t>https://nyrej.com/perplexity-expands-presence-at-841-853-broadway</t>
        </is>
      </c>
      <c r="P7" t="inlineStr">
        <is>
          <t>2026-03-05</t>
        </is>
      </c>
      <c r="Q7" s="2" t="inlineStr">
        <is>
          <t>https://commercialobserver.com/2026/01/perplexity-lease-841-broadway-union-square/</t>
        </is>
      </c>
      <c r="R7" t="inlineStr">
        <is>
          <t>high</t>
        </is>
      </c>
      <c r="S7" t="inlineStr">
        <is>
          <t>N</t>
        </is>
      </c>
      <c r="T7" t="inlineStr"/>
      <c r="U7" t="inlineStr"/>
      <c r="V7" s="3" t="inlineStr">
        <is>
          <t>NYREJ 2026-03-05 (Feil Organization): entire 4th floor of 853 Broadway leased the prior June, plus the full 4th floor of 841 Broadway; 22,000 sf combined, wall to be removed. HQ San Francisco. Built In NYC shows only 41 employees, which conflicts with its growth; band left unknown. Margin (south side of 14th). CO 2026-01-27: new 14,000 sf full 4th floor at 841 Broadway on top of the 8,000 sf 4th floor at 853 Broadway.</t>
        </is>
      </c>
      <c r="W7" t="inlineStr">
        <is>
          <t>2026-10-23</t>
        </is>
      </c>
      <c r="X7" t="inlineStr">
        <is>
          <t>security desk</t>
        </is>
      </c>
      <c r="Y7" t="inlineStr">
        <is>
          <t>candidate</t>
        </is>
      </c>
      <c r="Z7" t="inlineStr">
        <is>
          <t>occupancy-unconfirmed</t>
        </is>
      </c>
      <c r="AA7" t="inlineStr"/>
      <c r="AB7" t="inlineStr"/>
      <c r="AC7" s="3" t="inlineStr">
        <is>
          <t>Built In shows 41 and Wikipedia's infobox shows 52 (2024), both of which conflict with a 22,000 sf NYC office leased in 2025-26; band left unknown rather than set from stale counts.</t>
        </is>
      </c>
      <c r="AD7" t="inlineStr">
        <is>
          <t>leasing-press</t>
        </is>
      </c>
      <c r="AE7" t="inlineStr">
        <is>
          <t>2026-01-27</t>
        </is>
      </c>
      <c r="AF7" t="inlineStr">
        <is>
          <t>no-coworking-in-building</t>
        </is>
      </c>
      <c r="AG7" t="inlineStr">
        <is>
          <t>1005650015</t>
        </is>
      </c>
      <c r="AH7" t="n">
        <v>0</v>
      </c>
      <c r="AI7" t="inlineStr">
        <is>
          <t>22,000 sf; 14,000 sf; 8,000 sf</t>
        </is>
      </c>
      <c r="AJ7" t="inlineStr">
        <is>
          <t>S1</t>
        </is>
      </c>
    </row>
    <row r="8">
      <c r="A8" t="inlineStr">
        <is>
          <t>B-C-007</t>
        </is>
      </c>
      <c r="B8" t="inlineStr">
        <is>
          <t>Personetics</t>
        </is>
      </c>
      <c r="C8" s="2" t="inlineStr">
        <is>
          <t>https://personetics.com</t>
        </is>
      </c>
      <c r="D8" t="inlineStr">
        <is>
          <t>fintech software (banking AI)</t>
        </is>
      </c>
      <c r="E8" t="inlineStr">
        <is>
          <t>B-B-001</t>
        </is>
      </c>
      <c r="F8" t="inlineStr">
        <is>
          <t>853 Broadway</t>
        </is>
      </c>
      <c r="G8" t="inlineStr">
        <is>
          <t>19</t>
        </is>
      </c>
      <c r="H8" t="inlineStr">
        <is>
          <t>10003</t>
        </is>
      </c>
      <c r="I8" t="n">
        <v>40.734626</v>
      </c>
      <c r="J8" t="n">
        <v>-73.9911</v>
      </c>
      <c r="K8" t="inlineStr">
        <is>
          <t>Y</t>
        </is>
      </c>
      <c r="L8" t="inlineStr">
        <is>
          <t>251-500</t>
        </is>
      </c>
      <c r="M8" t="inlineStr">
        <is>
          <t>whole-company</t>
        </is>
      </c>
      <c r="N8" s="2" t="inlineStr">
        <is>
          <t>https://www.builtinnyc.com/company/personetics</t>
        </is>
      </c>
      <c r="O8" s="2" t="inlineStr">
        <is>
          <t>https://nyrej.com/print/54591</t>
        </is>
      </c>
      <c r="P8" t="inlineStr">
        <is>
          <t>2025-04-08</t>
        </is>
      </c>
      <c r="Q8" t="inlineStr"/>
      <c r="R8" t="inlineStr">
        <is>
          <t>medium</t>
        </is>
      </c>
      <c r="S8" t="inlineStr">
        <is>
          <t>N</t>
        </is>
      </c>
      <c r="T8" t="inlineStr"/>
      <c r="U8" t="inlineStr"/>
      <c r="V8" s="3" t="inlineStr">
        <is>
          <t>NYREJ 2025-04-08: Personetics signed a three-year lease for the entire 19th floor, 7,004 sf, the previous October (about 2024-10). Built In NYC: 371 total employees (global; large R&amp;D outside US). Contact page lists New York with no street.</t>
        </is>
      </c>
      <c r="W8" t="inlineStr">
        <is>
          <t>2026-10-23</t>
        </is>
      </c>
      <c r="X8" t="inlineStr">
        <is>
          <t>security desk</t>
        </is>
      </c>
      <c r="Y8" t="inlineStr">
        <is>
          <t>candidate</t>
        </is>
      </c>
      <c r="Z8" t="inlineStr">
        <is>
          <t>occupancy-unconfirmed</t>
        </is>
      </c>
      <c r="AA8" t="inlineStr"/>
      <c r="AB8" t="inlineStr">
        <is>
          <t>2026-10-23</t>
        </is>
      </c>
      <c r="AC8" s="3" t="inlineStr"/>
      <c r="AD8" t="inlineStr">
        <is>
          <t>leasing-press</t>
        </is>
      </c>
      <c r="AE8" t="inlineStr"/>
      <c r="AF8" t="inlineStr">
        <is>
          <t>no-coworking-in-building</t>
        </is>
      </c>
      <c r="AG8" t="inlineStr">
        <is>
          <t>1005650015</t>
        </is>
      </c>
      <c r="AH8" t="n">
        <v>0</v>
      </c>
      <c r="AI8" t="inlineStr">
        <is>
          <t>7,004 sf</t>
        </is>
      </c>
      <c r="AJ8" t="inlineStr">
        <is>
          <t>S1</t>
        </is>
      </c>
    </row>
    <row r="9">
      <c r="A9" t="inlineStr">
        <is>
          <t>B-C-008</t>
        </is>
      </c>
      <c r="B9" t="inlineStr">
        <is>
          <t>Union Square Hospitality Group</t>
        </is>
      </c>
      <c r="C9" s="2" t="inlineStr">
        <is>
          <t>https://www.ushg.com</t>
        </is>
      </c>
      <c r="D9" t="inlineStr">
        <is>
          <t>hospitality (restaurant group corporate office)</t>
        </is>
      </c>
      <c r="E9" t="inlineStr">
        <is>
          <t>B-B-001</t>
        </is>
      </c>
      <c r="F9" t="inlineStr">
        <is>
          <t>853 Broadway</t>
        </is>
      </c>
      <c r="G9" t="inlineStr">
        <is>
          <t>17</t>
        </is>
      </c>
      <c r="H9" t="inlineStr">
        <is>
          <t>10003</t>
        </is>
      </c>
      <c r="I9" t="n">
        <v>40.734626</v>
      </c>
      <c r="J9" t="n">
        <v>-73.9911</v>
      </c>
      <c r="K9" t="inlineStr">
        <is>
          <t>Y</t>
        </is>
      </c>
      <c r="L9" t="inlineStr">
        <is>
          <t>unknown</t>
        </is>
      </c>
      <c r="M9" t="inlineStr">
        <is>
          <t>unknown</t>
        </is>
      </c>
      <c r="N9" t="inlineStr"/>
      <c r="O9" s="2" t="inlineStr">
        <is>
          <t>https://www.ushg.com/contact</t>
        </is>
      </c>
      <c r="P9" t="inlineStr">
        <is>
          <t>2026-10-23</t>
        </is>
      </c>
      <c r="Q9" s="2" t="inlineStr">
        <is>
          <t>https://commercialobserver.com/2018/02/danny-meyers-union-square-hospitality-moving-within-union-square/</t>
        </is>
      </c>
      <c r="R9" t="inlineStr">
        <is>
          <t>high</t>
        </is>
      </c>
      <c r="S9" t="inlineStr">
        <is>
          <t>N</t>
        </is>
      </c>
      <c r="T9" t="inlineStr"/>
      <c r="U9" t="inlineStr"/>
      <c r="V9" s="3" t="inlineStr">
        <is>
          <t>Contact page: '853 Broadway, 17th Floor, New York, NY 10003'. CO 2018-02: 15,000 sf on the 17th and 18th floors. Corporate headcount not found; total company including restaurants is likely large, founder to confirm before treating it as a pantry office. Food business: check for conflicts with snack brands.</t>
        </is>
      </c>
      <c r="W9" t="inlineStr">
        <is>
          <t>2026-10-23</t>
        </is>
      </c>
      <c r="X9" t="inlineStr">
        <is>
          <t>security desk</t>
        </is>
      </c>
      <c r="Y9" t="inlineStr">
        <is>
          <t>candidate</t>
        </is>
      </c>
      <c r="Z9" t="inlineStr">
        <is>
          <t>occupied</t>
        </is>
      </c>
      <c r="AA9" t="inlineStr"/>
      <c r="AB9" t="inlineStr"/>
      <c r="AC9" s="3" t="inlineStr">
        <is>
          <t>No opened source gives a count: no Built In profile with a total, the company site publishes none, and LinkedIn was off-limits. Founder to confirm at intake.</t>
        </is>
      </c>
      <c r="AD9" t="inlineStr">
        <is>
          <t>company-site</t>
        </is>
      </c>
      <c r="AE9" t="inlineStr">
        <is>
          <t>2018-02</t>
        </is>
      </c>
      <c r="AF9" t="inlineStr">
        <is>
          <t>no-coworking-in-building</t>
        </is>
      </c>
      <c r="AG9" t="inlineStr">
        <is>
          <t>1005650015</t>
        </is>
      </c>
      <c r="AH9" t="n">
        <v>0</v>
      </c>
      <c r="AI9" t="inlineStr">
        <is>
          <t>15,000 sf</t>
        </is>
      </c>
      <c r="AJ9" t="inlineStr">
        <is>
          <t>S1</t>
        </is>
      </c>
    </row>
    <row r="10">
      <c r="A10" t="inlineStr">
        <is>
          <t>B-C-009</t>
        </is>
      </c>
      <c r="B10" t="inlineStr">
        <is>
          <t>Alpine Investors</t>
        </is>
      </c>
      <c r="C10" s="2" t="inlineStr">
        <is>
          <t>https://www.alpineinvestors.com</t>
        </is>
      </c>
      <c r="D10" t="inlineStr">
        <is>
          <t>private equity</t>
        </is>
      </c>
      <c r="E10" t="inlineStr">
        <is>
          <t>B-B-002</t>
        </is>
      </c>
      <c r="F10" t="inlineStr">
        <is>
          <t>124 East 14th Street</t>
        </is>
      </c>
      <c r="G10" t="inlineStr">
        <is>
          <t>12</t>
        </is>
      </c>
      <c r="H10" t="inlineStr">
        <is>
          <t>10003</t>
        </is>
      </c>
      <c r="I10" t="n">
        <v>40.733674</v>
      </c>
      <c r="J10" t="n">
        <v>-73.988766</v>
      </c>
      <c r="K10" t="inlineStr">
        <is>
          <t>Y</t>
        </is>
      </c>
      <c r="L10" t="inlineStr">
        <is>
          <t>151-250</t>
        </is>
      </c>
      <c r="M10" t="inlineStr">
        <is>
          <t>whole-company</t>
        </is>
      </c>
      <c r="N10" s="2" t="inlineStr">
        <is>
          <t>https://www.builtinnyc.com/company/alpine-investors</t>
        </is>
      </c>
      <c r="O10" s="2" t="inlineStr">
        <is>
          <t>https://www.alpineinvestors.com/contact/</t>
        </is>
      </c>
      <c r="P10" t="inlineStr">
        <is>
          <t>2026-10-24</t>
        </is>
      </c>
      <c r="Q10" s="2" t="inlineStr">
        <is>
          <t>https://commercialobserver.com/2022/11/alpine-investors-lease-zero-irving/</t>
        </is>
      </c>
      <c r="R10" t="inlineStr">
        <is>
          <t>high</t>
        </is>
      </c>
      <c r="S10" t="inlineStr">
        <is>
          <t>N</t>
        </is>
      </c>
      <c r="T10" t="inlineStr"/>
      <c r="U10" t="inlineStr"/>
      <c r="V10" s="3" t="inlineStr">
        <is>
          <t>Site: 'NEW YORK Zero Irving, 124 East 14th St., 12th Floor New York, NY 10003'. CO 2022-11-17: five-year lease, 22,000 sf on the entire 12th floor and part of the 14th. Zero Irving is on the south side of 14th between Irving Pl and Third Ave (same tax block as Trader Joe's 142 E 14th), so margin. Built In NYC: 203 total employees, HQ San Francisco; NYC share unknown.</t>
        </is>
      </c>
      <c r="W10" t="inlineStr">
        <is>
          <t>2026-10-23</t>
        </is>
      </c>
      <c r="X10" t="inlineStr">
        <is>
          <t>unknown</t>
        </is>
      </c>
      <c r="Y10" t="inlineStr">
        <is>
          <t>candidate</t>
        </is>
      </c>
      <c r="Z10" t="inlineStr">
        <is>
          <t>occupied</t>
        </is>
      </c>
      <c r="AA10" t="inlineStr"/>
      <c r="AB10" t="inlineStr">
        <is>
          <t>2026-10-24</t>
        </is>
      </c>
      <c r="AC10" s="3" t="inlineStr"/>
      <c r="AD10" t="inlineStr">
        <is>
          <t>company-site</t>
        </is>
      </c>
      <c r="AE10" t="inlineStr">
        <is>
          <t>2022-11-17</t>
        </is>
      </c>
      <c r="AF10" t="inlineStr">
        <is>
          <t>direct-lease-documented</t>
        </is>
      </c>
      <c r="AG10" t="inlineStr">
        <is>
          <t>1005590016</t>
        </is>
      </c>
      <c r="AH10" t="n">
        <v>0</v>
      </c>
      <c r="AI10" t="inlineStr">
        <is>
          <t>22,000 sf</t>
        </is>
      </c>
      <c r="AJ10" t="inlineStr">
        <is>
          <t>S1</t>
        </is>
      </c>
    </row>
    <row r="11">
      <c r="A11" t="inlineStr">
        <is>
          <t>B-C-010</t>
        </is>
      </c>
      <c r="B11" t="inlineStr">
        <is>
          <t>GameChanger</t>
        </is>
      </c>
      <c r="C11" s="2" t="inlineStr">
        <is>
          <t>https://gc.com</t>
        </is>
      </c>
      <c r="D11" t="inlineStr">
        <is>
          <t>sports tech (youth sports streaming and scorekeeping)</t>
        </is>
      </c>
      <c r="E11" t="inlineStr">
        <is>
          <t>B-B-002</t>
        </is>
      </c>
      <c r="F11" t="inlineStr">
        <is>
          <t>124 East 14th Street</t>
        </is>
      </c>
      <c r="G11" t="inlineStr">
        <is>
          <t>17</t>
        </is>
      </c>
      <c r="H11" t="inlineStr">
        <is>
          <t>10003</t>
        </is>
      </c>
      <c r="I11" t="n">
        <v>40.733674</v>
      </c>
      <c r="J11" t="n">
        <v>-73.988766</v>
      </c>
      <c r="K11" t="inlineStr">
        <is>
          <t>Y</t>
        </is>
      </c>
      <c r="L11" t="inlineStr">
        <is>
          <t>251-500</t>
        </is>
      </c>
      <c r="M11" t="inlineStr">
        <is>
          <t>whole-company</t>
        </is>
      </c>
      <c r="N11" s="2" t="inlineStr">
        <is>
          <t>https://www.builtinnyc.com/company/gamechanger</t>
        </is>
      </c>
      <c r="O11" s="2" t="inlineStr">
        <is>
          <t>https://gc.com/about</t>
        </is>
      </c>
      <c r="P11" t="inlineStr">
        <is>
          <t>2026-10-24</t>
        </is>
      </c>
      <c r="Q11" s="2" t="inlineStr">
        <is>
          <t>https://commercialobserver.com/2024/08/senator-investment-group-lease-zero-irving/</t>
        </is>
      </c>
      <c r="R11" t="inlineStr">
        <is>
          <t>high</t>
        </is>
      </c>
      <c r="S11" t="inlineStr">
        <is>
          <t>N</t>
        </is>
      </c>
      <c r="T11" t="inlineStr"/>
      <c r="U11" t="inlineStr"/>
      <c r="V11" s="3" t="inlineStr">
        <is>
          <t>Site footer: '124 East 14th Street 17th Floor New York, NY 10003'. CO 2022-12 and 2024-08: Dick's Sporting Goods leased 25,600 sf for GameChanger at Zero Irving. Built In NYC: 260 total employees, HQ New York. Owned by Dick's Sporting Goods (parent far over 500). Margin: south side of 14th between Irving Pl and Third Ave.</t>
        </is>
      </c>
      <c r="W11" t="inlineStr">
        <is>
          <t>2026-10-23</t>
        </is>
      </c>
      <c r="X11" t="inlineStr">
        <is>
          <t>unknown</t>
        </is>
      </c>
      <c r="Y11" t="inlineStr">
        <is>
          <t>candidate</t>
        </is>
      </c>
      <c r="Z11" t="inlineStr">
        <is>
          <t>occupied</t>
        </is>
      </c>
      <c r="AA11" t="inlineStr"/>
      <c r="AB11" t="inlineStr">
        <is>
          <t>2026-10-24</t>
        </is>
      </c>
      <c r="AC11" s="3" t="inlineStr"/>
      <c r="AD11" t="inlineStr">
        <is>
          <t>company-site</t>
        </is>
      </c>
      <c r="AE11" t="inlineStr">
        <is>
          <t>2024-08</t>
        </is>
      </c>
      <c r="AF11" t="inlineStr">
        <is>
          <t>direct-lease-documented</t>
        </is>
      </c>
      <c r="AG11" t="inlineStr">
        <is>
          <t>1005590016</t>
        </is>
      </c>
      <c r="AH11" t="n">
        <v>0</v>
      </c>
      <c r="AI11" t="inlineStr">
        <is>
          <t>25,600 sf</t>
        </is>
      </c>
      <c r="AJ11" t="inlineStr">
        <is>
          <t>S1</t>
        </is>
      </c>
    </row>
    <row r="12">
      <c r="A12" t="inlineStr">
        <is>
          <t>B-C-011</t>
        </is>
      </c>
      <c r="B12" t="inlineStr">
        <is>
          <t>Senator Investment Group</t>
        </is>
      </c>
      <c r="C12" s="2" t="inlineStr">
        <is>
          <t>https://www.senatorlp.com</t>
        </is>
      </c>
      <c r="D12" t="inlineStr">
        <is>
          <t>investment management (hedge fund)</t>
        </is>
      </c>
      <c r="E12" t="inlineStr">
        <is>
          <t>B-B-002</t>
        </is>
      </c>
      <c r="F12" t="inlineStr">
        <is>
          <t>124 East 14th Street</t>
        </is>
      </c>
      <c r="G12" t="inlineStr">
        <is>
          <t>20</t>
        </is>
      </c>
      <c r="H12" t="inlineStr">
        <is>
          <t>10003</t>
        </is>
      </c>
      <c r="I12" t="n">
        <v>40.733674</v>
      </c>
      <c r="J12" t="n">
        <v>-73.988766</v>
      </c>
      <c r="K12" t="inlineStr">
        <is>
          <t>Y</t>
        </is>
      </c>
      <c r="L12" t="inlineStr">
        <is>
          <t>unknown</t>
        </is>
      </c>
      <c r="M12" t="inlineStr">
        <is>
          <t>unknown</t>
        </is>
      </c>
      <c r="N12" t="inlineStr"/>
      <c r="O12" s="2" t="inlineStr">
        <is>
          <t>https://www.senatorlp.com/</t>
        </is>
      </c>
      <c r="P12" t="inlineStr">
        <is>
          <t>2026-10-24</t>
        </is>
      </c>
      <c r="Q12" s="2" t="inlineStr">
        <is>
          <t>https://commercialobserver.com/2024/08/senator-investment-group-lease-zero-irving/</t>
        </is>
      </c>
      <c r="R12" t="inlineStr">
        <is>
          <t>high</t>
        </is>
      </c>
      <c r="S12" t="inlineStr">
        <is>
          <t>N</t>
        </is>
      </c>
      <c r="T12" t="inlineStr"/>
      <c r="U12" t="inlineStr"/>
      <c r="V12" s="3" t="inlineStr">
        <is>
          <t>Site: '124 E. 14th Street 20th Floor New York, NY 10003'. CO 2024-08: 12,455 sf lease that filled the 240,000 sf building. Headcount not found. Margin: south side of 14th between Irving Pl and Third Ave.</t>
        </is>
      </c>
      <c r="W12" t="inlineStr">
        <is>
          <t>2026-10-23</t>
        </is>
      </c>
      <c r="X12" t="inlineStr">
        <is>
          <t>unknown</t>
        </is>
      </c>
      <c r="Y12" t="inlineStr">
        <is>
          <t>candidate</t>
        </is>
      </c>
      <c r="Z12" t="inlineStr">
        <is>
          <t>occupied</t>
        </is>
      </c>
      <c r="AA12" t="inlineStr"/>
      <c r="AB12" t="inlineStr"/>
      <c r="AC12" s="3" t="inlineStr">
        <is>
          <t>No opened source gives a count: no Built In profile with a total, the company site publishes none, and LinkedIn was off-limits. Founder to confirm at intake.</t>
        </is>
      </c>
      <c r="AD12" t="inlineStr">
        <is>
          <t>company-site</t>
        </is>
      </c>
      <c r="AE12" t="inlineStr">
        <is>
          <t>2024-08</t>
        </is>
      </c>
      <c r="AF12" t="inlineStr">
        <is>
          <t>direct-lease-documented</t>
        </is>
      </c>
      <c r="AG12" t="inlineStr">
        <is>
          <t>1005590016</t>
        </is>
      </c>
      <c r="AH12" t="n">
        <v>0</v>
      </c>
      <c r="AI12" t="inlineStr">
        <is>
          <t>12,455 sf; 240,000 sf</t>
        </is>
      </c>
      <c r="AJ12" t="inlineStr">
        <is>
          <t>S1</t>
        </is>
      </c>
    </row>
    <row r="13">
      <c r="A13" t="inlineStr">
        <is>
          <t>B-C-012</t>
        </is>
      </c>
      <c r="B13" t="inlineStr">
        <is>
          <t>Profound</t>
        </is>
      </c>
      <c r="C13" s="2" t="inlineStr">
        <is>
          <t>https://www.tryprofound.com</t>
        </is>
      </c>
      <c r="D13" t="inlineStr">
        <is>
          <t>marketing tech (AI search analytics)</t>
        </is>
      </c>
      <c r="E13" t="inlineStr">
        <is>
          <t>B-B-003</t>
        </is>
      </c>
      <c r="F13" t="inlineStr">
        <is>
          <t>5 Union Square West</t>
        </is>
      </c>
      <c r="G13" t="inlineStr">
        <is>
          <t>2 full floors (not named)</t>
        </is>
      </c>
      <c r="H13" t="inlineStr">
        <is>
          <t>10003</t>
        </is>
      </c>
      <c r="I13" t="n">
        <v>40.7357</v>
      </c>
      <c r="J13" t="n">
        <v>-73.991754</v>
      </c>
      <c r="K13" t="inlineStr">
        <is>
          <t>Y</t>
        </is>
      </c>
      <c r="L13" t="inlineStr">
        <is>
          <t>unknown</t>
        </is>
      </c>
      <c r="M13" t="inlineStr">
        <is>
          <t>whole-company</t>
        </is>
      </c>
      <c r="N13" s="2" t="inlineStr">
        <is>
          <t>https://fortune.com/2026/02/24/exclusive-as-ai-threatens-search-profound-raises-96-million-to-help-brands-stay-visible/</t>
        </is>
      </c>
      <c r="O13" s="2" t="inlineStr">
        <is>
          <t>https://commercialobserver.com/2026/05/profound-lease-gfp-5-9-union-square-west/</t>
        </is>
      </c>
      <c r="P13" t="inlineStr">
        <is>
          <t>2026-05-18</t>
        </is>
      </c>
      <c r="Q13" t="inlineStr"/>
      <c r="R13" t="inlineStr">
        <is>
          <t>medium</t>
        </is>
      </c>
      <c r="S13" t="inlineStr">
        <is>
          <t>N</t>
        </is>
      </c>
      <c r="T13" t="inlineStr"/>
      <c r="U13" t="inlineStr"/>
      <c r="V13" s="3" t="inlineStr">
        <is>
          <t>CO 2026-05-18: new 30,000 sf lease, two full floors at 5-9 Union Square West (Spingler Bldg); existing 7,500 sf office next door at 1 Union Square West. Move-in date not stated. Fortune 2026-02-24 says 'fewer than 120 employees' so band 40-75 vs 76-150 cannot be fixed; growing fast. Built In NYC lists HQ New York only.</t>
        </is>
      </c>
      <c r="W13" t="inlineStr">
        <is>
          <t>2026-10-23</t>
        </is>
      </c>
      <c r="X13" t="inlineStr">
        <is>
          <t>unknown</t>
        </is>
      </c>
      <c r="Y13" t="inlineStr">
        <is>
          <t>candidate</t>
        </is>
      </c>
      <c r="Z13" t="inlineStr">
        <is>
          <t>signed-not-occupied</t>
        </is>
      </c>
      <c r="AA13" t="inlineStr">
        <is>
          <t>unknown</t>
        </is>
      </c>
      <c r="AB13" t="inlineStr">
        <is>
          <t>2026-02-24</t>
        </is>
      </c>
      <c r="AC13" s="3" t="inlineStr">
        <is>
          <t>Fortune 2026-02-24 says 'fewer than 120 employees', which spans two bands (40-75 and 76-150).</t>
        </is>
      </c>
      <c r="AD13" t="inlineStr">
        <is>
          <t>leasing-press</t>
        </is>
      </c>
      <c r="AE13" t="inlineStr"/>
      <c r="AF13" t="inlineStr">
        <is>
          <t>no-coworking-in-building</t>
        </is>
      </c>
      <c r="AG13" t="inlineStr">
        <is>
          <t>1008420023</t>
        </is>
      </c>
      <c r="AH13" t="n">
        <v>0</v>
      </c>
      <c r="AI13" t="inlineStr">
        <is>
          <t>30,000 sf; 7,500 sf</t>
        </is>
      </c>
      <c r="AJ13" t="inlineStr">
        <is>
          <t>S1</t>
        </is>
      </c>
    </row>
    <row r="14">
      <c r="A14" t="inlineStr">
        <is>
          <t>B-C-013</t>
        </is>
      </c>
      <c r="B14" t="inlineStr">
        <is>
          <t>Rockwell Group</t>
        </is>
      </c>
      <c r="C14" s="2" t="inlineStr">
        <is>
          <t>https://www.rockwellgroup.com</t>
        </is>
      </c>
      <c r="D14" t="inlineStr">
        <is>
          <t>architecture and design</t>
        </is>
      </c>
      <c r="E14" t="inlineStr">
        <is>
          <t>B-B-003</t>
        </is>
      </c>
      <c r="F14" t="inlineStr">
        <is>
          <t>5 Union Square West</t>
        </is>
      </c>
      <c r="G14" t="inlineStr">
        <is>
          <t>8</t>
        </is>
      </c>
      <c r="H14" t="inlineStr">
        <is>
          <t>10003</t>
        </is>
      </c>
      <c r="I14" t="n">
        <v>40.7357</v>
      </c>
      <c r="J14" t="n">
        <v>-73.991754</v>
      </c>
      <c r="K14" t="inlineStr">
        <is>
          <t>Y</t>
        </is>
      </c>
      <c r="L14" t="inlineStr">
        <is>
          <t>251-500</t>
        </is>
      </c>
      <c r="M14" t="inlineStr">
        <is>
          <t>whole-company</t>
        </is>
      </c>
      <c r="N14" s="2" t="inlineStr">
        <is>
          <t>https://www.rockwellgroup.com/about</t>
        </is>
      </c>
      <c r="O14" s="2" t="inlineStr">
        <is>
          <t>https://www.rockwellgroup.com/about</t>
        </is>
      </c>
      <c r="P14" t="inlineStr">
        <is>
          <t>2026-10-23</t>
        </is>
      </c>
      <c r="Q14" s="2" t="inlineStr">
        <is>
          <t>https://commercialobserver.com/2026/05/profound-lease-gfp-5-9-union-square-west/</t>
        </is>
      </c>
      <c r="R14" t="inlineStr">
        <is>
          <t>high</t>
        </is>
      </c>
      <c r="S14" t="inlineStr">
        <is>
          <t>N</t>
        </is>
      </c>
      <c r="T14" t="inlineStr"/>
      <c r="U14" t="inlineStr"/>
      <c r="V14" s="3" t="inlineStr">
        <is>
          <t>Site footer: 5 Union Square West, 8th Floor; site says '350-person firm' (offices also in LA and Madrid, so firm-wide). CO 2026-05-18 says Rockwell's firm remains elsewhere in 5-9 USW after giving up space to Profound.</t>
        </is>
      </c>
      <c r="W14" t="inlineStr">
        <is>
          <t>2026-10-23</t>
        </is>
      </c>
      <c r="X14" t="inlineStr">
        <is>
          <t>unknown</t>
        </is>
      </c>
      <c r="Y14" t="inlineStr">
        <is>
          <t>candidate</t>
        </is>
      </c>
      <c r="Z14" t="inlineStr">
        <is>
          <t>occupied</t>
        </is>
      </c>
      <c r="AA14" t="inlineStr"/>
      <c r="AB14" t="inlineStr">
        <is>
          <t>2026-10-23</t>
        </is>
      </c>
      <c r="AC14" s="3" t="inlineStr"/>
      <c r="AD14" t="inlineStr">
        <is>
          <t>company-site</t>
        </is>
      </c>
      <c r="AE14" t="inlineStr">
        <is>
          <t>2026-05-18</t>
        </is>
      </c>
      <c r="AF14" t="inlineStr">
        <is>
          <t>no-coworking-in-building</t>
        </is>
      </c>
      <c r="AG14" t="inlineStr">
        <is>
          <t>1008420023</t>
        </is>
      </c>
      <c r="AH14" t="n">
        <v>0</v>
      </c>
      <c r="AI14" t="inlineStr"/>
      <c r="AJ14" t="inlineStr">
        <is>
          <t>S1</t>
        </is>
      </c>
    </row>
    <row r="15">
      <c r="A15" t="inlineStr">
        <is>
          <t>B-C-014</t>
        </is>
      </c>
      <c r="B15" t="inlineStr">
        <is>
          <t>Mirage (formerly Captions)</t>
        </is>
      </c>
      <c r="C15" s="2" t="inlineStr">
        <is>
          <t>https://www.captions.ai</t>
        </is>
      </c>
      <c r="D15" t="inlineStr">
        <is>
          <t>AI video software</t>
        </is>
      </c>
      <c r="E15" t="inlineStr">
        <is>
          <t>B-B-004</t>
        </is>
      </c>
      <c r="F15" t="inlineStr">
        <is>
          <t>71 Fifth Avenue</t>
        </is>
      </c>
      <c r="G15" t="inlineStr">
        <is>
          <t>6</t>
        </is>
      </c>
      <c r="H15" t="inlineStr">
        <is>
          <t>10003</t>
        </is>
      </c>
      <c r="I15" t="n">
        <v>40.736357</v>
      </c>
      <c r="J15" t="n">
        <v>-73.992824</v>
      </c>
      <c r="K15" t="inlineStr">
        <is>
          <t>Y</t>
        </is>
      </c>
      <c r="L15" t="inlineStr">
        <is>
          <t>40-75</t>
        </is>
      </c>
      <c r="M15" t="inlineStr">
        <is>
          <t>whole-company</t>
        </is>
      </c>
      <c r="N15" s="2" t="inlineStr">
        <is>
          <t>https://www.builtinnyc.com/company/captions</t>
        </is>
      </c>
      <c r="O15" s="2" t="inlineStr">
        <is>
          <t>https://rebusinessonline.com/?p=393709</t>
        </is>
      </c>
      <c r="P15" t="inlineStr">
        <is>
          <t>2024-03-01</t>
        </is>
      </c>
      <c r="Q15" t="inlineStr"/>
      <c r="R15" t="inlineStr">
        <is>
          <t>low</t>
        </is>
      </c>
      <c r="S15" t="inlineStr">
        <is>
          <t>N</t>
        </is>
      </c>
      <c r="T15" t="inlineStr"/>
      <c r="U15" t="inlineStr"/>
      <c r="V15" s="3" t="inlineStr">
        <is>
          <t>REBusiness 2024-03-01: Captions took the entire 6th floor, 15,202 sf. Source older than 24 months and no current confirmation found (company site lists no address), so low. Built In NYC profile now titled Mirage, 75 total employees.</t>
        </is>
      </c>
      <c r="W15" t="inlineStr">
        <is>
          <t>2026-10-23</t>
        </is>
      </c>
      <c r="X15" t="inlineStr">
        <is>
          <t>unknown</t>
        </is>
      </c>
      <c r="Y15" t="inlineStr">
        <is>
          <t>candidate</t>
        </is>
      </c>
      <c r="Z15" t="inlineStr">
        <is>
          <t>occupancy-unconfirmed</t>
        </is>
      </c>
      <c r="AA15" t="inlineStr"/>
      <c r="AB15" t="inlineStr">
        <is>
          <t>2026-10-23</t>
        </is>
      </c>
      <c r="AC15" s="3" t="inlineStr"/>
      <c r="AD15" t="inlineStr">
        <is>
          <t>leasing-press</t>
        </is>
      </c>
      <c r="AE15" t="inlineStr"/>
      <c r="AF15" t="inlineStr">
        <is>
          <t>no-coworking-in-building</t>
        </is>
      </c>
      <c r="AG15" t="inlineStr">
        <is>
          <t>1008420042</t>
        </is>
      </c>
      <c r="AH15" t="n">
        <v>0</v>
      </c>
      <c r="AI15" t="inlineStr">
        <is>
          <t>15,202 sf</t>
        </is>
      </c>
      <c r="AJ15" t="inlineStr">
        <is>
          <t>S1</t>
        </is>
      </c>
    </row>
    <row r="16">
      <c r="A16" t="inlineStr">
        <is>
          <t>B-C-015</t>
        </is>
      </c>
      <c r="B16" t="inlineStr">
        <is>
          <t>Gresham Investment Management</t>
        </is>
      </c>
      <c r="C16" s="2" t="inlineStr">
        <is>
          <t>https://www.greshamllc.com</t>
        </is>
      </c>
      <c r="D16" t="inlineStr">
        <is>
          <t>investment management (commodities)</t>
        </is>
      </c>
      <c r="E16" t="inlineStr">
        <is>
          <t>B-B-005</t>
        </is>
      </c>
      <c r="F16" t="inlineStr">
        <is>
          <t>19 Union Square West</t>
        </is>
      </c>
      <c r="G16" t="inlineStr">
        <is>
          <t>11</t>
        </is>
      </c>
      <c r="H16" t="inlineStr">
        <is>
          <t>10003</t>
        </is>
      </c>
      <c r="I16" t="n">
        <v>40.736171</v>
      </c>
      <c r="J16" t="n">
        <v>-73.991456</v>
      </c>
      <c r="K16" t="inlineStr">
        <is>
          <t>Y</t>
        </is>
      </c>
      <c r="L16" t="inlineStr">
        <is>
          <t>unknown</t>
        </is>
      </c>
      <c r="M16" t="inlineStr">
        <is>
          <t>unknown</t>
        </is>
      </c>
      <c r="N16" t="inlineStr"/>
      <c r="O16" s="2" t="inlineStr">
        <is>
          <t>https://www.greshamllc.com/contact</t>
        </is>
      </c>
      <c r="P16" t="inlineStr">
        <is>
          <t>2026-10-23</t>
        </is>
      </c>
      <c r="Q16" s="2" t="inlineStr">
        <is>
          <t>https://www.mannpublications.com/mannreport/2024/06/10/hedge-fund-manager-relocates-to-19-union-square-west/</t>
        </is>
      </c>
      <c r="R16" t="inlineStr">
        <is>
          <t>medium</t>
        </is>
      </c>
      <c r="S16" t="inlineStr">
        <is>
          <t>N</t>
        </is>
      </c>
      <c r="T16" t="inlineStr"/>
      <c r="U16" t="inlineStr"/>
      <c r="V16" s="3" t="inlineStr">
        <is>
          <t>Contact page: 'Gresham Investment Management LLC 19 Union Square West, 11th Floor New York, NY 10003'. Nuveen subsidiary. The Mann Report 2024-06 item was seen in search results only, not opened, so it is not counted toward confidence. Headcount unknown; may be under 40.</t>
        </is>
      </c>
      <c r="W16" t="inlineStr">
        <is>
          <t>2026-10-23</t>
        </is>
      </c>
      <c r="X16" t="inlineStr">
        <is>
          <t>unknown</t>
        </is>
      </c>
      <c r="Y16" t="inlineStr">
        <is>
          <t>candidate</t>
        </is>
      </c>
      <c r="Z16" t="inlineStr">
        <is>
          <t>occupied</t>
        </is>
      </c>
      <c r="AA16" t="inlineStr"/>
      <c r="AB16" t="inlineStr"/>
      <c r="AC16" s="3" t="inlineStr">
        <is>
          <t>No opened source gives a count: no Built In profile with a total, the company site publishes none, and LinkedIn was off-limits. Founder to confirm at intake.</t>
        </is>
      </c>
      <c r="AD16" t="inlineStr">
        <is>
          <t>company-site</t>
        </is>
      </c>
      <c r="AE16" t="inlineStr">
        <is>
          <t>2024-06-10</t>
        </is>
      </c>
      <c r="AF16" t="inlineStr">
        <is>
          <t>no-coworking-in-building</t>
        </is>
      </c>
      <c r="AG16" t="inlineStr">
        <is>
          <t>1008430020</t>
        </is>
      </c>
      <c r="AH16" t="n">
        <v>0</v>
      </c>
      <c r="AI16" t="inlineStr"/>
      <c r="AJ16" t="inlineStr">
        <is>
          <t>S1</t>
        </is>
      </c>
    </row>
    <row r="17">
      <c r="A17" t="inlineStr">
        <is>
          <t>B-C-016</t>
        </is>
      </c>
      <c r="B17" t="inlineStr">
        <is>
          <t>Battery Ventures</t>
        </is>
      </c>
      <c r="C17" s="2" t="inlineStr">
        <is>
          <t>https://www.battery.com</t>
        </is>
      </c>
      <c r="D17" t="inlineStr">
        <is>
          <t>venture capital</t>
        </is>
      </c>
      <c r="E17" t="inlineStr">
        <is>
          <t>B-B-006</t>
        </is>
      </c>
      <c r="F17" t="inlineStr">
        <is>
          <t>100 Fifth Avenue</t>
        </is>
      </c>
      <c r="G17" t="inlineStr">
        <is>
          <t>3</t>
        </is>
      </c>
      <c r="H17" t="inlineStr">
        <is>
          <t>10011</t>
        </is>
      </c>
      <c r="I17" t="n">
        <v>40.737051</v>
      </c>
      <c r="J17" t="n">
        <v>-73.993359</v>
      </c>
      <c r="K17" t="inlineStr">
        <is>
          <t>Y</t>
        </is>
      </c>
      <c r="L17" t="inlineStr">
        <is>
          <t>unknown</t>
        </is>
      </c>
      <c r="M17" t="inlineStr">
        <is>
          <t>unknown</t>
        </is>
      </c>
      <c r="N17" t="inlineStr"/>
      <c r="O17" s="2" t="inlineStr">
        <is>
          <t>https://www.battery.com/contact/</t>
        </is>
      </c>
      <c r="P17" t="inlineStr">
        <is>
          <t>2026-10-23</t>
        </is>
      </c>
      <c r="Q17" s="2" t="inlineStr">
        <is>
          <t>https://commercialobserver.com/2026/08/biohub-fundraise-up-leases-100-104-fifth-avenue/</t>
        </is>
      </c>
      <c r="R17" t="inlineStr">
        <is>
          <t>high</t>
        </is>
      </c>
      <c r="S17" t="inlineStr">
        <is>
          <t>N</t>
        </is>
      </c>
      <c r="T17" t="inlineStr"/>
      <c r="U17" t="inlineStr"/>
      <c r="V17" s="3" t="inlineStr">
        <is>
          <t>Contact page: 'New York City 100 Fifth Avenue 3rd Floor New York, NY 10011'. CO 2023-11 reported a five-year 10,600 sf lease on the 3rd floor; CO 2026-08-26 lists it as a current tenant. NYC headcount unknown and may be under 40.</t>
        </is>
      </c>
      <c r="W17" t="inlineStr">
        <is>
          <t>2026-10-23</t>
        </is>
      </c>
      <c r="X17" t="inlineStr">
        <is>
          <t>unknown</t>
        </is>
      </c>
      <c r="Y17" t="inlineStr">
        <is>
          <t>candidate</t>
        </is>
      </c>
      <c r="Z17" t="inlineStr">
        <is>
          <t>occupied</t>
        </is>
      </c>
      <c r="AA17" t="inlineStr"/>
      <c r="AB17" t="inlineStr"/>
      <c r="AC17" s="3" t="inlineStr">
        <is>
          <t>No opened source gives a count: no Built In profile with a total, the company site publishes none, and LinkedIn was off-limits. Founder to confirm at intake.</t>
        </is>
      </c>
      <c r="AD17" t="inlineStr">
        <is>
          <t>company-site</t>
        </is>
      </c>
      <c r="AE17" t="inlineStr">
        <is>
          <t>2026-08-26</t>
        </is>
      </c>
      <c r="AF17" t="inlineStr">
        <is>
          <t>no-coworking-in-building</t>
        </is>
      </c>
      <c r="AG17" t="inlineStr">
        <is>
          <t>1008177502</t>
        </is>
      </c>
      <c r="AH17" t="n">
        <v>0</v>
      </c>
      <c r="AI17" t="inlineStr">
        <is>
          <t>10,600 sf</t>
        </is>
      </c>
      <c r="AJ17" t="inlineStr">
        <is>
          <t>S1</t>
        </is>
      </c>
    </row>
    <row r="18">
      <c r="A18" t="inlineStr">
        <is>
          <t>B-C-017</t>
        </is>
      </c>
      <c r="B18" t="inlineStr">
        <is>
          <t>Biohub (Chan Zuckerberg Biohub)</t>
        </is>
      </c>
      <c r="C18" s="2" t="inlineStr">
        <is>
          <t>https://biohub.org</t>
        </is>
      </c>
      <c r="D18" t="inlineStr">
        <is>
          <t>nonprofit biomedical research</t>
        </is>
      </c>
      <c r="E18" t="inlineStr">
        <is>
          <t>B-B-006</t>
        </is>
      </c>
      <c r="F18" t="inlineStr">
        <is>
          <t>100 Fifth Avenue</t>
        </is>
      </c>
      <c r="G18" t="inlineStr">
        <is>
          <t>9</t>
        </is>
      </c>
      <c r="H18" t="inlineStr">
        <is>
          <t>10011</t>
        </is>
      </c>
      <c r="I18" t="n">
        <v>40.737051</v>
      </c>
      <c r="J18" t="n">
        <v>-73.993359</v>
      </c>
      <c r="K18" t="inlineStr">
        <is>
          <t>Y</t>
        </is>
      </c>
      <c r="L18" t="inlineStr">
        <is>
          <t>251-500</t>
        </is>
      </c>
      <c r="M18" t="inlineStr">
        <is>
          <t>whole-company</t>
        </is>
      </c>
      <c r="N18" s="2" t="inlineStr">
        <is>
          <t>https://www.builtinnyc.com/company/biohub</t>
        </is>
      </c>
      <c r="O18" s="2" t="inlineStr">
        <is>
          <t>https://commercialobserver.com/2026/08/biohub-fundraise-up-leases-100-104-fifth-avenue/</t>
        </is>
      </c>
      <c r="P18" t="inlineStr">
        <is>
          <t>2026-08-26</t>
        </is>
      </c>
      <c r="Q18" t="inlineStr"/>
      <c r="R18" t="inlineStr">
        <is>
          <t>medium</t>
        </is>
      </c>
      <c r="S18" t="inlineStr">
        <is>
          <t>N</t>
        </is>
      </c>
      <c r="T18" t="inlineStr"/>
      <c r="U18" t="inlineStr"/>
      <c r="V18" s="3" t="inlineStr">
        <is>
          <t>CO 2026-08-26: 10,666 sf, entire 9th floor of 100-104 Fifth Ave (SW corner Fifth and W 15th); move-in timing not stated. Built In NYC 'Biohub' profile: 468 total employees, HQ San Francisco; a second profile 'Chan Zuckerberg Biohub' shows 180. NYC team size unknown.</t>
        </is>
      </c>
      <c r="W18" t="inlineStr">
        <is>
          <t>2026-10-23</t>
        </is>
      </c>
      <c r="X18" t="inlineStr">
        <is>
          <t>unknown</t>
        </is>
      </c>
      <c r="Y18" t="inlineStr">
        <is>
          <t>candidate</t>
        </is>
      </c>
      <c r="Z18" t="inlineStr">
        <is>
          <t>signed-not-occupied</t>
        </is>
      </c>
      <c r="AA18" t="inlineStr">
        <is>
          <t>unknown</t>
        </is>
      </c>
      <c r="AB18" t="inlineStr">
        <is>
          <t>2026-10-23</t>
        </is>
      </c>
      <c r="AC18" s="3" t="inlineStr"/>
      <c r="AD18" t="inlineStr">
        <is>
          <t>leasing-press</t>
        </is>
      </c>
      <c r="AE18" t="inlineStr"/>
      <c r="AF18" t="inlineStr">
        <is>
          <t>no-coworking-in-building</t>
        </is>
      </c>
      <c r="AG18" t="inlineStr">
        <is>
          <t>1008177502</t>
        </is>
      </c>
      <c r="AH18" t="n">
        <v>0</v>
      </c>
      <c r="AI18" t="inlineStr">
        <is>
          <t>10,666 sf</t>
        </is>
      </c>
      <c r="AJ18" t="inlineStr">
        <is>
          <t>S1</t>
        </is>
      </c>
    </row>
    <row r="19">
      <c r="A19" t="inlineStr">
        <is>
          <t>B-C-018</t>
        </is>
      </c>
      <c r="B19" t="inlineStr">
        <is>
          <t>Fundraise Up</t>
        </is>
      </c>
      <c r="C19" s="2" t="inlineStr">
        <is>
          <t>https://fundraiseup.com</t>
        </is>
      </c>
      <c r="D19" t="inlineStr">
        <is>
          <t>nonprofit fundraising software</t>
        </is>
      </c>
      <c r="E19" t="inlineStr">
        <is>
          <t>B-B-006</t>
        </is>
      </c>
      <c r="F19" t="inlineStr">
        <is>
          <t>100 Fifth Avenue</t>
        </is>
      </c>
      <c r="G19" t="inlineStr">
        <is>
          <t>7</t>
        </is>
      </c>
      <c r="H19" t="inlineStr">
        <is>
          <t>10011</t>
        </is>
      </c>
      <c r="I19" t="n">
        <v>40.737051</v>
      </c>
      <c r="J19" t="n">
        <v>-73.993359</v>
      </c>
      <c r="K19" t="inlineStr">
        <is>
          <t>Y</t>
        </is>
      </c>
      <c r="L19" t="inlineStr">
        <is>
          <t>unknown</t>
        </is>
      </c>
      <c r="M19" t="inlineStr">
        <is>
          <t>unknown</t>
        </is>
      </c>
      <c r="N19" t="inlineStr"/>
      <c r="O19" s="2" t="inlineStr">
        <is>
          <t>https://commercialobserver.com/2026/08/biohub-fundraise-up-leases-100-104-fifth-avenue/</t>
        </is>
      </c>
      <c r="P19" t="inlineStr">
        <is>
          <t>2026-08-26</t>
        </is>
      </c>
      <c r="Q19" t="inlineStr"/>
      <c r="R19" t="inlineStr">
        <is>
          <t>medium</t>
        </is>
      </c>
      <c r="S19" t="inlineStr">
        <is>
          <t>N</t>
        </is>
      </c>
      <c r="T19" t="inlineStr"/>
      <c r="U19" t="inlineStr"/>
      <c r="V19" s="3" t="inlineStr">
        <is>
          <t>CO 2026-08-26: 9,522 sf, entire 7th floor of 100-104 Fifth Ave, relocating from 219 36th Street, Industry City, Brooklyn. Move-in timing not stated. Headcount not found.</t>
        </is>
      </c>
      <c r="W19" t="inlineStr">
        <is>
          <t>2026-10-23</t>
        </is>
      </c>
      <c r="X19" t="inlineStr">
        <is>
          <t>unknown</t>
        </is>
      </c>
      <c r="Y19" t="inlineStr">
        <is>
          <t>candidate</t>
        </is>
      </c>
      <c r="Z19" t="inlineStr">
        <is>
          <t>signed-not-occupied</t>
        </is>
      </c>
      <c r="AA19" t="inlineStr">
        <is>
          <t>unknown</t>
        </is>
      </c>
      <c r="AB19" t="inlineStr"/>
      <c r="AC19" s="3" t="inlineStr">
        <is>
          <t>No opened source gives a count: no Built In profile with a total, the company site publishes none, and LinkedIn was off-limits. Founder to confirm at intake.</t>
        </is>
      </c>
      <c r="AD19" t="inlineStr">
        <is>
          <t>leasing-press</t>
        </is>
      </c>
      <c r="AE19" t="inlineStr"/>
      <c r="AF19" t="inlineStr">
        <is>
          <t>no-coworking-in-building</t>
        </is>
      </c>
      <c r="AG19" t="inlineStr">
        <is>
          <t>1008177502</t>
        </is>
      </c>
      <c r="AH19" t="n">
        <v>0</v>
      </c>
      <c r="AI19" t="inlineStr">
        <is>
          <t>9,522 sf</t>
        </is>
      </c>
      <c r="AJ19" t="inlineStr">
        <is>
          <t>S1</t>
        </is>
      </c>
    </row>
    <row r="20">
      <c r="A20" t="inlineStr">
        <is>
          <t>B-C-019</t>
        </is>
      </c>
      <c r="B20" t="inlineStr">
        <is>
          <t>Thinking Machines Lab</t>
        </is>
      </c>
      <c r="C20" s="2" t="inlineStr">
        <is>
          <t>https://thinkingmachines.ai</t>
        </is>
      </c>
      <c r="D20" t="inlineStr">
        <is>
          <t>AI research</t>
        </is>
      </c>
      <c r="E20" t="inlineStr">
        <is>
          <t>B-B-007</t>
        </is>
      </c>
      <c r="F20" t="inlineStr">
        <is>
          <t>79 Fifth Avenue</t>
        </is>
      </c>
      <c r="G20" t="inlineStr">
        <is>
          <t>4</t>
        </is>
      </c>
      <c r="H20" t="inlineStr">
        <is>
          <t>10003</t>
        </is>
      </c>
      <c r="I20" t="n">
        <v>40.736971</v>
      </c>
      <c r="J20" t="n">
        <v>-73.992389</v>
      </c>
      <c r="K20" t="inlineStr">
        <is>
          <t>Y</t>
        </is>
      </c>
      <c r="L20" t="inlineStr">
        <is>
          <t>76-150</t>
        </is>
      </c>
      <c r="M20" t="inlineStr">
        <is>
          <t>whole-company</t>
        </is>
      </c>
      <c r="N20" s="2" t="inlineStr">
        <is>
          <t>https://www.builtinnyc.com/company/thinking-machines-lab</t>
        </is>
      </c>
      <c r="O20" s="2" t="inlineStr">
        <is>
          <t>https://commercialobserver.com/2026/08/thinking-machines-lab-79-fifth-avenue-lease/</t>
        </is>
      </c>
      <c r="P20" t="inlineStr">
        <is>
          <t>2026-08-26</t>
        </is>
      </c>
      <c r="Q20" t="inlineStr"/>
      <c r="R20" t="inlineStr">
        <is>
          <t>medium</t>
        </is>
      </c>
      <c r="S20" t="inlineStr">
        <is>
          <t>N</t>
        </is>
      </c>
      <c r="T20" t="inlineStr"/>
      <c r="U20" t="inlineStr"/>
      <c r="V20" s="3" t="inlineStr">
        <is>
          <t>CO 2026-08-26: 21,500 sf, entire 4th floor of 79 Fifth Ave (between E 15th and E 16th), its first New York office; HQ San Francisco; move-in timing not stated. Built In NYC: 91 total employees (company-wide; NYC team will be smaller at first).</t>
        </is>
      </c>
      <c r="W20" t="inlineStr">
        <is>
          <t>2026-10-23</t>
        </is>
      </c>
      <c r="X20" t="inlineStr">
        <is>
          <t>unknown</t>
        </is>
      </c>
      <c r="Y20" t="inlineStr">
        <is>
          <t>candidate</t>
        </is>
      </c>
      <c r="Z20" t="inlineStr">
        <is>
          <t>signed-not-occupied</t>
        </is>
      </c>
      <c r="AA20" t="inlineStr">
        <is>
          <t>unknown</t>
        </is>
      </c>
      <c r="AB20" t="inlineStr">
        <is>
          <t>2026-10-23</t>
        </is>
      </c>
      <c r="AC20" s="3" t="inlineStr"/>
      <c r="AD20" t="inlineStr">
        <is>
          <t>leasing-press</t>
        </is>
      </c>
      <c r="AE20" t="inlineStr"/>
      <c r="AF20" t="inlineStr">
        <is>
          <t>no-coworking-in-building</t>
        </is>
      </c>
      <c r="AG20" t="inlineStr">
        <is>
          <t>1008430045</t>
        </is>
      </c>
      <c r="AH20" t="n">
        <v>0</v>
      </c>
      <c r="AI20" t="inlineStr">
        <is>
          <t>21,500 sf</t>
        </is>
      </c>
      <c r="AJ20" t="inlineStr">
        <is>
          <t>S1</t>
        </is>
      </c>
    </row>
    <row r="21">
      <c r="A21" t="inlineStr">
        <is>
          <t>B-C-020</t>
        </is>
      </c>
      <c r="B21" t="inlineStr">
        <is>
          <t>Mercury</t>
        </is>
      </c>
      <c r="C21" s="2" t="inlineStr">
        <is>
          <t>https://mercury.com</t>
        </is>
      </c>
      <c r="D21" t="inlineStr">
        <is>
          <t>fintech (business banking)</t>
        </is>
      </c>
      <c r="E21" t="inlineStr">
        <is>
          <t>B-B-008</t>
        </is>
      </c>
      <c r="F21" t="inlineStr">
        <is>
          <t>26 West 17th Street</t>
        </is>
      </c>
      <c r="G21" t="inlineStr">
        <is>
          <t>10</t>
        </is>
      </c>
      <c r="H21" t="inlineStr">
        <is>
          <t>10011</t>
        </is>
      </c>
      <c r="I21" t="n">
        <v>40.738405</v>
      </c>
      <c r="J21" t="n">
        <v>-73.99393999999999</v>
      </c>
      <c r="K21" t="inlineStr">
        <is>
          <t>Y</t>
        </is>
      </c>
      <c r="L21" t="inlineStr">
        <is>
          <t>76-150</t>
        </is>
      </c>
      <c r="M21" t="inlineStr">
        <is>
          <t>whole-company</t>
        </is>
      </c>
      <c r="N21" s="2" t="inlineStr">
        <is>
          <t>https://www.builtinnyc.com/company/mercury</t>
        </is>
      </c>
      <c r="O21" s="2" t="inlineStr">
        <is>
          <t>https://commercialobserver.com/2025/03/faire-lease-26-west-17th-street/</t>
        </is>
      </c>
      <c r="P21" t="inlineStr">
        <is>
          <t>2025-03-27</t>
        </is>
      </c>
      <c r="Q21" t="inlineStr"/>
      <c r="R21" t="inlineStr">
        <is>
          <t>medium</t>
        </is>
      </c>
      <c r="S21" t="inlineStr">
        <is>
          <t>N</t>
        </is>
      </c>
      <c r="T21" t="inlineStr"/>
      <c r="U21" t="inlineStr"/>
      <c r="V21" s="3" t="inlineStr">
        <is>
          <t>CO 2025-03-27: Mercury Technologies 10,000 sf on the 10th floor. Built In NYC shows 150 total employees, HQ San Francisco; that profile count may be stale, founder to confirm on LinkedIn. | Assembly 2026-10-24: Built In's 150 total employees looks low against other reporting (S1 flag); band kept as sourced.</t>
        </is>
      </c>
      <c r="W21" t="inlineStr">
        <is>
          <t>2026-10-23</t>
        </is>
      </c>
      <c r="X21" t="inlineStr">
        <is>
          <t>unknown</t>
        </is>
      </c>
      <c r="Y21" t="inlineStr">
        <is>
          <t>candidate</t>
        </is>
      </c>
      <c r="Z21" t="inlineStr">
        <is>
          <t>occupancy-unconfirmed</t>
        </is>
      </c>
      <c r="AA21" t="inlineStr"/>
      <c r="AB21" t="inlineStr">
        <is>
          <t>2026-10-23</t>
        </is>
      </c>
      <c r="AC21" s="3" t="inlineStr"/>
      <c r="AD21" t="inlineStr">
        <is>
          <t>leasing-press</t>
        </is>
      </c>
      <c r="AE21" t="inlineStr"/>
      <c r="AF21" t="inlineStr">
        <is>
          <t>no-coworking-in-building</t>
        </is>
      </c>
      <c r="AG21" t="inlineStr">
        <is>
          <t>1008180066</t>
        </is>
      </c>
      <c r="AH21" t="n">
        <v>0</v>
      </c>
      <c r="AI21" t="inlineStr">
        <is>
          <t>10,000 sf</t>
        </is>
      </c>
      <c r="AJ21" t="inlineStr">
        <is>
          <t>S1</t>
        </is>
      </c>
    </row>
    <row r="22">
      <c r="A22" t="inlineStr">
        <is>
          <t>B-C-021</t>
        </is>
      </c>
      <c r="B22" t="inlineStr">
        <is>
          <t>Scale Microgrids</t>
        </is>
      </c>
      <c r="C22" s="2" t="inlineStr">
        <is>
          <t>https://www.scalemicrogrids.com</t>
        </is>
      </c>
      <c r="D22" t="inlineStr">
        <is>
          <t>energy infrastructure finance</t>
        </is>
      </c>
      <c r="E22" t="inlineStr">
        <is>
          <t>B-B-008</t>
        </is>
      </c>
      <c r="F22" t="inlineStr">
        <is>
          <t>26 West 17th Street</t>
        </is>
      </c>
      <c r="G22" t="inlineStr">
        <is>
          <t>11</t>
        </is>
      </c>
      <c r="H22" t="inlineStr">
        <is>
          <t>10011</t>
        </is>
      </c>
      <c r="I22" t="n">
        <v>40.738405</v>
      </c>
      <c r="J22" t="n">
        <v>-73.99393999999999</v>
      </c>
      <c r="K22" t="inlineStr">
        <is>
          <t>Y</t>
        </is>
      </c>
      <c r="L22" t="inlineStr">
        <is>
          <t>76-150</t>
        </is>
      </c>
      <c r="M22" t="inlineStr">
        <is>
          <t>whole-company</t>
        </is>
      </c>
      <c r="N22" s="2" t="inlineStr">
        <is>
          <t>https://www.builtinnyc.com/company/scale-microgrids</t>
        </is>
      </c>
      <c r="O22" s="2" t="inlineStr">
        <is>
          <t>https://commercialobserver.com/2025/03/faire-lease-26-west-17th-street/</t>
        </is>
      </c>
      <c r="P22" t="inlineStr">
        <is>
          <t>2025-03-27</t>
        </is>
      </c>
      <c r="Q22" s="2" t="inlineStr">
        <is>
          <t>https://www.scalemicrogrids.com/contact</t>
        </is>
      </c>
      <c r="R22" t="inlineStr">
        <is>
          <t>medium</t>
        </is>
      </c>
      <c r="S22" t="inlineStr">
        <is>
          <t>N</t>
        </is>
      </c>
      <c r="T22" t="inlineStr"/>
      <c r="U22" t="inlineStr"/>
      <c r="V22" s="3" t="inlineStr">
        <is>
          <t>CO 2025-03-27: 10,000 sf on the 11th floor. Built In NYC: 95 total employees, HQ Ridgewood NJ. Company contact page lists a New York regional office (city only, no street), so second source confirms NYC presence, not the street address.</t>
        </is>
      </c>
      <c r="W22" t="inlineStr">
        <is>
          <t>2026-10-23</t>
        </is>
      </c>
      <c r="X22" t="inlineStr">
        <is>
          <t>unknown</t>
        </is>
      </c>
      <c r="Y22" t="inlineStr">
        <is>
          <t>candidate</t>
        </is>
      </c>
      <c r="Z22" t="inlineStr">
        <is>
          <t>occupancy-unconfirmed</t>
        </is>
      </c>
      <c r="AA22" t="inlineStr"/>
      <c r="AB22" t="inlineStr">
        <is>
          <t>2026-10-23</t>
        </is>
      </c>
      <c r="AC22" s="3" t="inlineStr"/>
      <c r="AD22" t="inlineStr">
        <is>
          <t>leasing-press</t>
        </is>
      </c>
      <c r="AE22" t="inlineStr">
        <is>
          <t>2026-10-23</t>
        </is>
      </c>
      <c r="AF22" t="inlineStr">
        <is>
          <t>no-coworking-in-building</t>
        </is>
      </c>
      <c r="AG22" t="inlineStr">
        <is>
          <t>1008180066</t>
        </is>
      </c>
      <c r="AH22" t="n">
        <v>0</v>
      </c>
      <c r="AI22" t="inlineStr">
        <is>
          <t>10,000 sf</t>
        </is>
      </c>
      <c r="AJ22" t="inlineStr">
        <is>
          <t>S1</t>
        </is>
      </c>
    </row>
    <row r="23">
      <c r="A23" t="inlineStr">
        <is>
          <t>B-C-022</t>
        </is>
      </c>
      <c r="B23" t="inlineStr">
        <is>
          <t>Delos Capital</t>
        </is>
      </c>
      <c r="C23" t="inlineStr"/>
      <c r="D23" t="inlineStr">
        <is>
          <t>private investment</t>
        </is>
      </c>
      <c r="E23" t="inlineStr">
        <is>
          <t>B-B-010</t>
        </is>
      </c>
      <c r="F23" t="inlineStr">
        <is>
          <t>120 Fifth Avenue</t>
        </is>
      </c>
      <c r="G23" t="inlineStr"/>
      <c r="H23" t="inlineStr">
        <is>
          <t>10011</t>
        </is>
      </c>
      <c r="I23" t="n">
        <v>40.738186</v>
      </c>
      <c r="J23" t="n">
        <v>-73.992429</v>
      </c>
      <c r="K23" t="inlineStr">
        <is>
          <t>Y</t>
        </is>
      </c>
      <c r="L23" t="inlineStr">
        <is>
          <t>unknown</t>
        </is>
      </c>
      <c r="M23" t="inlineStr">
        <is>
          <t>unknown</t>
        </is>
      </c>
      <c r="N23" t="inlineStr"/>
      <c r="O23" s="2" t="inlineStr">
        <is>
          <t>https://commercialobserver.com/2026/10/eagle-ai-lease-office-120-fifth-avenue/</t>
        </is>
      </c>
      <c r="P23" t="inlineStr">
        <is>
          <t>2026-10-19</t>
        </is>
      </c>
      <c r="Q23" t="inlineStr"/>
      <c r="R23" t="inlineStr">
        <is>
          <t>medium</t>
        </is>
      </c>
      <c r="S23" t="inlineStr">
        <is>
          <t>N</t>
        </is>
      </c>
      <c r="T23" t="inlineStr"/>
      <c r="U23" t="inlineStr"/>
      <c r="V23" s="3" t="inlineStr">
        <is>
          <t>CO 2026-10-19 lists Delos Capital as an existing tenant. Headcount unknown; may be under 40.</t>
        </is>
      </c>
      <c r="W23" t="inlineStr">
        <is>
          <t>2026-10-23</t>
        </is>
      </c>
      <c r="X23" t="inlineStr">
        <is>
          <t>unknown</t>
        </is>
      </c>
      <c r="Y23" t="inlineStr">
        <is>
          <t>candidate</t>
        </is>
      </c>
      <c r="Z23" t="inlineStr">
        <is>
          <t>occupied</t>
        </is>
      </c>
      <c r="AA23" t="inlineStr"/>
      <c r="AB23" t="inlineStr"/>
      <c r="AC23" s="3" t="inlineStr">
        <is>
          <t>No opened source gives a count: no Built In profile with a total, the company site publishes none, and LinkedIn was off-limits. Founder to confirm at intake.</t>
        </is>
      </c>
      <c r="AD23" t="inlineStr">
        <is>
          <t>leasing-press</t>
        </is>
      </c>
      <c r="AE23" t="inlineStr"/>
      <c r="AF23" t="inlineStr">
        <is>
          <t>no-coworking-in-building</t>
        </is>
      </c>
      <c r="AG23" t="inlineStr">
        <is>
          <t>1008190037</t>
        </is>
      </c>
      <c r="AH23" t="n">
        <v>0</v>
      </c>
      <c r="AI23" t="inlineStr"/>
      <c r="AJ23" t="inlineStr">
        <is>
          <t>S1</t>
        </is>
      </c>
    </row>
    <row r="24">
      <c r="A24" t="inlineStr">
        <is>
          <t>B-C-023</t>
        </is>
      </c>
      <c r="B24" t="inlineStr">
        <is>
          <t>Eagle AI</t>
        </is>
      </c>
      <c r="C24" t="inlineStr"/>
      <c r="D24" t="inlineStr">
        <is>
          <t>AI solutions</t>
        </is>
      </c>
      <c r="E24" t="inlineStr">
        <is>
          <t>B-B-010</t>
        </is>
      </c>
      <c r="F24" t="inlineStr">
        <is>
          <t>120 Fifth Avenue</t>
        </is>
      </c>
      <c r="G24" t="inlineStr">
        <is>
          <t>one full floor (not named)</t>
        </is>
      </c>
      <c r="H24" t="inlineStr">
        <is>
          <t>10011</t>
        </is>
      </c>
      <c r="I24" t="n">
        <v>40.738186</v>
      </c>
      <c r="J24" t="n">
        <v>-73.992429</v>
      </c>
      <c r="K24" t="inlineStr">
        <is>
          <t>Y</t>
        </is>
      </c>
      <c r="L24" t="inlineStr">
        <is>
          <t>unknown</t>
        </is>
      </c>
      <c r="M24" t="inlineStr">
        <is>
          <t>unknown</t>
        </is>
      </c>
      <c r="N24" t="inlineStr"/>
      <c r="O24" s="2" t="inlineStr">
        <is>
          <t>https://commercialobserver.com/2026/10/eagle-ai-lease-office-120-fifth-avenue/</t>
        </is>
      </c>
      <c r="P24" t="inlineStr">
        <is>
          <t>2026-10-19</t>
        </is>
      </c>
      <c r="Q24" t="inlineStr"/>
      <c r="R24" t="inlineStr">
        <is>
          <t>medium</t>
        </is>
      </c>
      <c r="S24" t="inlineStr">
        <is>
          <t>N</t>
        </is>
      </c>
      <c r="T24" t="inlineStr"/>
      <c r="U24" t="inlineStr"/>
      <c r="V24" s="3" t="inlineStr">
        <is>
          <t>CO 2026-10-19: 6,500 sf full floor signed September 2026; CO says its website lists 5 Penn Plaza, so this is a relocation that may not have happened yet. Confirm move-in date before outreach.</t>
        </is>
      </c>
      <c r="W24" t="inlineStr">
        <is>
          <t>2026-10-23</t>
        </is>
      </c>
      <c r="X24" t="inlineStr">
        <is>
          <t>unknown</t>
        </is>
      </c>
      <c r="Y24" t="inlineStr">
        <is>
          <t>candidate</t>
        </is>
      </c>
      <c r="Z24" t="inlineStr">
        <is>
          <t>signed-not-occupied</t>
        </is>
      </c>
      <c r="AA24" t="inlineStr">
        <is>
          <t>unknown</t>
        </is>
      </c>
      <c r="AB24" t="inlineStr"/>
      <c r="AC24" s="3" t="inlineStr">
        <is>
          <t>No opened source gives a count: no Built In profile with a total, the company site publishes none, and LinkedIn was off-limits. Founder to confirm at intake.</t>
        </is>
      </c>
      <c r="AD24" t="inlineStr">
        <is>
          <t>leasing-press</t>
        </is>
      </c>
      <c r="AE24" t="inlineStr"/>
      <c r="AF24" t="inlineStr">
        <is>
          <t>no-coworking-in-building</t>
        </is>
      </c>
      <c r="AG24" t="inlineStr">
        <is>
          <t>1008190037</t>
        </is>
      </c>
      <c r="AH24" t="n">
        <v>0</v>
      </c>
      <c r="AI24" t="inlineStr">
        <is>
          <t>6,500 sf</t>
        </is>
      </c>
      <c r="AJ24" t="inlineStr">
        <is>
          <t>S1</t>
        </is>
      </c>
    </row>
    <row r="25">
      <c r="A25" t="inlineStr">
        <is>
          <t>B-C-024</t>
        </is>
      </c>
      <c r="B25" t="inlineStr">
        <is>
          <t>Iterative Scopes</t>
        </is>
      </c>
      <c r="C25" t="inlineStr"/>
      <c r="D25" t="inlineStr">
        <is>
          <t>AI health care (gastroenterology software)</t>
        </is>
      </c>
      <c r="E25" t="inlineStr">
        <is>
          <t>B-B-010</t>
        </is>
      </c>
      <c r="F25" t="inlineStr">
        <is>
          <t>120 Fifth Avenue</t>
        </is>
      </c>
      <c r="G25" t="inlineStr"/>
      <c r="H25" t="inlineStr">
        <is>
          <t>10011</t>
        </is>
      </c>
      <c r="I25" t="n">
        <v>40.738186</v>
      </c>
      <c r="J25" t="n">
        <v>-73.992429</v>
      </c>
      <c r="K25" t="inlineStr">
        <is>
          <t>Y</t>
        </is>
      </c>
      <c r="L25" t="inlineStr">
        <is>
          <t>unknown</t>
        </is>
      </c>
      <c r="M25" t="inlineStr">
        <is>
          <t>unknown</t>
        </is>
      </c>
      <c r="N25" t="inlineStr"/>
      <c r="O25" s="2" t="inlineStr">
        <is>
          <t>https://commercialobserver.com/2026/10/eagle-ai-lease-office-120-fifth-avenue/</t>
        </is>
      </c>
      <c r="P25" t="inlineStr">
        <is>
          <t>2026-10-19</t>
        </is>
      </c>
      <c r="Q25" t="inlineStr"/>
      <c r="R25" t="inlineStr">
        <is>
          <t>medium</t>
        </is>
      </c>
      <c r="S25" t="inlineStr">
        <is>
          <t>N</t>
        </is>
      </c>
      <c r="T25" t="inlineStr"/>
      <c r="U25" t="inlineStr"/>
      <c r="V25" s="3" t="inlineStr">
        <is>
          <t>CO 2026-10-19: took 6,500 sf at 120 Fifth Ave in April 2026. Website and headcount not confirmed.</t>
        </is>
      </c>
      <c r="W25" t="inlineStr">
        <is>
          <t>2026-10-23</t>
        </is>
      </c>
      <c r="X25" t="inlineStr">
        <is>
          <t>unknown</t>
        </is>
      </c>
      <c r="Y25" t="inlineStr">
        <is>
          <t>candidate</t>
        </is>
      </c>
      <c r="Z25" t="inlineStr">
        <is>
          <t>occupancy-unconfirmed</t>
        </is>
      </c>
      <c r="AA25" t="inlineStr"/>
      <c r="AB25" t="inlineStr"/>
      <c r="AC25" s="3" t="inlineStr">
        <is>
          <t>No opened source gives a count: no Built In profile with a total, the company site publishes none, and LinkedIn was off-limits. Founder to confirm at intake.</t>
        </is>
      </c>
      <c r="AD25" t="inlineStr">
        <is>
          <t>leasing-press</t>
        </is>
      </c>
      <c r="AE25" t="inlineStr"/>
      <c r="AF25" t="inlineStr">
        <is>
          <t>no-coworking-in-building</t>
        </is>
      </c>
      <c r="AG25" t="inlineStr">
        <is>
          <t>1008190037</t>
        </is>
      </c>
      <c r="AH25" t="n">
        <v>0</v>
      </c>
      <c r="AI25" t="inlineStr">
        <is>
          <t>6,500 sf</t>
        </is>
      </c>
      <c r="AJ25" t="inlineStr">
        <is>
          <t>S1</t>
        </is>
      </c>
    </row>
    <row r="26">
      <c r="A26" t="inlineStr">
        <is>
          <t>B-C-025</t>
        </is>
      </c>
      <c r="B26" t="inlineStr">
        <is>
          <t>Kharon</t>
        </is>
      </c>
      <c r="C26" s="2" t="inlineStr">
        <is>
          <t>https://www.kharon.com</t>
        </is>
      </c>
      <c r="D26" t="inlineStr">
        <is>
          <t>risk intelligence software (sanctions and financial crime)</t>
        </is>
      </c>
      <c r="E26" t="inlineStr">
        <is>
          <t>B-B-010</t>
        </is>
      </c>
      <c r="F26" t="inlineStr">
        <is>
          <t>120 Fifth Avenue</t>
        </is>
      </c>
      <c r="G26" t="inlineStr"/>
      <c r="H26" t="inlineStr">
        <is>
          <t>10011</t>
        </is>
      </c>
      <c r="I26" t="n">
        <v>40.738186</v>
      </c>
      <c r="J26" t="n">
        <v>-73.992429</v>
      </c>
      <c r="K26" t="inlineStr">
        <is>
          <t>Y</t>
        </is>
      </c>
      <c r="L26" t="inlineStr">
        <is>
          <t>40-75</t>
        </is>
      </c>
      <c r="M26" t="inlineStr">
        <is>
          <t>whole-company</t>
        </is>
      </c>
      <c r="N26" s="2" t="inlineStr">
        <is>
          <t>https://www.builtinnyc.com/company/kharon</t>
        </is>
      </c>
      <c r="O26" s="2" t="inlineStr">
        <is>
          <t>https://commercialobserver.com/2026/10/eagle-ai-lease-office-120-fifth-avenue/</t>
        </is>
      </c>
      <c r="P26" t="inlineStr">
        <is>
          <t>2026-10-19</t>
        </is>
      </c>
      <c r="Q26" t="inlineStr"/>
      <c r="R26" t="inlineStr">
        <is>
          <t>medium</t>
        </is>
      </c>
      <c r="S26" t="inlineStr">
        <is>
          <t>N</t>
        </is>
      </c>
      <c r="T26" t="inlineStr"/>
      <c r="U26" t="inlineStr"/>
      <c r="V26" s="3" t="inlineStr">
        <is>
          <t>CO 2026-10-19: Kharon took 6,500 sf at 120 Fifth Ave in August 2026 (Bromley prebuilt full floors). Built In NYC: 65 total employees, HQ Los Angeles, so the NYC office is likely a fraction.</t>
        </is>
      </c>
      <c r="W26" t="inlineStr">
        <is>
          <t>2026-10-23</t>
        </is>
      </c>
      <c r="X26" t="inlineStr">
        <is>
          <t>unknown</t>
        </is>
      </c>
      <c r="Y26" t="inlineStr">
        <is>
          <t>candidate</t>
        </is>
      </c>
      <c r="Z26" t="inlineStr">
        <is>
          <t>occupancy-unconfirmed</t>
        </is>
      </c>
      <c r="AA26" t="inlineStr"/>
      <c r="AB26" t="inlineStr">
        <is>
          <t>2026-10-23</t>
        </is>
      </c>
      <c r="AC26" s="3" t="inlineStr"/>
      <c r="AD26" t="inlineStr">
        <is>
          <t>leasing-press</t>
        </is>
      </c>
      <c r="AE26" t="inlineStr"/>
      <c r="AF26" t="inlineStr">
        <is>
          <t>no-coworking-in-building</t>
        </is>
      </c>
      <c r="AG26" t="inlineStr">
        <is>
          <t>1008190037</t>
        </is>
      </c>
      <c r="AH26" t="n">
        <v>0</v>
      </c>
      <c r="AI26" t="inlineStr">
        <is>
          <t>6,500 sf</t>
        </is>
      </c>
      <c r="AJ26" t="inlineStr">
        <is>
          <t>S1</t>
        </is>
      </c>
    </row>
    <row r="27">
      <c r="A27" t="inlineStr">
        <is>
          <t>B-C-026</t>
        </is>
      </c>
      <c r="B27" t="inlineStr">
        <is>
          <t>Walleye Financial</t>
        </is>
      </c>
      <c r="C27" t="inlineStr"/>
      <c r="D27" t="inlineStr">
        <is>
          <t>investment firm</t>
        </is>
      </c>
      <c r="E27" t="inlineStr">
        <is>
          <t>B-B-010</t>
        </is>
      </c>
      <c r="F27" t="inlineStr">
        <is>
          <t>120 Fifth Avenue</t>
        </is>
      </c>
      <c r="G27" t="inlineStr"/>
      <c r="H27" t="inlineStr">
        <is>
          <t>10011</t>
        </is>
      </c>
      <c r="I27" t="n">
        <v>40.738186</v>
      </c>
      <c r="J27" t="n">
        <v>-73.992429</v>
      </c>
      <c r="K27" t="inlineStr">
        <is>
          <t>Y</t>
        </is>
      </c>
      <c r="L27" t="inlineStr">
        <is>
          <t>unknown</t>
        </is>
      </c>
      <c r="M27" t="inlineStr">
        <is>
          <t>unknown</t>
        </is>
      </c>
      <c r="N27" t="inlineStr"/>
      <c r="O27" s="2" t="inlineStr">
        <is>
          <t>https://commercialobserver.com/2026/10/eagle-ai-lease-office-120-fifth-avenue/</t>
        </is>
      </c>
      <c r="P27" t="inlineStr">
        <is>
          <t>2026-10-19</t>
        </is>
      </c>
      <c r="Q27" t="inlineStr"/>
      <c r="R27" t="inlineStr">
        <is>
          <t>medium</t>
        </is>
      </c>
      <c r="S27" t="inlineStr">
        <is>
          <t>N</t>
        </is>
      </c>
      <c r="T27" t="inlineStr"/>
      <c r="U27" t="inlineStr"/>
      <c r="V27" s="3" t="inlineStr">
        <is>
          <t>Named 'investment firm Walleye Financial' in CO 2026-10-19. Not confirmed whether this is the same firm as Walleye Capital (Built In: 181 employees, HQ Plymouth MN); headcount left unknown.</t>
        </is>
      </c>
      <c r="W27" t="inlineStr">
        <is>
          <t>2026-10-23</t>
        </is>
      </c>
      <c r="X27" t="inlineStr">
        <is>
          <t>unknown</t>
        </is>
      </c>
      <c r="Y27" t="inlineStr">
        <is>
          <t>candidate</t>
        </is>
      </c>
      <c r="Z27" t="inlineStr">
        <is>
          <t>occupied</t>
        </is>
      </c>
      <c r="AA27" t="inlineStr"/>
      <c r="AB27" t="inlineStr"/>
      <c r="AC27" s="3" t="inlineStr">
        <is>
          <t>May or may not be Walleye Capital (Built In 181); not confirmed, so no count used.</t>
        </is>
      </c>
      <c r="AD27" t="inlineStr">
        <is>
          <t>leasing-press</t>
        </is>
      </c>
      <c r="AE27" t="inlineStr"/>
      <c r="AF27" t="inlineStr">
        <is>
          <t>no-coworking-in-building</t>
        </is>
      </c>
      <c r="AG27" t="inlineStr">
        <is>
          <t>1008190037</t>
        </is>
      </c>
      <c r="AH27" t="n">
        <v>0</v>
      </c>
      <c r="AI27" t="inlineStr"/>
      <c r="AJ27" t="inlineStr">
        <is>
          <t>S1</t>
        </is>
      </c>
    </row>
    <row r="28">
      <c r="A28" t="inlineStr">
        <is>
          <t>B-C-027</t>
        </is>
      </c>
      <c r="B28" t="inlineStr">
        <is>
          <t>Selldorf Architects</t>
        </is>
      </c>
      <c r="C28" s="2" t="inlineStr">
        <is>
          <t>https://www.selldorf.com</t>
        </is>
      </c>
      <c r="D28" t="inlineStr">
        <is>
          <t>architecture</t>
        </is>
      </c>
      <c r="E28" t="inlineStr">
        <is>
          <t>B-B-011</t>
        </is>
      </c>
      <c r="F28" t="inlineStr">
        <is>
          <t>860 Broadway</t>
        </is>
      </c>
      <c r="G28" t="inlineStr"/>
      <c r="H28" t="inlineStr">
        <is>
          <t>10003</t>
        </is>
      </c>
      <c r="I28" t="n">
        <v>40.737158</v>
      </c>
      <c r="J28" t="n">
        <v>-73.989808</v>
      </c>
      <c r="K28" t="inlineStr">
        <is>
          <t>Y</t>
        </is>
      </c>
      <c r="L28" t="inlineStr">
        <is>
          <t>40-75</t>
        </is>
      </c>
      <c r="M28" t="inlineStr">
        <is>
          <t>whole-company</t>
        </is>
      </c>
      <c r="N28" s="2" t="inlineStr">
        <is>
          <t>https://en.wikipedia.org/wiki/Selldorf_Architects</t>
        </is>
      </c>
      <c r="O28" s="2" t="inlineStr">
        <is>
          <t>https://commercialobserver.com/2026/08/selldorf-architects-renews-14k-sf-860-broadway-lease-for-10-years/</t>
        </is>
      </c>
      <c r="P28" t="inlineStr">
        <is>
          <t>2026-08-07</t>
        </is>
      </c>
      <c r="Q28" s="2" t="inlineStr">
        <is>
          <t>https://www.connectcre.com/stories/selldorf-architects-signs-long-term-renewal-at-860-broadway/</t>
        </is>
      </c>
      <c r="R28" t="inlineStr">
        <is>
          <t>medium</t>
        </is>
      </c>
      <c r="S28" t="inlineStr">
        <is>
          <t>N</t>
        </is>
      </c>
      <c r="T28" t="inlineStr"/>
      <c r="U28" t="inlineStr"/>
      <c r="V28" s="3" t="inlineStr">
        <is>
          <t>10-year 13,815 sf renewal; at 860 Broadway about two decades. Both articles trace to the same Colliers deal announcement. Headcount not found in an opened source. Wikipedia (Annabelle Selldorf article): the practice 'today employs upwards of 65 employees'; undated statement, founder to confirm. | Assembly 2026-10-24: Confidence lowered at assembly from high to medium: both articles trace to one broker announcement.</t>
        </is>
      </c>
      <c r="W28" t="inlineStr">
        <is>
          <t>2026-10-23</t>
        </is>
      </c>
      <c r="X28" t="inlineStr">
        <is>
          <t>unknown</t>
        </is>
      </c>
      <c r="Y28" t="inlineStr">
        <is>
          <t>candidate</t>
        </is>
      </c>
      <c r="Z28" t="inlineStr">
        <is>
          <t>occupied</t>
        </is>
      </c>
      <c r="AA28" t="inlineStr"/>
      <c r="AB28" t="inlineStr">
        <is>
          <t>2026-10-23</t>
        </is>
      </c>
      <c r="AC28" s="3" t="inlineStr"/>
      <c r="AD28" t="inlineStr">
        <is>
          <t>leasing-press</t>
        </is>
      </c>
      <c r="AE28" t="inlineStr">
        <is>
          <t>2026-08-07</t>
        </is>
      </c>
      <c r="AF28" t="inlineStr">
        <is>
          <t>direct-lease-documented</t>
        </is>
      </c>
      <c r="AG28" t="inlineStr">
        <is>
          <t>1008460026</t>
        </is>
      </c>
      <c r="AH28" t="n">
        <v>0</v>
      </c>
      <c r="AI28" t="inlineStr">
        <is>
          <t>13,815 sf</t>
        </is>
      </c>
      <c r="AJ28" t="inlineStr">
        <is>
          <t>S1</t>
        </is>
      </c>
    </row>
    <row r="29">
      <c r="A29" t="inlineStr">
        <is>
          <t>B-C-028</t>
        </is>
      </c>
      <c r="B29" t="inlineStr">
        <is>
          <t>Valon</t>
        </is>
      </c>
      <c r="C29" s="2" t="inlineStr">
        <is>
          <t>https://valon.ai</t>
        </is>
      </c>
      <c r="D29" t="inlineStr">
        <is>
          <t>fintech (mortgage servicing software)</t>
        </is>
      </c>
      <c r="E29" t="inlineStr">
        <is>
          <t>B-B-011</t>
        </is>
      </c>
      <c r="F29" t="inlineStr">
        <is>
          <t>860 Broadway</t>
        </is>
      </c>
      <c r="G29" t="inlineStr">
        <is>
          <t>4</t>
        </is>
      </c>
      <c r="H29" t="inlineStr">
        <is>
          <t>10003</t>
        </is>
      </c>
      <c r="I29" t="n">
        <v>40.737158</v>
      </c>
      <c r="J29" t="n">
        <v>-73.989808</v>
      </c>
      <c r="K29" t="inlineStr">
        <is>
          <t>Y</t>
        </is>
      </c>
      <c r="L29" t="inlineStr">
        <is>
          <t>251-500</t>
        </is>
      </c>
      <c r="M29" t="inlineStr">
        <is>
          <t>whole-company</t>
        </is>
      </c>
      <c r="N29" s="2" t="inlineStr">
        <is>
          <t>https://www.builtinnyc.com/company/valon</t>
        </is>
      </c>
      <c r="O29" s="2" t="inlineStr">
        <is>
          <t>https://commercialobserver.com/2026/08/selldorf-architects-renews-14k-sf-860-broadway-lease-for-10-years/</t>
        </is>
      </c>
      <c r="P29" t="inlineStr">
        <is>
          <t>2026-08-07</t>
        </is>
      </c>
      <c r="Q29" s="2" t="inlineStr">
        <is>
          <t>https://rebusinessonline.com/?p=388206</t>
        </is>
      </c>
      <c r="R29" t="inlineStr">
        <is>
          <t>high</t>
        </is>
      </c>
      <c r="S29" t="inlineStr">
        <is>
          <t>N</t>
        </is>
      </c>
      <c r="T29" t="inlineStr"/>
      <c r="U29" t="inlineStr"/>
      <c r="V29" s="3" t="inlineStr">
        <is>
          <t>Built In NYC: 500 total employees, HQ New York, 3 offices (also Phoenix). REBusiness 2023-12-22: entire 4th floor, 13,815 sf. CO and Connect CRE 2026-08-07 list Valon as a current tenant. CO 2024-04 (Industrious article) also names Valon as an 860 Broadway tenant.</t>
        </is>
      </c>
      <c r="W29" t="inlineStr">
        <is>
          <t>2026-10-23</t>
        </is>
      </c>
      <c r="X29" t="inlineStr">
        <is>
          <t>unknown</t>
        </is>
      </c>
      <c r="Y29" t="inlineStr">
        <is>
          <t>candidate</t>
        </is>
      </c>
      <c r="Z29" t="inlineStr">
        <is>
          <t>occupied</t>
        </is>
      </c>
      <c r="AA29" t="inlineStr"/>
      <c r="AB29" t="inlineStr">
        <is>
          <t>2026-10-23</t>
        </is>
      </c>
      <c r="AC29" s="3" t="inlineStr"/>
      <c r="AD29" t="inlineStr">
        <is>
          <t>leasing-press</t>
        </is>
      </c>
      <c r="AE29" t="inlineStr">
        <is>
          <t>2023-12-22</t>
        </is>
      </c>
      <c r="AF29" t="inlineStr">
        <is>
          <t>direct-lease-documented</t>
        </is>
      </c>
      <c r="AG29" t="inlineStr">
        <is>
          <t>1008460026</t>
        </is>
      </c>
      <c r="AH29" t="n">
        <v>0</v>
      </c>
      <c r="AI29" t="inlineStr">
        <is>
          <t>13,815 sf</t>
        </is>
      </c>
      <c r="AJ29" t="inlineStr">
        <is>
          <t>S1</t>
        </is>
      </c>
    </row>
    <row r="30">
      <c r="A30" t="inlineStr">
        <is>
          <t>B-C-029</t>
        </is>
      </c>
      <c r="B30" t="inlineStr">
        <is>
          <t>LUMA Partners</t>
        </is>
      </c>
      <c r="C30" s="2" t="inlineStr">
        <is>
          <t>https://www.lumapartners.com</t>
        </is>
      </c>
      <c r="D30" t="inlineStr">
        <is>
          <t>investment banking (digital media and marketing tech)</t>
        </is>
      </c>
      <c r="E30" t="inlineStr">
        <is>
          <t>B-B-012</t>
        </is>
      </c>
      <c r="F30" t="inlineStr">
        <is>
          <t>101 Fifth Avenue</t>
        </is>
      </c>
      <c r="G30" t="inlineStr">
        <is>
          <t>9</t>
        </is>
      </c>
      <c r="H30" t="inlineStr">
        <is>
          <t>10003</t>
        </is>
      </c>
      <c r="I30" t="n">
        <v>40.738006</v>
      </c>
      <c r="J30" t="n">
        <v>-73.99176199999999</v>
      </c>
      <c r="K30" t="inlineStr">
        <is>
          <t>Y</t>
        </is>
      </c>
      <c r="L30" t="inlineStr">
        <is>
          <t>unknown</t>
        </is>
      </c>
      <c r="M30" t="inlineStr">
        <is>
          <t>unknown</t>
        </is>
      </c>
      <c r="N30" t="inlineStr"/>
      <c r="O30" s="2" t="inlineStr">
        <is>
          <t>https://www.lumapartners.com/contact</t>
        </is>
      </c>
      <c r="P30" t="inlineStr">
        <is>
          <t>2026-10-23</t>
        </is>
      </c>
      <c r="Q30" s="2" t="inlineStr">
        <is>
          <t>https://commercialobserver.com/2025/08/prepared-911-101-fifth-avenue/</t>
        </is>
      </c>
      <c r="R30" t="inlineStr">
        <is>
          <t>high</t>
        </is>
      </c>
      <c r="S30" t="inlineStr">
        <is>
          <t>N</t>
        </is>
      </c>
      <c r="T30" t="inlineStr"/>
      <c r="U30" t="inlineStr"/>
      <c r="V30" s="3" t="inlineStr">
        <is>
          <t>Contact page: '101 Fifth Avenue 9th Floor New York NY 10003'. CO 2025-08-04 lists LUMA Partners as a 101 Fifth Ave tenant. Headcount not found.</t>
        </is>
      </c>
      <c r="W30" t="inlineStr">
        <is>
          <t>2026-10-23</t>
        </is>
      </c>
      <c r="X30" t="inlineStr">
        <is>
          <t>unknown</t>
        </is>
      </c>
      <c r="Y30" t="inlineStr">
        <is>
          <t>candidate</t>
        </is>
      </c>
      <c r="Z30" t="inlineStr">
        <is>
          <t>occupied</t>
        </is>
      </c>
      <c r="AA30" t="inlineStr"/>
      <c r="AB30" t="inlineStr"/>
      <c r="AC30" s="3" t="inlineStr">
        <is>
          <t>No opened source gives a count: no Built In profile with a total, the company site publishes none, and LinkedIn was off-limits. Founder to confirm at intake.</t>
        </is>
      </c>
      <c r="AD30" t="inlineStr">
        <is>
          <t>company-site</t>
        </is>
      </c>
      <c r="AE30" t="inlineStr">
        <is>
          <t>2025-08-04</t>
        </is>
      </c>
      <c r="AF30" t="inlineStr">
        <is>
          <t>no-coworking-in-building</t>
        </is>
      </c>
      <c r="AG30" t="inlineStr">
        <is>
          <t>1008460002</t>
        </is>
      </c>
      <c r="AH30" t="n">
        <v>0</v>
      </c>
      <c r="AI30" t="inlineStr"/>
      <c r="AJ30" t="inlineStr">
        <is>
          <t>S1</t>
        </is>
      </c>
    </row>
    <row r="31">
      <c r="A31" t="inlineStr">
        <is>
          <t>B-C-030</t>
        </is>
      </c>
      <c r="B31" t="inlineStr">
        <is>
          <t>Prepared 911</t>
        </is>
      </c>
      <c r="C31" s="2" t="inlineStr">
        <is>
          <t>https://www.prepared911.com</t>
        </is>
      </c>
      <c r="D31" t="inlineStr">
        <is>
          <t>public safety software (AI for 911 centers)</t>
        </is>
      </c>
      <c r="E31" t="inlineStr">
        <is>
          <t>B-B-012</t>
        </is>
      </c>
      <c r="F31" t="inlineStr">
        <is>
          <t>101 Fifth Avenue</t>
        </is>
      </c>
      <c r="G31" t="inlineStr">
        <is>
          <t>one full floor (not named)</t>
        </is>
      </c>
      <c r="H31" t="inlineStr">
        <is>
          <t>10003</t>
        </is>
      </c>
      <c r="I31" t="n">
        <v>40.738006</v>
      </c>
      <c r="J31" t="n">
        <v>-73.99176199999999</v>
      </c>
      <c r="K31" t="inlineStr">
        <is>
          <t>Y</t>
        </is>
      </c>
      <c r="L31" t="inlineStr">
        <is>
          <t>76-150</t>
        </is>
      </c>
      <c r="M31" t="inlineStr">
        <is>
          <t>whole-company</t>
        </is>
      </c>
      <c r="N31" s="2" t="inlineStr">
        <is>
          <t>https://www.builtinnyc.com/company/prepared</t>
        </is>
      </c>
      <c r="O31" s="2" t="inlineStr">
        <is>
          <t>https://commercialobserver.com/2025/08/prepared-911-101-fifth-avenue/</t>
        </is>
      </c>
      <c r="P31" t="inlineStr">
        <is>
          <t>2025-08-04</t>
        </is>
      </c>
      <c r="Q31" t="inlineStr"/>
      <c r="R31" t="inlineStr">
        <is>
          <t>medium</t>
        </is>
      </c>
      <c r="S31" t="inlineStr">
        <is>
          <t>N</t>
        </is>
      </c>
      <c r="T31" t="inlineStr"/>
      <c r="U31" t="inlineStr"/>
      <c r="V31" s="3" t="inlineStr">
        <is>
          <t>CO 2025-08-04: five-year 7,080 sf full-floor lease at 101 Fifth Ave; at the time LinkedIn listed 575 Lexington Ave, so it was a relocation. Built In NYC profile titled 'Prepared' (HQ New York, founded 2019): 77 total employees.</t>
        </is>
      </c>
      <c r="W31" t="inlineStr">
        <is>
          <t>2026-10-23</t>
        </is>
      </c>
      <c r="X31" t="inlineStr">
        <is>
          <t>unknown</t>
        </is>
      </c>
      <c r="Y31" t="inlineStr">
        <is>
          <t>candidate</t>
        </is>
      </c>
      <c r="Z31" t="inlineStr">
        <is>
          <t>occupancy-unconfirmed</t>
        </is>
      </c>
      <c r="AA31" t="inlineStr"/>
      <c r="AB31" t="inlineStr">
        <is>
          <t>2026-10-23</t>
        </is>
      </c>
      <c r="AC31" s="3" t="inlineStr"/>
      <c r="AD31" t="inlineStr">
        <is>
          <t>leasing-press</t>
        </is>
      </c>
      <c r="AE31" t="inlineStr"/>
      <c r="AF31" t="inlineStr">
        <is>
          <t>no-coworking-in-building</t>
        </is>
      </c>
      <c r="AG31" t="inlineStr">
        <is>
          <t>1008460002</t>
        </is>
      </c>
      <c r="AH31" t="n">
        <v>0</v>
      </c>
      <c r="AI31" t="inlineStr">
        <is>
          <t>7,080 sf</t>
        </is>
      </c>
      <c r="AJ31" t="inlineStr">
        <is>
          <t>S1</t>
        </is>
      </c>
    </row>
    <row r="32">
      <c r="A32" t="inlineStr">
        <is>
          <t>B-C-031</t>
        </is>
      </c>
      <c r="B32" t="inlineStr">
        <is>
          <t>Dashlane</t>
        </is>
      </c>
      <c r="C32" s="2" t="inlineStr">
        <is>
          <t>https://www.dashlane.com</t>
        </is>
      </c>
      <c r="D32" t="inlineStr">
        <is>
          <t>software (password management / security)</t>
        </is>
      </c>
      <c r="E32" t="inlineStr">
        <is>
          <t>B-B-013</t>
        </is>
      </c>
      <c r="F32" t="inlineStr">
        <is>
          <t>44 West 18th Street</t>
        </is>
      </c>
      <c r="G32" t="inlineStr">
        <is>
          <t>4</t>
        </is>
      </c>
      <c r="H32" t="inlineStr">
        <is>
          <t>10011</t>
        </is>
      </c>
      <c r="I32" t="n">
        <v>40.73921</v>
      </c>
      <c r="J32" t="n">
        <v>-73.994384</v>
      </c>
      <c r="K32" t="inlineStr">
        <is>
          <t>Y</t>
        </is>
      </c>
      <c r="L32" t="inlineStr">
        <is>
          <t>251-500</t>
        </is>
      </c>
      <c r="M32" t="inlineStr">
        <is>
          <t>whole-company</t>
        </is>
      </c>
      <c r="N32" s="2" t="inlineStr">
        <is>
          <t>https://www.builtinnyc.com/company/dashlane</t>
        </is>
      </c>
      <c r="O32" s="2" t="inlineStr">
        <is>
          <t>https://www.dashlane.com/terms</t>
        </is>
      </c>
      <c r="P32" t="inlineStr">
        <is>
          <t>2026-10-23</t>
        </is>
      </c>
      <c r="Q32" s="2" t="inlineStr">
        <is>
          <t>https://www.builtinnyc.com/company/dashlane/offices</t>
        </is>
      </c>
      <c r="R32" t="inlineStr">
        <is>
          <t>high</t>
        </is>
      </c>
      <c r="S32" t="inlineStr">
        <is>
          <t>N</t>
        </is>
      </c>
      <c r="T32" t="inlineStr"/>
      <c r="U32" t="inlineStr"/>
      <c r="V32" s="3" t="inlineStr">
        <is>
          <t>Terms and privacy pages give Dashlane USA, Inc., 44 West 18th Street, 4th Floor; Built In lists HQ at 44 W 18th Street. Built In shows 284 total employees (Paris and NYC). Same building Hex lists as its prior NYC office.</t>
        </is>
      </c>
      <c r="W32" t="inlineStr">
        <is>
          <t>2026-10-23</t>
        </is>
      </c>
      <c r="X32" t="inlineStr">
        <is>
          <t>unknown</t>
        </is>
      </c>
      <c r="Y32" t="inlineStr">
        <is>
          <t>candidate</t>
        </is>
      </c>
      <c r="Z32" t="inlineStr">
        <is>
          <t>occupied</t>
        </is>
      </c>
      <c r="AA32" t="inlineStr"/>
      <c r="AB32" t="inlineStr">
        <is>
          <t>2026-10-23</t>
        </is>
      </c>
      <c r="AC32" s="3" t="inlineStr"/>
      <c r="AD32" t="inlineStr">
        <is>
          <t>company-site</t>
        </is>
      </c>
      <c r="AE32" t="inlineStr">
        <is>
          <t>2026-10-23</t>
        </is>
      </c>
      <c r="AF32" t="inlineStr">
        <is>
          <t>no-coworking-in-building</t>
        </is>
      </c>
      <c r="AG32" t="inlineStr">
        <is>
          <t>1008190010</t>
        </is>
      </c>
      <c r="AH32" t="n">
        <v>0</v>
      </c>
      <c r="AI32" t="inlineStr"/>
      <c r="AJ32" t="inlineStr">
        <is>
          <t>S2</t>
        </is>
      </c>
    </row>
    <row r="33">
      <c r="A33" t="inlineStr">
        <is>
          <t>B-C-032</t>
        </is>
      </c>
      <c r="B33" t="inlineStr">
        <is>
          <t>Roboflow</t>
        </is>
      </c>
      <c r="C33" s="2" t="inlineStr">
        <is>
          <t>https://roboflow.com</t>
        </is>
      </c>
      <c r="D33" t="inlineStr">
        <is>
          <t>computer vision software</t>
        </is>
      </c>
      <c r="E33" t="inlineStr">
        <is>
          <t>B-B-015</t>
        </is>
      </c>
      <c r="F33" t="inlineStr">
        <is>
          <t>10 West 18th Street</t>
        </is>
      </c>
      <c r="G33" t="inlineStr"/>
      <c r="H33" t="inlineStr">
        <is>
          <t>10011</t>
        </is>
      </c>
      <c r="I33" t="n">
        <v>40.738754</v>
      </c>
      <c r="J33" t="n">
        <v>-73.99292199999999</v>
      </c>
      <c r="K33" t="inlineStr">
        <is>
          <t>Y</t>
        </is>
      </c>
      <c r="L33" t="inlineStr">
        <is>
          <t>40-75</t>
        </is>
      </c>
      <c r="M33" t="inlineStr">
        <is>
          <t>whole-company</t>
        </is>
      </c>
      <c r="N33" s="2" t="inlineStr">
        <is>
          <t>https://www.builtinnyc.com/company/roboflow</t>
        </is>
      </c>
      <c r="O33" s="2" t="inlineStr">
        <is>
          <t>https://www.mannpublications.com/mannreport/2025/08/25/moinian-signs-33000sf-across-flatiron-portfolio/</t>
        </is>
      </c>
      <c r="P33" t="inlineStr">
        <is>
          <t>2025-08-25</t>
        </is>
      </c>
      <c r="Q33" t="inlineStr"/>
      <c r="R33" t="inlineStr">
        <is>
          <t>medium</t>
        </is>
      </c>
      <c r="S33" t="inlineStr">
        <is>
          <t>N</t>
        </is>
      </c>
      <c r="T33" t="inlineStr"/>
      <c r="U33" t="inlineStr"/>
      <c r="V33" s="3" t="inlineStr">
        <is>
          <t>Mann Report 2025-08-25: new Moinian lease at 10 West 18th St (size not stated). Built In NYC: 44 total employees, HQ San Francisco plus New York office; the NYC office alone may be under 40.</t>
        </is>
      </c>
      <c r="W33" t="inlineStr">
        <is>
          <t>2026-10-23</t>
        </is>
      </c>
      <c r="X33" t="inlineStr">
        <is>
          <t>unknown</t>
        </is>
      </c>
      <c r="Y33" t="inlineStr">
        <is>
          <t>candidate</t>
        </is>
      </c>
      <c r="Z33" t="inlineStr">
        <is>
          <t>occupancy-unconfirmed</t>
        </is>
      </c>
      <c r="AA33" t="inlineStr"/>
      <c r="AB33" t="inlineStr">
        <is>
          <t>2026-10-23</t>
        </is>
      </c>
      <c r="AC33" s="3" t="inlineStr"/>
      <c r="AD33" t="inlineStr">
        <is>
          <t>leasing-press</t>
        </is>
      </c>
      <c r="AE33" t="inlineStr"/>
      <c r="AF33" t="inlineStr">
        <is>
          <t>no-coworking-in-building</t>
        </is>
      </c>
      <c r="AG33" t="inlineStr">
        <is>
          <t>1008190052</t>
        </is>
      </c>
      <c r="AH33" t="n">
        <v>0</v>
      </c>
      <c r="AI33" t="inlineStr"/>
      <c r="AJ33" t="inlineStr">
        <is>
          <t>S1</t>
        </is>
      </c>
    </row>
    <row r="34">
      <c r="A34" t="inlineStr">
        <is>
          <t>B-C-033</t>
        </is>
      </c>
      <c r="B34" t="inlineStr">
        <is>
          <t>Baseten</t>
        </is>
      </c>
      <c r="C34" s="2" t="inlineStr">
        <is>
          <t>https://www.baseten.co</t>
        </is>
      </c>
      <c r="D34" t="inlineStr">
        <is>
          <t>AI infrastructure software</t>
        </is>
      </c>
      <c r="E34" t="inlineStr">
        <is>
          <t>B-B-016</t>
        </is>
      </c>
      <c r="F34" t="inlineStr">
        <is>
          <t>215 Park Avenue South</t>
        </is>
      </c>
      <c r="G34" t="inlineStr">
        <is>
          <t>18</t>
        </is>
      </c>
      <c r="H34" t="inlineStr">
        <is>
          <t>10003</t>
        </is>
      </c>
      <c r="I34" t="n">
        <v>40.736801</v>
      </c>
      <c r="J34" t="n">
        <v>-73.98824999999999</v>
      </c>
      <c r="K34" t="inlineStr">
        <is>
          <t>Y</t>
        </is>
      </c>
      <c r="L34" t="inlineStr">
        <is>
          <t>251-500</t>
        </is>
      </c>
      <c r="M34" t="inlineStr">
        <is>
          <t>whole-company</t>
        </is>
      </c>
      <c r="N34" s="2" t="inlineStr">
        <is>
          <t>https://www.builtinnyc.com/company/baseten</t>
        </is>
      </c>
      <c r="O34" s="2" t="inlineStr">
        <is>
          <t>https://www.sec.gov/Archives/edgar/data/1013454/000153949726000704/n5676_x5-424h.htm</t>
        </is>
      </c>
      <c r="P34" t="inlineStr">
        <is>
          <t>2026-02</t>
        </is>
      </c>
      <c r="Q34" t="inlineStr"/>
      <c r="R34" t="inlineStr">
        <is>
          <t>medium</t>
        </is>
      </c>
      <c r="S34" t="inlineStr">
        <is>
          <t>N</t>
        </is>
      </c>
      <c r="T34" t="inlineStr"/>
      <c r="U34" t="inlineStr"/>
      <c r="V34" s="3" t="inlineStr">
        <is>
          <t>SEC prospectus: BaseTen Labs, Inc. subleases 12,660 sf of Nayya's 18th floor through 2029-12-30. Built In NYC: 350 total employees, HQ San Francisco, 2 offices; NYC share unknown.</t>
        </is>
      </c>
      <c r="W34" t="inlineStr">
        <is>
          <t>2026-10-23</t>
        </is>
      </c>
      <c r="X34" t="inlineStr">
        <is>
          <t>security desk</t>
        </is>
      </c>
      <c r="Y34" t="inlineStr">
        <is>
          <t>candidate</t>
        </is>
      </c>
      <c r="Z34" t="inlineStr">
        <is>
          <t>occupied</t>
        </is>
      </c>
      <c r="AA34" t="inlineStr"/>
      <c r="AB34" t="inlineStr">
        <is>
          <t>2026-10-23</t>
        </is>
      </c>
      <c r="AC34" s="3" t="inlineStr"/>
      <c r="AD34" t="inlineStr">
        <is>
          <t>other</t>
        </is>
      </c>
      <c r="AE34" t="inlineStr"/>
      <c r="AF34" t="inlineStr">
        <is>
          <t>direct-lease-documented</t>
        </is>
      </c>
      <c r="AG34" t="inlineStr">
        <is>
          <t>1008730067</t>
        </is>
      </c>
      <c r="AH34" t="n">
        <v>0</v>
      </c>
      <c r="AI34" t="inlineStr">
        <is>
          <t>12,660 sf</t>
        </is>
      </c>
      <c r="AJ34" t="inlineStr">
        <is>
          <t>S1</t>
        </is>
      </c>
    </row>
    <row r="35">
      <c r="A35" t="inlineStr">
        <is>
          <t>B-C-034</t>
        </is>
      </c>
      <c r="B35" t="inlineStr">
        <is>
          <t>Cognitiv</t>
        </is>
      </c>
      <c r="C35" s="2" t="inlineStr">
        <is>
          <t>https://cognitiv.ai</t>
        </is>
      </c>
      <c r="D35" t="inlineStr">
        <is>
          <t>adtech (AI advertising)</t>
        </is>
      </c>
      <c r="E35" t="inlineStr">
        <is>
          <t>B-B-016</t>
        </is>
      </c>
      <c r="F35" t="inlineStr">
        <is>
          <t>215 Park Avenue South</t>
        </is>
      </c>
      <c r="G35" t="inlineStr">
        <is>
          <t>16</t>
        </is>
      </c>
      <c r="H35" t="inlineStr">
        <is>
          <t>10003</t>
        </is>
      </c>
      <c r="I35" t="n">
        <v>40.736801</v>
      </c>
      <c r="J35" t="n">
        <v>-73.98824999999999</v>
      </c>
      <c r="K35" t="inlineStr">
        <is>
          <t>Y</t>
        </is>
      </c>
      <c r="L35" t="inlineStr">
        <is>
          <t>151-250</t>
        </is>
      </c>
      <c r="M35" t="inlineStr">
        <is>
          <t>whole-company</t>
        </is>
      </c>
      <c r="N35" s="2" t="inlineStr">
        <is>
          <t>https://www.builtinnyc.com/company/cognitiv</t>
        </is>
      </c>
      <c r="O35" s="2" t="inlineStr">
        <is>
          <t>https://cognitiv.ai/contact/</t>
        </is>
      </c>
      <c r="P35" t="inlineStr">
        <is>
          <t>2026-10-23</t>
        </is>
      </c>
      <c r="Q35" s="2" t="inlineStr">
        <is>
          <t>https://www.sec.gov/Archives/edgar/data/1013454/000153949726000704/n5676_x5-424h.htm</t>
        </is>
      </c>
      <c r="R35" t="inlineStr">
        <is>
          <t>high</t>
        </is>
      </c>
      <c r="S35" t="inlineStr">
        <is>
          <t>N</t>
        </is>
      </c>
      <c r="T35" t="inlineStr"/>
      <c r="U35" t="inlineStr"/>
      <c r="V35" s="3" t="inlineStr">
        <is>
          <t>Contact page: '215 Park Ave S, Floor 16 New York, NY 10003'. SEC prospectus: Cognitiv Corp. subleases Stellar Health's 16th floor (16,612 sf) through 2027-01-31, so the space may change after January 2027. Built In NYC: 170 total employees, 4 offices, HQ New York.</t>
        </is>
      </c>
      <c r="W35" t="inlineStr">
        <is>
          <t>2026-10-23</t>
        </is>
      </c>
      <c r="X35" t="inlineStr">
        <is>
          <t>security desk</t>
        </is>
      </c>
      <c r="Y35" t="inlineStr">
        <is>
          <t>candidate</t>
        </is>
      </c>
      <c r="Z35" t="inlineStr">
        <is>
          <t>occupied</t>
        </is>
      </c>
      <c r="AA35" t="inlineStr"/>
      <c r="AB35" t="inlineStr">
        <is>
          <t>2026-10-23</t>
        </is>
      </c>
      <c r="AC35" s="3" t="inlineStr"/>
      <c r="AD35" t="inlineStr">
        <is>
          <t>company-site</t>
        </is>
      </c>
      <c r="AE35" t="inlineStr">
        <is>
          <t>2026-02</t>
        </is>
      </c>
      <c r="AF35" t="inlineStr">
        <is>
          <t>direct-lease-documented</t>
        </is>
      </c>
      <c r="AG35" t="inlineStr">
        <is>
          <t>1008730067</t>
        </is>
      </c>
      <c r="AH35" t="n">
        <v>0</v>
      </c>
      <c r="AI35" t="inlineStr">
        <is>
          <t>16,612 sf</t>
        </is>
      </c>
      <c r="AJ35" t="inlineStr">
        <is>
          <t>S1</t>
        </is>
      </c>
    </row>
    <row r="36">
      <c r="A36" t="inlineStr">
        <is>
          <t>B-C-035</t>
        </is>
      </c>
      <c r="B36" t="inlineStr">
        <is>
          <t>Global Strategy Group</t>
        </is>
      </c>
      <c r="C36" s="2" t="inlineStr">
        <is>
          <t>https://www.globalstrategygroup.com</t>
        </is>
      </c>
      <c r="D36" t="inlineStr">
        <is>
          <t>public affairs, research and communications consulting</t>
        </is>
      </c>
      <c r="E36" t="inlineStr">
        <is>
          <t>B-B-016</t>
        </is>
      </c>
      <c r="F36" t="inlineStr">
        <is>
          <t>215 Park Avenue South</t>
        </is>
      </c>
      <c r="G36" t="inlineStr">
        <is>
          <t>15</t>
        </is>
      </c>
      <c r="H36" t="inlineStr">
        <is>
          <t>10003</t>
        </is>
      </c>
      <c r="I36" t="n">
        <v>40.736801</v>
      </c>
      <c r="J36" t="n">
        <v>-73.98824999999999</v>
      </c>
      <c r="K36" t="inlineStr">
        <is>
          <t>Y</t>
        </is>
      </c>
      <c r="L36" t="inlineStr">
        <is>
          <t>151-250</t>
        </is>
      </c>
      <c r="M36" t="inlineStr">
        <is>
          <t>whole-company</t>
        </is>
      </c>
      <c r="N36" s="2" t="inlineStr">
        <is>
          <t>https://www.builtinnyc.com/company/global-strategy-group</t>
        </is>
      </c>
      <c r="O36" s="2" t="inlineStr">
        <is>
          <t>https://www.globalstrategygroup.com/locations/</t>
        </is>
      </c>
      <c r="P36" t="inlineStr">
        <is>
          <t>2026-10-23</t>
        </is>
      </c>
      <c r="Q36" s="2" t="inlineStr">
        <is>
          <t>https://www.sec.gov/Archives/edgar/data/1013454/000153949726000704/n5676_x5-424h.htm</t>
        </is>
      </c>
      <c r="R36" t="inlineStr">
        <is>
          <t>high</t>
        </is>
      </c>
      <c r="S36" t="inlineStr">
        <is>
          <t>N</t>
        </is>
      </c>
      <c r="T36" t="inlineStr"/>
      <c r="U36" t="inlineStr"/>
      <c r="V36" s="3" t="inlineStr">
        <is>
          <t>Locations page: '215 Park Avenue South, 15th Floor'. SEC rent roll 2026-02-05: 21,974 sf, lease to 2032-08-31. Built In NYC: 187 total employees across 8 offices, HQ New York.</t>
        </is>
      </c>
      <c r="W36" t="inlineStr">
        <is>
          <t>2026-10-23</t>
        </is>
      </c>
      <c r="X36" t="inlineStr">
        <is>
          <t>security desk</t>
        </is>
      </c>
      <c r="Y36" t="inlineStr">
        <is>
          <t>candidate</t>
        </is>
      </c>
      <c r="Z36" t="inlineStr">
        <is>
          <t>occupied</t>
        </is>
      </c>
      <c r="AA36" t="inlineStr"/>
      <c r="AB36" t="inlineStr">
        <is>
          <t>2026-10-23</t>
        </is>
      </c>
      <c r="AC36" s="3" t="inlineStr"/>
      <c r="AD36" t="inlineStr">
        <is>
          <t>company-site</t>
        </is>
      </c>
      <c r="AE36" t="inlineStr">
        <is>
          <t>2026-02</t>
        </is>
      </c>
      <c r="AF36" t="inlineStr">
        <is>
          <t>direct-lease-documented</t>
        </is>
      </c>
      <c r="AG36" t="inlineStr">
        <is>
          <t>1008730067</t>
        </is>
      </c>
      <c r="AH36" t="n">
        <v>0</v>
      </c>
      <c r="AI36" t="inlineStr">
        <is>
          <t>21,974 sf</t>
        </is>
      </c>
      <c r="AJ36" t="inlineStr">
        <is>
          <t>S1</t>
        </is>
      </c>
    </row>
    <row r="37">
      <c r="A37" t="inlineStr">
        <is>
          <t>B-C-036</t>
        </is>
      </c>
      <c r="B37" t="inlineStr">
        <is>
          <t>Matador Content</t>
        </is>
      </c>
      <c r="C37" t="inlineStr"/>
      <c r="D37" t="inlineStr">
        <is>
          <t>TV and film production</t>
        </is>
      </c>
      <c r="E37" t="inlineStr">
        <is>
          <t>B-B-016</t>
        </is>
      </c>
      <c r="F37" t="inlineStr">
        <is>
          <t>215 Park Avenue South</t>
        </is>
      </c>
      <c r="G37" t="inlineStr">
        <is>
          <t>8</t>
        </is>
      </c>
      <c r="H37" t="inlineStr">
        <is>
          <t>10003</t>
        </is>
      </c>
      <c r="I37" t="n">
        <v>40.736801</v>
      </c>
      <c r="J37" t="n">
        <v>-73.98824999999999</v>
      </c>
      <c r="K37" t="inlineStr">
        <is>
          <t>Y</t>
        </is>
      </c>
      <c r="L37" t="inlineStr">
        <is>
          <t>unknown</t>
        </is>
      </c>
      <c r="M37" t="inlineStr">
        <is>
          <t>unknown</t>
        </is>
      </c>
      <c r="N37" t="inlineStr"/>
      <c r="O37" s="2" t="inlineStr">
        <is>
          <t>https://www.sec.gov/Archives/edgar/data/1013454/000153949726000704/n5676_x5-424h.htm</t>
        </is>
      </c>
      <c r="P37" t="inlineStr">
        <is>
          <t>2026-02</t>
        </is>
      </c>
      <c r="Q37" t="inlineStr"/>
      <c r="R37" t="inlineStr">
        <is>
          <t>medium</t>
        </is>
      </c>
      <c r="S37" t="inlineStr">
        <is>
          <t>N</t>
        </is>
      </c>
      <c r="T37" t="inlineStr"/>
      <c r="U37" t="inlineStr"/>
      <c r="V37" s="3" t="inlineStr">
        <is>
          <t>SEC rent roll 2026-02-05: Matador Content LLC 17,255 sf, lease to 2028-08-31; it subleases parts of its 8th floor to OBB Media, LLC and Initial Group Global LLC through 2026-12-31, so its own occupancy may be small. Website and headcount not confirmed.</t>
        </is>
      </c>
      <c r="W37" t="inlineStr">
        <is>
          <t>2026-10-23</t>
        </is>
      </c>
      <c r="X37" t="inlineStr">
        <is>
          <t>security desk</t>
        </is>
      </c>
      <c r="Y37" t="inlineStr">
        <is>
          <t>candidate</t>
        </is>
      </c>
      <c r="Z37" t="inlineStr">
        <is>
          <t>occupied</t>
        </is>
      </c>
      <c r="AA37" t="inlineStr"/>
      <c r="AB37" t="inlineStr"/>
      <c r="AC37" s="3" t="inlineStr">
        <is>
          <t>No opened source gives a count: no Built In profile with a total, the company site publishes none, and LinkedIn was off-limits. Founder to confirm at intake.</t>
        </is>
      </c>
      <c r="AD37" t="inlineStr">
        <is>
          <t>other</t>
        </is>
      </c>
      <c r="AE37" t="inlineStr"/>
      <c r="AF37" t="inlineStr">
        <is>
          <t>direct-lease-documented</t>
        </is>
      </c>
      <c r="AG37" t="inlineStr">
        <is>
          <t>1008730067</t>
        </is>
      </c>
      <c r="AH37" t="n">
        <v>0</v>
      </c>
      <c r="AI37" t="inlineStr">
        <is>
          <t>17,255 sf</t>
        </is>
      </c>
      <c r="AJ37" t="inlineStr">
        <is>
          <t>S1</t>
        </is>
      </c>
    </row>
    <row r="38">
      <c r="A38" t="inlineStr">
        <is>
          <t>B-C-037</t>
        </is>
      </c>
      <c r="B38" t="inlineStr">
        <is>
          <t>Nayya</t>
        </is>
      </c>
      <c r="C38" s="2" t="inlineStr">
        <is>
          <t>https://www.nayya.com</t>
        </is>
      </c>
      <c r="D38" t="inlineStr">
        <is>
          <t>benefits software (health tech)</t>
        </is>
      </c>
      <c r="E38" t="inlineStr">
        <is>
          <t>B-B-016</t>
        </is>
      </c>
      <c r="F38" t="inlineStr">
        <is>
          <t>215 Park Avenue South</t>
        </is>
      </c>
      <c r="G38" t="inlineStr">
        <is>
          <t>4</t>
        </is>
      </c>
      <c r="H38" t="inlineStr">
        <is>
          <t>10003</t>
        </is>
      </c>
      <c r="I38" t="n">
        <v>40.736801</v>
      </c>
      <c r="J38" t="n">
        <v>-73.98824999999999</v>
      </c>
      <c r="K38" t="inlineStr">
        <is>
          <t>Y</t>
        </is>
      </c>
      <c r="L38" t="inlineStr">
        <is>
          <t>76-150</t>
        </is>
      </c>
      <c r="M38" t="inlineStr">
        <is>
          <t>whole-company</t>
        </is>
      </c>
      <c r="N38" s="2" t="inlineStr">
        <is>
          <t>https://www.builtinnyc.com/company/nayya</t>
        </is>
      </c>
      <c r="O38" s="2" t="inlineStr">
        <is>
          <t>https://www.sec.gov/Archives/edgar/data/1013454/000153949726000704/n5676_x5-424h.htm</t>
        </is>
      </c>
      <c r="P38" t="inlineStr">
        <is>
          <t>2026-02</t>
        </is>
      </c>
      <c r="Q38" s="2" t="inlineStr">
        <is>
          <t>https://www.nyrej.com/sl-green-signs-29-915-s-f-lease-with-nayya-health-at-215-park-ave-south</t>
        </is>
      </c>
      <c r="R38" t="inlineStr">
        <is>
          <t>high</t>
        </is>
      </c>
      <c r="S38" t="inlineStr">
        <is>
          <t>N</t>
        </is>
      </c>
      <c r="T38" t="inlineStr"/>
      <c r="U38" t="inlineStr"/>
      <c r="V38" s="3" t="inlineStr">
        <is>
          <t>SEC CMBS prospectus (Benchmark 2026-B42), rent roll dated 2026-02-05: Nayya Health Inc. 29,915 sf, lease to 2029-12-31, subleases its 18th-floor part (12,660 sf) to BaseTen Labs. NYREJ 2024-12-10: entire 4th floor plus part of 18th. Built In NYC: 150 total employees, HQ New York.</t>
        </is>
      </c>
      <c r="W38" t="inlineStr">
        <is>
          <t>2026-10-23</t>
        </is>
      </c>
      <c r="X38" t="inlineStr">
        <is>
          <t>security desk</t>
        </is>
      </c>
      <c r="Y38" t="inlineStr">
        <is>
          <t>candidate</t>
        </is>
      </c>
      <c r="Z38" t="inlineStr">
        <is>
          <t>occupied</t>
        </is>
      </c>
      <c r="AA38" t="inlineStr"/>
      <c r="AB38" t="inlineStr">
        <is>
          <t>2026-10-23</t>
        </is>
      </c>
      <c r="AC38" s="3" t="inlineStr"/>
      <c r="AD38" t="inlineStr">
        <is>
          <t>other</t>
        </is>
      </c>
      <c r="AE38" t="inlineStr">
        <is>
          <t>2024-12-10</t>
        </is>
      </c>
      <c r="AF38" t="inlineStr">
        <is>
          <t>direct-lease-documented</t>
        </is>
      </c>
      <c r="AG38" t="inlineStr">
        <is>
          <t>1008730067</t>
        </is>
      </c>
      <c r="AH38" t="n">
        <v>0</v>
      </c>
      <c r="AI38" t="inlineStr">
        <is>
          <t>29,915 sf; 12,660 sf</t>
        </is>
      </c>
      <c r="AJ38" t="inlineStr">
        <is>
          <t>S1</t>
        </is>
      </c>
    </row>
    <row r="39">
      <c r="A39" t="inlineStr">
        <is>
          <t>B-C-038</t>
        </is>
      </c>
      <c r="B39" t="inlineStr">
        <is>
          <t>Stellar Health</t>
        </is>
      </c>
      <c r="C39" s="2" t="inlineStr">
        <is>
          <t>https://www.stellarhealth.net</t>
        </is>
      </c>
      <c r="D39" t="inlineStr">
        <is>
          <t>health tech (value-based care software)</t>
        </is>
      </c>
      <c r="E39" t="inlineStr">
        <is>
          <t>B-B-016</t>
        </is>
      </c>
      <c r="F39" t="inlineStr">
        <is>
          <t>215 Park Avenue South</t>
        </is>
      </c>
      <c r="G39" t="inlineStr"/>
      <c r="H39" t="inlineStr">
        <is>
          <t>10003</t>
        </is>
      </c>
      <c r="I39" t="n">
        <v>40.736801</v>
      </c>
      <c r="J39" t="n">
        <v>-73.98824999999999</v>
      </c>
      <c r="K39" t="inlineStr">
        <is>
          <t>Y</t>
        </is>
      </c>
      <c r="L39" t="inlineStr">
        <is>
          <t>151-250</t>
        </is>
      </c>
      <c r="M39" t="inlineStr">
        <is>
          <t>whole-company</t>
        </is>
      </c>
      <c r="N39" s="2" t="inlineStr">
        <is>
          <t>https://www.builtinnyc.com/company/stellar-health</t>
        </is>
      </c>
      <c r="O39" s="2" t="inlineStr">
        <is>
          <t>https://www.sec.gov/Archives/edgar/data/1013454/000153949726000704/n5676_x5-424h.htm</t>
        </is>
      </c>
      <c r="P39" t="inlineStr">
        <is>
          <t>2026-02</t>
        </is>
      </c>
      <c r="Q39" s="2" t="inlineStr">
        <is>
          <t>https://www.nyrej.com/sl-green-signs-29-915-s-f-lease-with-nayya-health-at-215-park-ave-south</t>
        </is>
      </c>
      <c r="R39" t="inlineStr">
        <is>
          <t>high</t>
        </is>
      </c>
      <c r="S39" t="inlineStr">
        <is>
          <t>N</t>
        </is>
      </c>
      <c r="T39" t="inlineStr"/>
      <c r="U39" t="inlineStr"/>
      <c r="V39" s="3" t="inlineStr">
        <is>
          <t>SEC rent roll 2026-02-05: The Stellar Health Group, Inc. 33,224 sf over two floors, lease to 2030-12-31; it subleases its 16th floor to Cognitiv, so it occupies one floor (floor number not stated). NYREJ 2024-12 lists Stellar Health Group as a tenant. Built In NYC: 165 total employees, HQ New York.</t>
        </is>
      </c>
      <c r="W39" t="inlineStr">
        <is>
          <t>2026-10-23</t>
        </is>
      </c>
      <c r="X39" t="inlineStr">
        <is>
          <t>security desk</t>
        </is>
      </c>
      <c r="Y39" t="inlineStr">
        <is>
          <t>candidate</t>
        </is>
      </c>
      <c r="Z39" t="inlineStr">
        <is>
          <t>occupied</t>
        </is>
      </c>
      <c r="AA39" t="inlineStr"/>
      <c r="AB39" t="inlineStr">
        <is>
          <t>2026-10-23</t>
        </is>
      </c>
      <c r="AC39" s="3" t="inlineStr"/>
      <c r="AD39" t="inlineStr">
        <is>
          <t>other</t>
        </is>
      </c>
      <c r="AE39" t="inlineStr">
        <is>
          <t>2024-12-10</t>
        </is>
      </c>
      <c r="AF39" t="inlineStr">
        <is>
          <t>direct-lease-documented</t>
        </is>
      </c>
      <c r="AG39" t="inlineStr">
        <is>
          <t>1008730067</t>
        </is>
      </c>
      <c r="AH39" t="n">
        <v>0</v>
      </c>
      <c r="AI39" t="inlineStr">
        <is>
          <t>33,224 sf</t>
        </is>
      </c>
      <c r="AJ39" t="inlineStr">
        <is>
          <t>S1</t>
        </is>
      </c>
    </row>
    <row r="40">
      <c r="A40" t="inlineStr">
        <is>
          <t>B-C-039</t>
        </is>
      </c>
      <c r="B40" t="inlineStr">
        <is>
          <t>Stone Source</t>
        </is>
      </c>
      <c r="C40" t="inlineStr"/>
      <c r="D40" t="inlineStr">
        <is>
          <t>architectural stone and tile supplier</t>
        </is>
      </c>
      <c r="E40" t="inlineStr">
        <is>
          <t>B-B-016</t>
        </is>
      </c>
      <c r="F40" t="inlineStr">
        <is>
          <t>215 Park Avenue South</t>
        </is>
      </c>
      <c r="G40" t="inlineStr"/>
      <c r="H40" t="inlineStr">
        <is>
          <t>10003</t>
        </is>
      </c>
      <c r="I40" t="n">
        <v>40.736801</v>
      </c>
      <c r="J40" t="n">
        <v>-73.98824999999999</v>
      </c>
      <c r="K40" t="inlineStr">
        <is>
          <t>Y</t>
        </is>
      </c>
      <c r="L40" t="inlineStr">
        <is>
          <t>unknown</t>
        </is>
      </c>
      <c r="M40" t="inlineStr">
        <is>
          <t>unknown</t>
        </is>
      </c>
      <c r="N40" t="inlineStr"/>
      <c r="O40" s="2" t="inlineStr">
        <is>
          <t>https://www.sec.gov/Archives/edgar/data/1013454/000153949726000704/n5676_x5-424h.htm</t>
        </is>
      </c>
      <c r="P40" t="inlineStr">
        <is>
          <t>2026-02</t>
        </is>
      </c>
      <c r="Q40" t="inlineStr"/>
      <c r="R40" t="inlineStr">
        <is>
          <t>medium</t>
        </is>
      </c>
      <c r="S40" t="inlineStr">
        <is>
          <t>N</t>
        </is>
      </c>
      <c r="T40" t="inlineStr"/>
      <c r="U40" t="inlineStr"/>
      <c r="V40" s="3" t="inlineStr">
        <is>
          <t>SEC rent roll 2026-02-05: Stone Source LLC 19,092 sf, lease to 2030-11-30 (subleases Suite 2008 to Arch Equities). Likely includes a showroom; headcount not found.</t>
        </is>
      </c>
      <c r="W40" t="inlineStr">
        <is>
          <t>2026-10-23</t>
        </is>
      </c>
      <c r="X40" t="inlineStr">
        <is>
          <t>security desk</t>
        </is>
      </c>
      <c r="Y40" t="inlineStr">
        <is>
          <t>candidate</t>
        </is>
      </c>
      <c r="Z40" t="inlineStr">
        <is>
          <t>occupied</t>
        </is>
      </c>
      <c r="AA40" t="inlineStr"/>
      <c r="AB40" t="inlineStr"/>
      <c r="AC40" s="3" t="inlineStr">
        <is>
          <t>No opened source gives a count: no Built In profile with a total, the company site publishes none, and LinkedIn was off-limits. Founder to confirm at intake.</t>
        </is>
      </c>
      <c r="AD40" t="inlineStr">
        <is>
          <t>other</t>
        </is>
      </c>
      <c r="AE40" t="inlineStr"/>
      <c r="AF40" t="inlineStr">
        <is>
          <t>direct-lease-documented</t>
        </is>
      </c>
      <c r="AG40" t="inlineStr">
        <is>
          <t>1008730067</t>
        </is>
      </c>
      <c r="AH40" t="n">
        <v>0</v>
      </c>
      <c r="AI40" t="inlineStr">
        <is>
          <t>19,092 sf</t>
        </is>
      </c>
      <c r="AJ40" t="inlineStr">
        <is>
          <t>S1</t>
        </is>
      </c>
    </row>
    <row r="41">
      <c r="A41" t="inlineStr">
        <is>
          <t>B-C-040</t>
        </is>
      </c>
      <c r="B41" t="inlineStr">
        <is>
          <t>Farmacy Beauty</t>
        </is>
      </c>
      <c r="C41" s="2" t="inlineStr">
        <is>
          <t>https://www.farmacybeauty.com</t>
        </is>
      </c>
      <c r="D41" t="inlineStr">
        <is>
          <t>skincare brand</t>
        </is>
      </c>
      <c r="E41" t="inlineStr">
        <is>
          <t>B-B-017</t>
        </is>
      </c>
      <c r="F41" t="inlineStr">
        <is>
          <t>130 Fifth Avenue</t>
        </is>
      </c>
      <c r="G41" t="inlineStr">
        <is>
          <t>4</t>
        </is>
      </c>
      <c r="H41" t="inlineStr">
        <is>
          <t>10011</t>
        </is>
      </c>
      <c r="I41" t="n">
        <v>40.738835</v>
      </c>
      <c r="J41" t="n">
        <v>-73.992046</v>
      </c>
      <c r="K41" t="inlineStr">
        <is>
          <t>Y</t>
        </is>
      </c>
      <c r="L41" t="inlineStr">
        <is>
          <t>unknown</t>
        </is>
      </c>
      <c r="M41" t="inlineStr">
        <is>
          <t>unknown</t>
        </is>
      </c>
      <c r="N41" t="inlineStr"/>
      <c r="O41" s="2" t="inlineStr">
        <is>
          <t>https://www.farmacybeauty.com/pages/contact-us</t>
        </is>
      </c>
      <c r="P41" t="inlineStr">
        <is>
          <t>2026-10-23</t>
        </is>
      </c>
      <c r="Q41" s="2" t="inlineStr">
        <is>
          <t>https://commercialobserver.com/2024/12/airbnb-lease-130-fifth-avenue/</t>
        </is>
      </c>
      <c r="R41" t="inlineStr">
        <is>
          <t>high</t>
        </is>
      </c>
      <c r="S41" t="inlineStr">
        <is>
          <t>N</t>
        </is>
      </c>
      <c r="T41" t="inlineStr"/>
      <c r="U41" t="inlineStr"/>
      <c r="V41" s="3" t="inlineStr">
        <is>
          <t>Contact page mailing address 130 5th Ave, 4th fl; CO Dec 2024 names Farmacy Beauty among 130 Fifth leases.</t>
        </is>
      </c>
      <c r="W41" t="inlineStr">
        <is>
          <t>2026-10-23</t>
        </is>
      </c>
      <c r="X41" t="inlineStr">
        <is>
          <t>unknown</t>
        </is>
      </c>
      <c r="Y41" t="inlineStr">
        <is>
          <t>candidate</t>
        </is>
      </c>
      <c r="Z41" t="inlineStr">
        <is>
          <t>occupied</t>
        </is>
      </c>
      <c r="AA41" t="inlineStr"/>
      <c r="AB41" t="inlineStr"/>
      <c r="AC41" s="3" t="inlineStr">
        <is>
          <t>No opened source gives a count: no Built In profile with a total, the company site publishes none, and LinkedIn was off-limits. Founder to confirm at intake.</t>
        </is>
      </c>
      <c r="AD41" t="inlineStr">
        <is>
          <t>company-site</t>
        </is>
      </c>
      <c r="AE41" t="inlineStr">
        <is>
          <t>2024-12-02</t>
        </is>
      </c>
      <c r="AF41" t="inlineStr">
        <is>
          <t>no-coworking-in-building</t>
        </is>
      </c>
      <c r="AG41" t="inlineStr">
        <is>
          <t>1008200038</t>
        </is>
      </c>
      <c r="AH41" t="n">
        <v>0</v>
      </c>
      <c r="AI41" t="inlineStr"/>
      <c r="AJ41" t="inlineStr">
        <is>
          <t>S2</t>
        </is>
      </c>
    </row>
    <row r="42">
      <c r="A42" t="inlineStr">
        <is>
          <t>B-C-041</t>
        </is>
      </c>
      <c r="B42" t="inlineStr">
        <is>
          <t>Fresh (LVMH)</t>
        </is>
      </c>
      <c r="C42" s="2" t="inlineStr">
        <is>
          <t>https://www.fresh.com</t>
        </is>
      </c>
      <c r="D42" t="inlineStr">
        <is>
          <t>cosmetics brand</t>
        </is>
      </c>
      <c r="E42" t="inlineStr">
        <is>
          <t>B-B-017</t>
        </is>
      </c>
      <c r="F42" t="inlineStr">
        <is>
          <t>130 Fifth Avenue</t>
        </is>
      </c>
      <c r="G42" t="inlineStr"/>
      <c r="H42" t="inlineStr">
        <is>
          <t>10011</t>
        </is>
      </c>
      <c r="I42" t="n">
        <v>40.738835</v>
      </c>
      <c r="J42" t="n">
        <v>-73.992046</v>
      </c>
      <c r="K42" t="inlineStr">
        <is>
          <t>Y</t>
        </is>
      </c>
      <c r="L42" t="inlineStr">
        <is>
          <t>unknown</t>
        </is>
      </c>
      <c r="M42" t="inlineStr">
        <is>
          <t>unknown</t>
        </is>
      </c>
      <c r="N42" t="inlineStr"/>
      <c r="O42" s="2" t="inlineStr">
        <is>
          <t>https://commercialobserver.com/2024/12/airbnb-lease-130-fifth-avenue/</t>
        </is>
      </c>
      <c r="P42" t="inlineStr">
        <is>
          <t>2024-12-02</t>
        </is>
      </c>
      <c r="Q42" t="inlineStr"/>
      <c r="R42" t="inlineStr">
        <is>
          <t>medium</t>
        </is>
      </c>
      <c r="S42" t="inlineStr">
        <is>
          <t>N</t>
        </is>
      </c>
      <c r="T42" t="inlineStr"/>
      <c r="U42" t="inlineStr"/>
      <c r="V42" s="3" t="inlineStr">
        <is>
          <t>Renewed 26,600 sf in Sept 2024. Division of LVMH (parent far over 500); Fresh's own headcount not sourced.</t>
        </is>
      </c>
      <c r="W42" t="inlineStr">
        <is>
          <t>2026-10-23</t>
        </is>
      </c>
      <c r="X42" t="inlineStr">
        <is>
          <t>unknown</t>
        </is>
      </c>
      <c r="Y42" t="inlineStr">
        <is>
          <t>candidate</t>
        </is>
      </c>
      <c r="Z42" t="inlineStr">
        <is>
          <t>occupied</t>
        </is>
      </c>
      <c r="AA42" t="inlineStr"/>
      <c r="AB42" t="inlineStr"/>
      <c r="AC42" s="3" t="inlineStr">
        <is>
          <t>No opened source gives a count: no Built In profile with a total, the company site publishes none, and LinkedIn was off-limits. Founder to confirm at intake.</t>
        </is>
      </c>
      <c r="AD42" t="inlineStr">
        <is>
          <t>leasing-press</t>
        </is>
      </c>
      <c r="AE42" t="inlineStr"/>
      <c r="AF42" t="inlineStr">
        <is>
          <t>no-coworking-in-building</t>
        </is>
      </c>
      <c r="AG42" t="inlineStr">
        <is>
          <t>1008200038</t>
        </is>
      </c>
      <c r="AH42" t="n">
        <v>0</v>
      </c>
      <c r="AI42" t="inlineStr">
        <is>
          <t>26,600 sf</t>
        </is>
      </c>
      <c r="AJ42" t="inlineStr">
        <is>
          <t>S2</t>
        </is>
      </c>
    </row>
    <row r="43">
      <c r="A43" t="inlineStr">
        <is>
          <t>B-C-042</t>
        </is>
      </c>
      <c r="B43" t="inlineStr">
        <is>
          <t>VidMob</t>
        </is>
      </c>
      <c r="C43" s="2" t="inlineStr">
        <is>
          <t>https://vidmob.com</t>
        </is>
      </c>
      <c r="D43" t="inlineStr">
        <is>
          <t>software (creative analytics, adtech)</t>
        </is>
      </c>
      <c r="E43" t="inlineStr">
        <is>
          <t>B-B-017</t>
        </is>
      </c>
      <c r="F43" t="inlineStr">
        <is>
          <t>130 Fifth Avenue</t>
        </is>
      </c>
      <c r="G43" t="inlineStr"/>
      <c r="H43" t="inlineStr">
        <is>
          <t>10011</t>
        </is>
      </c>
      <c r="I43" t="n">
        <v>40.738835</v>
      </c>
      <c r="J43" t="n">
        <v>-73.992046</v>
      </c>
      <c r="K43" t="inlineStr">
        <is>
          <t>Y</t>
        </is>
      </c>
      <c r="L43" t="inlineStr">
        <is>
          <t>40-75</t>
        </is>
      </c>
      <c r="M43" t="inlineStr">
        <is>
          <t>whole-company</t>
        </is>
      </c>
      <c r="N43" s="2" t="inlineStr">
        <is>
          <t>https://www.builtinnyc.com/company/vidmob</t>
        </is>
      </c>
      <c r="O43" s="2" t="inlineStr">
        <is>
          <t>https://commercialobserver.com/2024/12/airbnb-lease-130-fifth-avenue/</t>
        </is>
      </c>
      <c r="P43" t="inlineStr">
        <is>
          <t>2024-12-02</t>
        </is>
      </c>
      <c r="Q43" t="inlineStr"/>
      <c r="R43" t="inlineStr">
        <is>
          <t>low</t>
        </is>
      </c>
      <c r="S43" t="inlineStr">
        <is>
          <t>N</t>
        </is>
      </c>
      <c r="T43" t="inlineStr"/>
      <c r="U43" t="inlineStr"/>
      <c r="V43" s="3" t="inlineStr">
        <is>
          <t>CO Dec 2024 names data company VidMob among 130 Fifth leases, but Built In (opened 2026-10-23) lists its HQ at 500 7th Ave in a WeWork. Conflicting sources, so low. Built In shows 67 total employees.</t>
        </is>
      </c>
      <c r="W43" t="inlineStr">
        <is>
          <t>2026-10-23</t>
        </is>
      </c>
      <c r="X43" t="inlineStr">
        <is>
          <t>unknown</t>
        </is>
      </c>
      <c r="Y43" t="inlineStr">
        <is>
          <t>candidate</t>
        </is>
      </c>
      <c r="Z43" t="inlineStr">
        <is>
          <t>occupancy-unconfirmed</t>
        </is>
      </c>
      <c r="AA43" t="inlineStr"/>
      <c r="AB43" t="inlineStr">
        <is>
          <t>2026-10-23</t>
        </is>
      </c>
      <c r="AC43" s="3" t="inlineStr"/>
      <c r="AD43" t="inlineStr">
        <is>
          <t>leasing-press</t>
        </is>
      </c>
      <c r="AE43" t="inlineStr"/>
      <c r="AF43" t="inlineStr">
        <is>
          <t>no-coworking-in-building</t>
        </is>
      </c>
      <c r="AG43" t="inlineStr">
        <is>
          <t>1008200038</t>
        </is>
      </c>
      <c r="AH43" t="n">
        <v>0</v>
      </c>
      <c r="AI43" t="inlineStr"/>
      <c r="AJ43" t="inlineStr">
        <is>
          <t>S2</t>
        </is>
      </c>
    </row>
    <row r="44">
      <c r="A44" t="inlineStr">
        <is>
          <t>B-C-043</t>
        </is>
      </c>
      <c r="B44" t="inlineStr">
        <is>
          <t>SEIU 32BJ and 32BJ Benefit Funds</t>
        </is>
      </c>
      <c r="C44" s="2" t="inlineStr">
        <is>
          <t>https://www.seiu32bj.org</t>
        </is>
      </c>
      <c r="D44" t="inlineStr">
        <is>
          <t>labor union (headquarters)</t>
        </is>
      </c>
      <c r="E44" t="inlineStr">
        <is>
          <t>B-B-021</t>
        </is>
      </c>
      <c r="F44" t="inlineStr">
        <is>
          <t>25 West 18th Street</t>
        </is>
      </c>
      <c r="G44" t="inlineStr"/>
      <c r="H44" t="inlineStr">
        <is>
          <t>10011</t>
        </is>
      </c>
      <c r="I44" t="n">
        <v>40.739345</v>
      </c>
      <c r="J44" t="n">
        <v>-73.993191</v>
      </c>
      <c r="K44" t="inlineStr">
        <is>
          <t>Y</t>
        </is>
      </c>
      <c r="L44" t="inlineStr">
        <is>
          <t>unknown</t>
        </is>
      </c>
      <c r="M44" t="inlineStr">
        <is>
          <t>unknown</t>
        </is>
      </c>
      <c r="N44" t="inlineStr"/>
      <c r="O44" s="2" t="inlineStr">
        <is>
          <t>https://www.seiu32bj.org/contact-us/</t>
        </is>
      </c>
      <c r="P44" t="inlineStr">
        <is>
          <t>2026-10-23</t>
        </is>
      </c>
      <c r="Q44" s="2" t="inlineStr">
        <is>
          <t>https://32bjfunds.org/contact-us/</t>
        </is>
      </c>
      <c r="R44" t="inlineStr">
        <is>
          <t>high</t>
        </is>
      </c>
      <c r="S44" t="inlineStr">
        <is>
          <t>N</t>
        </is>
      </c>
      <c r="T44" t="inlineStr"/>
      <c r="U44" t="inlineStr"/>
      <c r="V44" s="3" t="inlineStr">
        <is>
          <t>Contact page: 'Manhattan Office and Union Headquarters 25 West 18th Street New York, NY 10011'. This is the 18th St side of the 620 Avenue of the Americas building (Siegel-Cooper, 18th-19th, so margin). CO 2024-09: moved into 245,000 sf there in 2010, owns six condos, and signed a 20-year ground-floor expansion. Staff headcount unknown; the union represents thousands of building workers (members, not staff). | Assembly 2026-10-24: Merged at assembly: S1 found the union HQ and S2 found the related Benefit Funds at the same address and tax lot (25 W 18th St = 620 Avenue of the Americas lot, BBL 1008207505). Treated as one pantry contact until the walk or a call shows two separate offices. Sources: union contact page (seiu32bj.org, opened 2026-10-23), funds contact page (32bjfunds.org, opened 2026-10-23), CO 2024-09 (moved into 245,000 sf in 2010; ground-floor expansion). Staff count not published; the union's members are building workers, not office staff.</t>
        </is>
      </c>
      <c r="W44" t="inlineStr">
        <is>
          <t>2026-10-23</t>
        </is>
      </c>
      <c r="X44" t="inlineStr">
        <is>
          <t>loading dock</t>
        </is>
      </c>
      <c r="Y44" t="inlineStr">
        <is>
          <t>candidate</t>
        </is>
      </c>
      <c r="Z44" t="inlineStr">
        <is>
          <t>occupied</t>
        </is>
      </c>
      <c r="AA44" t="inlineStr"/>
      <c r="AB44" t="inlineStr"/>
      <c r="AC44" s="3" t="inlineStr">
        <is>
          <t>Staff count not published; the union's large membership is building workers, not office staff. CO reports 245,000 sf here, a large footprint.</t>
        </is>
      </c>
      <c r="AD44" t="inlineStr">
        <is>
          <t>company-site</t>
        </is>
      </c>
      <c r="AE44" t="inlineStr">
        <is>
          <t>2026-10-23</t>
        </is>
      </c>
      <c r="AF44" t="inlineStr">
        <is>
          <t>no-coworking-in-building</t>
        </is>
      </c>
      <c r="AG44" t="inlineStr">
        <is>
          <t>1008207505</t>
        </is>
      </c>
      <c r="AH44" t="n">
        <v>0</v>
      </c>
      <c r="AI44" t="inlineStr">
        <is>
          <t>245,000 sf</t>
        </is>
      </c>
      <c r="AJ44" t="inlineStr">
        <is>
          <t>S1;S2</t>
        </is>
      </c>
    </row>
    <row r="45">
      <c r="A45" t="inlineStr">
        <is>
          <t>B-C-044</t>
        </is>
      </c>
      <c r="B45" t="inlineStr">
        <is>
          <t>Galvanize Climate Solutions</t>
        </is>
      </c>
      <c r="C45" s="2" t="inlineStr">
        <is>
          <t>https://galvanizeclimate.com</t>
        </is>
      </c>
      <c r="D45" t="inlineStr">
        <is>
          <t>climate investment</t>
        </is>
      </c>
      <c r="E45" t="inlineStr">
        <is>
          <t>B-B-018</t>
        </is>
      </c>
      <c r="F45" t="inlineStr">
        <is>
          <t>111 Fifth Avenue</t>
        </is>
      </c>
      <c r="G45" t="inlineStr">
        <is>
          <t>3</t>
        </is>
      </c>
      <c r="H45" t="inlineStr">
        <is>
          <t>10003</t>
        </is>
      </c>
      <c r="I45" t="n">
        <v>40.738502</v>
      </c>
      <c r="J45" t="n">
        <v>-73.991191</v>
      </c>
      <c r="K45" t="inlineStr">
        <is>
          <t>Y</t>
        </is>
      </c>
      <c r="L45" t="inlineStr">
        <is>
          <t>40-75</t>
        </is>
      </c>
      <c r="M45" t="inlineStr">
        <is>
          <t>whole-company</t>
        </is>
      </c>
      <c r="N45" s="2" t="inlineStr">
        <is>
          <t>https://www.builtinnyc.com/company/galvanize-climate-solutions</t>
        </is>
      </c>
      <c r="O45" s="2" t="inlineStr">
        <is>
          <t>https://commercialobserver.com/2026/04/adyen-lease-111-115-fifth-avenue/</t>
        </is>
      </c>
      <c r="P45" t="inlineStr">
        <is>
          <t>2026-04-07</t>
        </is>
      </c>
      <c r="Q45" t="inlineStr"/>
      <c r="R45" t="inlineStr">
        <is>
          <t>medium</t>
        </is>
      </c>
      <c r="S45" t="inlineStr">
        <is>
          <t>N</t>
        </is>
      </c>
      <c r="T45" t="inlineStr"/>
      <c r="U45" t="inlineStr"/>
      <c r="V45" s="3" t="inlineStr">
        <is>
          <t>CO 2026-04-07: 20,000 sf on the 3rd floor of 111 Fifth Ave, 10-year lease; move-in timing not stated. Built In NYC: 73 total employees, HQ San Francisco.</t>
        </is>
      </c>
      <c r="W45" t="inlineStr">
        <is>
          <t>2026-10-23</t>
        </is>
      </c>
      <c r="X45" t="inlineStr">
        <is>
          <t>unknown</t>
        </is>
      </c>
      <c r="Y45" t="inlineStr">
        <is>
          <t>candidate</t>
        </is>
      </c>
      <c r="Z45" t="inlineStr">
        <is>
          <t>signed-not-occupied</t>
        </is>
      </c>
      <c r="AA45" t="inlineStr">
        <is>
          <t>unknown</t>
        </is>
      </c>
      <c r="AB45" t="inlineStr">
        <is>
          <t>2026-10-23</t>
        </is>
      </c>
      <c r="AC45" s="3" t="inlineStr"/>
      <c r="AD45" t="inlineStr">
        <is>
          <t>leasing-press</t>
        </is>
      </c>
      <c r="AE45" t="inlineStr"/>
      <c r="AF45" t="inlineStr">
        <is>
          <t>no-coworking-in-building</t>
        </is>
      </c>
      <c r="AG45" t="inlineStr">
        <is>
          <t>1008470001</t>
        </is>
      </c>
      <c r="AH45" t="n">
        <v>0</v>
      </c>
      <c r="AI45" t="inlineStr">
        <is>
          <t>20,000 sf</t>
        </is>
      </c>
      <c r="AJ45" t="inlineStr">
        <is>
          <t>S1</t>
        </is>
      </c>
    </row>
    <row r="46">
      <c r="A46" t="inlineStr">
        <is>
          <t>B-C-045</t>
        </is>
      </c>
      <c r="B46" t="inlineStr">
        <is>
          <t>LoveShackFancy</t>
        </is>
      </c>
      <c r="C46" s="2" t="inlineStr">
        <is>
          <t>https://www.loveshackfancy.com</t>
        </is>
      </c>
      <c r="D46" t="inlineStr">
        <is>
          <t>fashion brand</t>
        </is>
      </c>
      <c r="E46" t="inlineStr">
        <is>
          <t>B-B-018</t>
        </is>
      </c>
      <c r="F46" t="inlineStr">
        <is>
          <t>111 Fifth Avenue</t>
        </is>
      </c>
      <c r="G46" t="inlineStr">
        <is>
          <t>8</t>
        </is>
      </c>
      <c r="H46" t="inlineStr">
        <is>
          <t>10003</t>
        </is>
      </c>
      <c r="I46" t="n">
        <v>40.738502</v>
      </c>
      <c r="J46" t="n">
        <v>-73.991191</v>
      </c>
      <c r="K46" t="inlineStr">
        <is>
          <t>Y</t>
        </is>
      </c>
      <c r="L46" t="inlineStr">
        <is>
          <t>unknown</t>
        </is>
      </c>
      <c r="M46" t="inlineStr">
        <is>
          <t>unknown</t>
        </is>
      </c>
      <c r="N46" t="inlineStr"/>
      <c r="O46" s="2" t="inlineStr">
        <is>
          <t>https://commercialobserver.com/2025/04/radar-labs-lease-111-fifth-avenue/</t>
        </is>
      </c>
      <c r="P46" t="inlineStr">
        <is>
          <t>2025-04-17</t>
        </is>
      </c>
      <c r="Q46" t="inlineStr"/>
      <c r="R46" t="inlineStr">
        <is>
          <t>medium</t>
        </is>
      </c>
      <c r="S46" t="inlineStr">
        <is>
          <t>N</t>
        </is>
      </c>
      <c r="T46" t="inlineStr"/>
      <c r="U46" t="inlineStr"/>
      <c r="V46" s="3" t="inlineStr">
        <is>
          <t>CO (Apr 2025) lists it as a tenant on the 8th floor (20,000 sf lease signed March 2022). Contact page shows no office address.</t>
        </is>
      </c>
      <c r="W46" t="inlineStr">
        <is>
          <t>2026-10-23</t>
        </is>
      </c>
      <c r="X46" t="inlineStr">
        <is>
          <t>unknown</t>
        </is>
      </c>
      <c r="Y46" t="inlineStr">
        <is>
          <t>candidate</t>
        </is>
      </c>
      <c r="Z46" t="inlineStr">
        <is>
          <t>occupied</t>
        </is>
      </c>
      <c r="AA46" t="inlineStr"/>
      <c r="AB46" t="inlineStr"/>
      <c r="AC46" s="3" t="inlineStr">
        <is>
          <t>No opened source gives a count: no Built In profile with a total, the company site publishes none, and LinkedIn was off-limits. Founder to confirm at intake.</t>
        </is>
      </c>
      <c r="AD46" t="inlineStr">
        <is>
          <t>leasing-press</t>
        </is>
      </c>
      <c r="AE46" t="inlineStr"/>
      <c r="AF46" t="inlineStr">
        <is>
          <t>no-coworking-in-building</t>
        </is>
      </c>
      <c r="AG46" t="inlineStr">
        <is>
          <t>1008470001</t>
        </is>
      </c>
      <c r="AH46" t="n">
        <v>0</v>
      </c>
      <c r="AI46" t="inlineStr">
        <is>
          <t>20,000 sf</t>
        </is>
      </c>
      <c r="AJ46" t="inlineStr">
        <is>
          <t>S2</t>
        </is>
      </c>
    </row>
    <row r="47">
      <c r="A47" t="inlineStr">
        <is>
          <t>B-C-046</t>
        </is>
      </c>
      <c r="B47" t="inlineStr">
        <is>
          <t>Radar</t>
        </is>
      </c>
      <c r="C47" s="2" t="inlineStr">
        <is>
          <t>https://radar.com</t>
        </is>
      </c>
      <c r="D47" t="inlineStr">
        <is>
          <t>location data software</t>
        </is>
      </c>
      <c r="E47" t="inlineStr">
        <is>
          <t>B-B-018</t>
        </is>
      </c>
      <c r="F47" t="inlineStr">
        <is>
          <t>111 Fifth Avenue</t>
        </is>
      </c>
      <c r="G47" t="inlineStr"/>
      <c r="H47" t="inlineStr">
        <is>
          <t>10003</t>
        </is>
      </c>
      <c r="I47" t="n">
        <v>40.738502</v>
      </c>
      <c r="J47" t="n">
        <v>-73.991191</v>
      </c>
      <c r="K47" t="inlineStr">
        <is>
          <t>Y</t>
        </is>
      </c>
      <c r="L47" t="inlineStr">
        <is>
          <t>40-75</t>
        </is>
      </c>
      <c r="M47" t="inlineStr">
        <is>
          <t>whole-company</t>
        </is>
      </c>
      <c r="N47" s="2" t="inlineStr">
        <is>
          <t>https://www.builtinnyc.com/company/radar</t>
        </is>
      </c>
      <c r="O47" s="2" t="inlineStr">
        <is>
          <t>https://commercialobserver.com/2026/04/adyen-lease-111-115-fifth-avenue/</t>
        </is>
      </c>
      <c r="P47" t="inlineStr">
        <is>
          <t>2026-04-07</t>
        </is>
      </c>
      <c r="Q47" t="inlineStr"/>
      <c r="R47" t="inlineStr">
        <is>
          <t>medium</t>
        </is>
      </c>
      <c r="S47" t="inlineStr">
        <is>
          <t>N</t>
        </is>
      </c>
      <c r="T47" t="inlineStr"/>
      <c r="U47" t="inlineStr"/>
      <c r="V47" s="3" t="inlineStr">
        <is>
          <t>111 Fifth Ave is between E 18th and E 19th, so margin. CO 2026-04-07 names 'geolocation platform Radar Labs' as a corporate tenant of 111 Fifth. Built In NYC 'Radar' (HQ New York, founded 2016): 64 total employees.</t>
        </is>
      </c>
      <c r="W47" t="inlineStr">
        <is>
          <t>2026-10-23</t>
        </is>
      </c>
      <c r="X47" t="inlineStr">
        <is>
          <t>unknown</t>
        </is>
      </c>
      <c r="Y47" t="inlineStr">
        <is>
          <t>candidate</t>
        </is>
      </c>
      <c r="Z47" t="inlineStr">
        <is>
          <t>occupancy-unconfirmed</t>
        </is>
      </c>
      <c r="AA47" t="inlineStr"/>
      <c r="AB47" t="inlineStr">
        <is>
          <t>2026-10-23</t>
        </is>
      </c>
      <c r="AC47" s="3" t="inlineStr"/>
      <c r="AD47" t="inlineStr">
        <is>
          <t>leasing-press</t>
        </is>
      </c>
      <c r="AE47" t="inlineStr"/>
      <c r="AF47" t="inlineStr">
        <is>
          <t>no-coworking-in-building</t>
        </is>
      </c>
      <c r="AG47" t="inlineStr">
        <is>
          <t>1008470001</t>
        </is>
      </c>
      <c r="AH47" t="n">
        <v>0</v>
      </c>
      <c r="AI47" t="inlineStr"/>
      <c r="AJ47" t="inlineStr">
        <is>
          <t>S1</t>
        </is>
      </c>
    </row>
    <row r="48">
      <c r="A48" t="inlineStr">
        <is>
          <t>B-C-047</t>
        </is>
      </c>
      <c r="B48" t="inlineStr">
        <is>
          <t>The Vita Coco Company</t>
        </is>
      </c>
      <c r="C48" s="2" t="inlineStr">
        <is>
          <t>https://thevitacococompany.com</t>
        </is>
      </c>
      <c r="D48" t="inlineStr">
        <is>
          <t>beverage brand (coconut water)</t>
        </is>
      </c>
      <c r="E48" t="inlineStr">
        <is>
          <t>B-B-018</t>
        </is>
      </c>
      <c r="F48" t="inlineStr">
        <is>
          <t>111 Fifth Avenue</t>
        </is>
      </c>
      <c r="G48" t="inlineStr">
        <is>
          <t>2</t>
        </is>
      </c>
      <c r="H48" t="inlineStr">
        <is>
          <t>10003</t>
        </is>
      </c>
      <c r="I48" t="n">
        <v>40.738502</v>
      </c>
      <c r="J48" t="n">
        <v>-73.991191</v>
      </c>
      <c r="K48" t="inlineStr">
        <is>
          <t>Y</t>
        </is>
      </c>
      <c r="L48" t="inlineStr">
        <is>
          <t>251-500</t>
        </is>
      </c>
      <c r="M48" t="inlineStr">
        <is>
          <t>whole-company</t>
        </is>
      </c>
      <c r="N48" s="2" t="inlineStr">
        <is>
          <t>https://www.sec.gov/Archives/edgar/data/1482981/000148298126000022/coco-20251231.htm</t>
        </is>
      </c>
      <c r="O48" s="2" t="inlineStr">
        <is>
          <t>https://www.sec.gov/Archives/edgar/data/1482981/000148298126000022/coco-20251231.htm</t>
        </is>
      </c>
      <c r="P48" t="inlineStr">
        <is>
          <t>2026-02-18</t>
        </is>
      </c>
      <c r="Q48" s="2" t="inlineStr">
        <is>
          <t>https://commercialobserver.com/2024/09/vita-coco-111-fifth-avenue/</t>
        </is>
      </c>
      <c r="R48" t="inlineStr">
        <is>
          <t>high</t>
        </is>
      </c>
      <c r="S48" t="inlineStr">
        <is>
          <t>N</t>
        </is>
      </c>
      <c r="T48" t="inlineStr"/>
      <c r="U48" t="inlineStr"/>
      <c r="V48" s="3" t="inlineStr">
        <is>
          <t>FY2025 10-K cover lists principal executive offices at 111 Fifth Avenue, Second Floor; it reports 336 full-time employees at 2025-12-31, 235 of them in the U.S. CO Sept 2024 reported the 22,530 sf, 10-year HQ lease (moved from 250 Park Ave S). Built In shows 613, which conflicts with the 10-K; the 10-K is used. Beverage brand: possible brand-side contact as well as an office.</t>
        </is>
      </c>
      <c r="W48" t="inlineStr">
        <is>
          <t>2026-10-23</t>
        </is>
      </c>
      <c r="X48" t="inlineStr">
        <is>
          <t>unknown</t>
        </is>
      </c>
      <c r="Y48" t="inlineStr">
        <is>
          <t>candidate</t>
        </is>
      </c>
      <c r="Z48" t="inlineStr">
        <is>
          <t>occupied</t>
        </is>
      </c>
      <c r="AA48" t="inlineStr"/>
      <c r="AB48" t="inlineStr">
        <is>
          <t>2026-02-18</t>
        </is>
      </c>
      <c r="AC48" s="3" t="inlineStr"/>
      <c r="AD48" t="inlineStr">
        <is>
          <t>other</t>
        </is>
      </c>
      <c r="AE48" t="inlineStr">
        <is>
          <t>2024-09-10</t>
        </is>
      </c>
      <c r="AF48" t="inlineStr">
        <is>
          <t>no-coworking-in-building</t>
        </is>
      </c>
      <c r="AG48" t="inlineStr">
        <is>
          <t>1008470001</t>
        </is>
      </c>
      <c r="AH48" t="n">
        <v>0</v>
      </c>
      <c r="AI48" t="inlineStr">
        <is>
          <t>22,530 sf</t>
        </is>
      </c>
      <c r="AJ48" t="inlineStr">
        <is>
          <t>S2</t>
        </is>
      </c>
    </row>
    <row r="49">
      <c r="A49" t="inlineStr">
        <is>
          <t>B-C-048</t>
        </is>
      </c>
      <c r="B49" t="inlineStr">
        <is>
          <t>Aterian</t>
        </is>
      </c>
      <c r="C49" s="2" t="inlineStr">
        <is>
          <t>https://aterian.io</t>
        </is>
      </c>
      <c r="D49" t="inlineStr">
        <is>
          <t>consumer products (e-commerce brands)</t>
        </is>
      </c>
      <c r="E49" t="inlineStr">
        <is>
          <t>B-B-019</t>
        </is>
      </c>
      <c r="F49" t="inlineStr">
        <is>
          <t>37 East 18th Street</t>
        </is>
      </c>
      <c r="G49" t="inlineStr"/>
      <c r="H49" t="inlineStr">
        <is>
          <t>10003</t>
        </is>
      </c>
      <c r="I49" t="n">
        <v>40.737722</v>
      </c>
      <c r="J49" t="n">
        <v>-73.989367</v>
      </c>
      <c r="K49" t="inlineStr">
        <is>
          <t>Y</t>
        </is>
      </c>
      <c r="L49" t="inlineStr">
        <is>
          <t>76-150</t>
        </is>
      </c>
      <c r="M49" t="inlineStr">
        <is>
          <t>whole-company</t>
        </is>
      </c>
      <c r="N49" s="2" t="inlineStr">
        <is>
          <t>https://www.builtinnyc.com/company/aterian</t>
        </is>
      </c>
      <c r="O49" s="2" t="inlineStr">
        <is>
          <t>https://www.builtinnyc.com/company/aterian/offices</t>
        </is>
      </c>
      <c r="P49" t="inlineStr">
        <is>
          <t>2026-10-23</t>
        </is>
      </c>
      <c r="Q49" s="2" t="inlineStr">
        <is>
          <t>https://commercialobserver.com/2026/06/phia-lease-zar-property-37-east-18th-street/</t>
        </is>
      </c>
      <c r="R49" t="inlineStr">
        <is>
          <t>high</t>
        </is>
      </c>
      <c r="S49" t="inlineStr">
        <is>
          <t>N</t>
        </is>
      </c>
      <c r="T49" t="inlineStr"/>
      <c r="U49" t="inlineStr"/>
      <c r="V49" s="3" t="inlineStr">
        <is>
          <t>Built In HQ address 37 E 18th Street; CO June 2026 lists e-commerce services company Mohawk Group (Aterian's former name) as a current tenant. Built In shows 122 total employees.</t>
        </is>
      </c>
      <c r="W49" t="inlineStr">
        <is>
          <t>2026-10-23</t>
        </is>
      </c>
      <c r="X49" t="inlineStr">
        <is>
          <t>unknown</t>
        </is>
      </c>
      <c r="Y49" t="inlineStr">
        <is>
          <t>candidate</t>
        </is>
      </c>
      <c r="Z49" t="inlineStr">
        <is>
          <t>occupied</t>
        </is>
      </c>
      <c r="AA49" t="inlineStr"/>
      <c r="AB49" t="inlineStr">
        <is>
          <t>2026-10-23</t>
        </is>
      </c>
      <c r="AC49" s="3" t="inlineStr"/>
      <c r="AD49" t="inlineStr">
        <is>
          <t>builtin</t>
        </is>
      </c>
      <c r="AE49" t="inlineStr">
        <is>
          <t>2026-06-03</t>
        </is>
      </c>
      <c r="AF49" t="inlineStr">
        <is>
          <t>no-coworking-in-building</t>
        </is>
      </c>
      <c r="AG49" t="inlineStr">
        <is>
          <t>1008470029</t>
        </is>
      </c>
      <c r="AH49" t="n">
        <v>0</v>
      </c>
      <c r="AI49" t="inlineStr"/>
      <c r="AJ49" t="inlineStr">
        <is>
          <t>S2</t>
        </is>
      </c>
    </row>
    <row r="50">
      <c r="A50" t="inlineStr">
        <is>
          <t>B-C-049</t>
        </is>
      </c>
      <c r="B50" t="inlineStr">
        <is>
          <t>Phia</t>
        </is>
      </c>
      <c r="C50" s="2" t="inlineStr">
        <is>
          <t>https://phia.com</t>
        </is>
      </c>
      <c r="D50" t="inlineStr">
        <is>
          <t>AI shopping assistant (consumer tech)</t>
        </is>
      </c>
      <c r="E50" t="inlineStr">
        <is>
          <t>B-B-019</t>
        </is>
      </c>
      <c r="F50" t="inlineStr">
        <is>
          <t>37 East 18th Street</t>
        </is>
      </c>
      <c r="G50" t="inlineStr">
        <is>
          <t>penthouse</t>
        </is>
      </c>
      <c r="H50" t="inlineStr">
        <is>
          <t>10003</t>
        </is>
      </c>
      <c r="I50" t="n">
        <v>40.737722</v>
      </c>
      <c r="J50" t="n">
        <v>-73.989367</v>
      </c>
      <c r="K50" t="inlineStr">
        <is>
          <t>Y</t>
        </is>
      </c>
      <c r="L50" t="inlineStr">
        <is>
          <t>unknown</t>
        </is>
      </c>
      <c r="M50" t="inlineStr">
        <is>
          <t>unknown</t>
        </is>
      </c>
      <c r="N50" t="inlineStr"/>
      <c r="O50" s="2" t="inlineStr">
        <is>
          <t>https://commercialobserver.com/2026/06/phia-lease-zar-property-37-east-18th-street/</t>
        </is>
      </c>
      <c r="P50" t="inlineStr">
        <is>
          <t>2026-06-03</t>
        </is>
      </c>
      <c r="Q50" t="inlineStr"/>
      <c r="R50" t="inlineStr">
        <is>
          <t>medium</t>
        </is>
      </c>
      <c r="S50" t="inlineStr">
        <is>
          <t>N</t>
        </is>
      </c>
      <c r="T50" t="inlineStr"/>
      <c r="U50" t="inlineStr"/>
      <c r="V50" s="3" t="inlineStr">
        <is>
          <t>CO 2026-06-03: 8,900 sf penthouse level at Zar Property NY's 37 East 18th St, a block north of Union Square. A Built In NYC 'Phia' profile (HQ Fairfax, 77 employees, founded 2025) could not be confirmed as the same company, so band left unknown. Website domain not verified. 37 E 18th St is on the north side of 18th (tax block 847, the 18th-19th block), so margin.</t>
        </is>
      </c>
      <c r="W50" t="inlineStr">
        <is>
          <t>2026-10-23</t>
        </is>
      </c>
      <c r="X50" t="inlineStr">
        <is>
          <t>unknown</t>
        </is>
      </c>
      <c r="Y50" t="inlineStr">
        <is>
          <t>candidate</t>
        </is>
      </c>
      <c r="Z50" t="inlineStr">
        <is>
          <t>occupancy-unconfirmed</t>
        </is>
      </c>
      <c r="AA50" t="inlineStr"/>
      <c r="AB50" t="inlineStr"/>
      <c r="AC50" s="3" t="inlineStr">
        <is>
          <t>A Built In 'Phia' profile (77 employees, Fairfax VA) could not be tied to this company.</t>
        </is>
      </c>
      <c r="AD50" t="inlineStr">
        <is>
          <t>leasing-press</t>
        </is>
      </c>
      <c r="AE50" t="inlineStr"/>
      <c r="AF50" t="inlineStr">
        <is>
          <t>no-coworking-in-building</t>
        </is>
      </c>
      <c r="AG50" t="inlineStr">
        <is>
          <t>1008470029</t>
        </is>
      </c>
      <c r="AH50" t="n">
        <v>0</v>
      </c>
      <c r="AI50" t="inlineStr">
        <is>
          <t>8,900 sf</t>
        </is>
      </c>
      <c r="AJ50" t="inlineStr">
        <is>
          <t>S1</t>
        </is>
      </c>
    </row>
    <row r="51">
      <c r="A51" t="inlineStr">
        <is>
          <t>B-C-050</t>
        </is>
      </c>
      <c r="B51" t="inlineStr">
        <is>
          <t>Global Trading Systems (GTS)</t>
        </is>
      </c>
      <c r="C51" s="2" t="inlineStr">
        <is>
          <t>https://gtsx.com</t>
        </is>
      </c>
      <c r="D51" t="inlineStr">
        <is>
          <t>electronic trading / market making</t>
        </is>
      </c>
      <c r="E51" t="inlineStr">
        <is>
          <t>B-B-020</t>
        </is>
      </c>
      <c r="F51" t="inlineStr">
        <is>
          <t>625 Avenue of the Americas</t>
        </is>
      </c>
      <c r="G51" t="inlineStr">
        <is>
          <t>3</t>
        </is>
      </c>
      <c r="H51" t="inlineStr">
        <is>
          <t>10011</t>
        </is>
      </c>
      <c r="I51" t="n">
        <v>40.740326</v>
      </c>
      <c r="J51" t="n">
        <v>-73.99520099999999</v>
      </c>
      <c r="K51" t="inlineStr">
        <is>
          <t>Y</t>
        </is>
      </c>
      <c r="L51" t="inlineStr">
        <is>
          <t>251-500</t>
        </is>
      </c>
      <c r="M51" t="inlineStr">
        <is>
          <t>whole-company</t>
        </is>
      </c>
      <c r="N51" s="2" t="inlineStr">
        <is>
          <t>https://www.builtinnyc.com/company/gts</t>
        </is>
      </c>
      <c r="O51" s="2" t="inlineStr">
        <is>
          <t>https://commercialobserver.com/2024/11/trading-firm-gts-lease-625-avenue-of-the-americas/</t>
        </is>
      </c>
      <c r="P51" t="inlineStr">
        <is>
          <t>2024-11-21</t>
        </is>
      </c>
      <c r="Q51" s="2" t="inlineStr">
        <is>
          <t>https://gtsx.com/locations/</t>
        </is>
      </c>
      <c r="R51" t="inlineStr">
        <is>
          <t>high</t>
        </is>
      </c>
      <c r="S51" t="inlineStr">
        <is>
          <t>N</t>
        </is>
      </c>
      <c r="T51" t="inlineStr"/>
      <c r="U51" t="inlineStr"/>
      <c r="V51" s="3" t="inlineStr">
        <is>
          <t>15-year, 35,156 sf lease of the 3rd floor (CO Nov 2024), relocating from 545 Madison Ave; keeps 40 Wall St. Company locations page (opened 2026-10-24) lists New York at 625 Sixth Avenue, NY 10011. Built In shows 420 total employees and still lists 545 Madison Ave.</t>
        </is>
      </c>
      <c r="W51" t="inlineStr">
        <is>
          <t>2026-10-23</t>
        </is>
      </c>
      <c r="X51" t="inlineStr">
        <is>
          <t>unknown</t>
        </is>
      </c>
      <c r="Y51" t="inlineStr">
        <is>
          <t>candidate</t>
        </is>
      </c>
      <c r="Z51" t="inlineStr">
        <is>
          <t>occupied</t>
        </is>
      </c>
      <c r="AA51" t="inlineStr"/>
      <c r="AB51" t="inlineStr">
        <is>
          <t>2026-10-23</t>
        </is>
      </c>
      <c r="AC51" s="3" t="inlineStr"/>
      <c r="AD51" t="inlineStr">
        <is>
          <t>leasing-press</t>
        </is>
      </c>
      <c r="AE51" t="inlineStr">
        <is>
          <t>2026-10-24</t>
        </is>
      </c>
      <c r="AF51" t="inlineStr">
        <is>
          <t>no-coworking-in-building</t>
        </is>
      </c>
      <c r="AG51" t="inlineStr">
        <is>
          <t>1007940030</t>
        </is>
      </c>
      <c r="AH51" t="n">
        <v>0</v>
      </c>
      <c r="AI51" t="inlineStr">
        <is>
          <t>35,156 sf</t>
        </is>
      </c>
      <c r="AJ51" t="inlineStr">
        <is>
          <t>S2</t>
        </is>
      </c>
    </row>
    <row r="52">
      <c r="A52" t="inlineStr">
        <is>
          <t>B-C-051</t>
        </is>
      </c>
      <c r="B52" t="inlineStr">
        <is>
          <t>Morning Brew</t>
        </is>
      </c>
      <c r="C52" s="2" t="inlineStr">
        <is>
          <t>https://www.morningbrew.com</t>
        </is>
      </c>
      <c r="D52" t="inlineStr">
        <is>
          <t>digital media (business newsletters)</t>
        </is>
      </c>
      <c r="E52" t="inlineStr">
        <is>
          <t>B-B-022</t>
        </is>
      </c>
      <c r="F52" t="inlineStr">
        <is>
          <t>22 West 19th Street</t>
        </is>
      </c>
      <c r="G52" t="inlineStr">
        <is>
          <t>3-4</t>
        </is>
      </c>
      <c r="H52" t="inlineStr">
        <is>
          <t>10011</t>
        </is>
      </c>
      <c r="I52" t="n">
        <v>40.739399</v>
      </c>
      <c r="J52" t="n">
        <v>-73.992895</v>
      </c>
      <c r="K52" t="inlineStr">
        <is>
          <t>Y</t>
        </is>
      </c>
      <c r="L52" t="inlineStr">
        <is>
          <t>251-500</t>
        </is>
      </c>
      <c r="M52" t="inlineStr">
        <is>
          <t>whole-company</t>
        </is>
      </c>
      <c r="N52" s="2" t="inlineStr">
        <is>
          <t>https://www.builtinnyc.com/company/morning-brew</t>
        </is>
      </c>
      <c r="O52" s="2" t="inlineStr">
        <is>
          <t>https://www.builtinnyc.com/company/morning-brew/offices</t>
        </is>
      </c>
      <c r="P52" t="inlineStr">
        <is>
          <t>2026-10-23</t>
        </is>
      </c>
      <c r="Q52" s="2" t="inlineStr">
        <is>
          <t>https://commercialobserver.com/2022/02/morning-brew-lease-flatiron-district-22-west-19th-street-kaufman-organization/</t>
        </is>
      </c>
      <c r="R52" t="inlineStr">
        <is>
          <t>high</t>
        </is>
      </c>
      <c r="S52" t="inlineStr">
        <is>
          <t>N</t>
        </is>
      </c>
      <c r="T52" t="inlineStr"/>
      <c r="U52" t="inlineStr"/>
      <c r="V52" s="3" t="inlineStr">
        <is>
          <t>Built In lists HQ at 22 W 19th Street; CO Feb 2022 reported an eight-year lease of floors 3 and 4 (37,650 sf) at the Cluett Building. Built In shows 345 total employees. Majority-owned by Insider Inc.</t>
        </is>
      </c>
      <c r="W52" t="inlineStr">
        <is>
          <t>2026-10-23</t>
        </is>
      </c>
      <c r="X52" t="inlineStr">
        <is>
          <t>unknown</t>
        </is>
      </c>
      <c r="Y52" t="inlineStr">
        <is>
          <t>candidate</t>
        </is>
      </c>
      <c r="Z52" t="inlineStr">
        <is>
          <t>occupied</t>
        </is>
      </c>
      <c r="AA52" t="inlineStr"/>
      <c r="AB52" t="inlineStr">
        <is>
          <t>2026-10-23</t>
        </is>
      </c>
      <c r="AC52" s="3" t="inlineStr"/>
      <c r="AD52" t="inlineStr">
        <is>
          <t>builtin</t>
        </is>
      </c>
      <c r="AE52" t="inlineStr">
        <is>
          <t>2022-02-24</t>
        </is>
      </c>
      <c r="AF52" t="inlineStr">
        <is>
          <t>no-coworking-in-building</t>
        </is>
      </c>
      <c r="AG52" t="inlineStr">
        <is>
          <t>1008200026</t>
        </is>
      </c>
      <c r="AH52" t="n">
        <v>0</v>
      </c>
      <c r="AI52" t="inlineStr">
        <is>
          <t>37,650 sf</t>
        </is>
      </c>
      <c r="AJ52" t="inlineStr">
        <is>
          <t>S2</t>
        </is>
      </c>
    </row>
    <row r="53">
      <c r="A53" t="inlineStr">
        <is>
          <t>B-C-052</t>
        </is>
      </c>
      <c r="B53" t="inlineStr">
        <is>
          <t>Bombas</t>
        </is>
      </c>
      <c r="C53" s="2" t="inlineStr">
        <is>
          <t>https://bombas.com</t>
        </is>
      </c>
      <c r="D53" t="inlineStr">
        <is>
          <t>apparel brand (socks and basics)</t>
        </is>
      </c>
      <c r="E53" t="inlineStr">
        <is>
          <t>B-B-023</t>
        </is>
      </c>
      <c r="F53" t="inlineStr">
        <is>
          <t>881 Broadway</t>
        </is>
      </c>
      <c r="G53" t="inlineStr">
        <is>
          <t>2</t>
        </is>
      </c>
      <c r="H53" t="inlineStr">
        <is>
          <t>10003</t>
        </is>
      </c>
      <c r="I53" t="n">
        <v>40.738555</v>
      </c>
      <c r="J53" t="n">
        <v>-73.990623</v>
      </c>
      <c r="K53" t="inlineStr">
        <is>
          <t>Y</t>
        </is>
      </c>
      <c r="L53" t="inlineStr">
        <is>
          <t>151-250</t>
        </is>
      </c>
      <c r="M53" t="inlineStr">
        <is>
          <t>whole-company</t>
        </is>
      </c>
      <c r="N53" s="2" t="inlineStr">
        <is>
          <t>https://www.builtinnyc.com/company/bombas</t>
        </is>
      </c>
      <c r="O53" s="2" t="inlineStr">
        <is>
          <t>https://www.builtinnyc.com/company/bombas/offices</t>
        </is>
      </c>
      <c r="P53" t="inlineStr">
        <is>
          <t>2026-10-23</t>
        </is>
      </c>
      <c r="Q53" s="2" t="inlineStr">
        <is>
          <t>https://commercialobserver.com/2019/04/bombas-lease-881-broadway-the-winter-organization/</t>
        </is>
      </c>
      <c r="R53" t="inlineStr">
        <is>
          <t>high</t>
        </is>
      </c>
      <c r="S53" t="inlineStr">
        <is>
          <t>N</t>
        </is>
      </c>
      <c r="T53" t="inlineStr"/>
      <c r="U53" t="inlineStr"/>
      <c r="V53" s="3" t="inlineStr">
        <is>
          <t>Built In (opened 2026-10-23) lists HQ at 881 Broadway, which shares tax lot 1008470062 with 115 Fifth Avenue. CO Apr 2019 reported a 10-year lease of the entire 2nd floor (33,300 sf), running to about 2029. Company site returned HTTP 429 to our fetches. Built In shows 223 total employees. Consumer brand.</t>
        </is>
      </c>
      <c r="W53" t="inlineStr">
        <is>
          <t>2026-10-23</t>
        </is>
      </c>
      <c r="X53" t="inlineStr">
        <is>
          <t>security desk</t>
        </is>
      </c>
      <c r="Y53" t="inlineStr">
        <is>
          <t>candidate</t>
        </is>
      </c>
      <c r="Z53" t="inlineStr">
        <is>
          <t>occupied</t>
        </is>
      </c>
      <c r="AA53" t="inlineStr"/>
      <c r="AB53" t="inlineStr">
        <is>
          <t>2026-10-23</t>
        </is>
      </c>
      <c r="AC53" s="3" t="inlineStr"/>
      <c r="AD53" t="inlineStr">
        <is>
          <t>builtin</t>
        </is>
      </c>
      <c r="AE53" t="inlineStr">
        <is>
          <t>2019-04-10</t>
        </is>
      </c>
      <c r="AF53" t="inlineStr">
        <is>
          <t>no-coworking-in-building</t>
        </is>
      </c>
      <c r="AG53" t="inlineStr">
        <is>
          <t>1008470062</t>
        </is>
      </c>
      <c r="AH53" t="n">
        <v>0</v>
      </c>
      <c r="AI53" t="inlineStr">
        <is>
          <t>33,300 sf</t>
        </is>
      </c>
      <c r="AJ53" t="inlineStr">
        <is>
          <t>S2</t>
        </is>
      </c>
    </row>
    <row r="54">
      <c r="A54" t="inlineStr">
        <is>
          <t>B-C-053</t>
        </is>
      </c>
      <c r="B54" t="inlineStr">
        <is>
          <t>Extend AI</t>
        </is>
      </c>
      <c r="C54" s="2" t="inlineStr">
        <is>
          <t>https://www.extend.ai</t>
        </is>
      </c>
      <c r="D54" t="inlineStr">
        <is>
          <t>software (AI document processing)</t>
        </is>
      </c>
      <c r="E54" t="inlineStr">
        <is>
          <t>B-B-024</t>
        </is>
      </c>
      <c r="F54" t="inlineStr">
        <is>
          <t>119 Fifth Avenue</t>
        </is>
      </c>
      <c r="G54" t="inlineStr">
        <is>
          <t>6</t>
        </is>
      </c>
      <c r="H54" t="inlineStr">
        <is>
          <t>10003</t>
        </is>
      </c>
      <c r="I54" t="n">
        <v>40.739071</v>
      </c>
      <c r="J54" t="n">
        <v>-73.990897</v>
      </c>
      <c r="K54" t="inlineStr">
        <is>
          <t>Y</t>
        </is>
      </c>
      <c r="L54" t="inlineStr">
        <is>
          <t>unknown</t>
        </is>
      </c>
      <c r="M54" t="inlineStr">
        <is>
          <t>unknown</t>
        </is>
      </c>
      <c r="N54" t="inlineStr"/>
      <c r="O54" s="2" t="inlineStr">
        <is>
          <t>https://commercialobserver.com/2026/08/extend-ai-lease-119-fifth-avenue/</t>
        </is>
      </c>
      <c r="P54" t="inlineStr">
        <is>
          <t>2026-08-07</t>
        </is>
      </c>
      <c r="Q54" s="2" t="inlineStr">
        <is>
          <t>https://www.extend.ai/</t>
        </is>
      </c>
      <c r="R54" t="inlineStr">
        <is>
          <t>high</t>
        </is>
      </c>
      <c r="S54" t="inlineStr">
        <is>
          <t>N</t>
        </is>
      </c>
      <c r="T54" t="inlineStr"/>
      <c r="U54" t="inlineStr"/>
      <c r="V54" s="3" t="inlineStr">
        <is>
          <t>Full 6th floor, 8,750 sf, relocating from 135 W 29th St. Company site structured data lists 119 5th Av FL 6. Not the same company as Built In's 'Extend' (extend.com, warranties).</t>
        </is>
      </c>
      <c r="W54" t="inlineStr">
        <is>
          <t>2026-10-23</t>
        </is>
      </c>
      <c r="X54" t="inlineStr">
        <is>
          <t>unknown</t>
        </is>
      </c>
      <c r="Y54" t="inlineStr">
        <is>
          <t>candidate</t>
        </is>
      </c>
      <c r="Z54" t="inlineStr">
        <is>
          <t>occupied</t>
        </is>
      </c>
      <c r="AA54" t="inlineStr"/>
      <c r="AB54" t="inlineStr"/>
      <c r="AC54" s="3" t="inlineStr">
        <is>
          <t>No opened source gives a count: no Built In profile with a total, the company site publishes none, and LinkedIn was off-limits. Founder to confirm at intake.</t>
        </is>
      </c>
      <c r="AD54" t="inlineStr">
        <is>
          <t>leasing-press</t>
        </is>
      </c>
      <c r="AE54" t="inlineStr">
        <is>
          <t>2026-10-23</t>
        </is>
      </c>
      <c r="AF54" t="inlineStr">
        <is>
          <t>no-coworking-in-building</t>
        </is>
      </c>
      <c r="AG54" t="inlineStr">
        <is>
          <t>1008480001</t>
        </is>
      </c>
      <c r="AH54" t="n">
        <v>0</v>
      </c>
      <c r="AI54" t="inlineStr">
        <is>
          <t>8,750 sf</t>
        </is>
      </c>
      <c r="AJ54" t="inlineStr">
        <is>
          <t>S2</t>
        </is>
      </c>
    </row>
    <row r="55">
      <c r="A55" t="inlineStr">
        <is>
          <t>B-C-054</t>
        </is>
      </c>
      <c r="B55" t="inlineStr">
        <is>
          <t>Left/Right</t>
        </is>
      </c>
      <c r="C55" t="inlineStr"/>
      <c r="D55" t="inlineStr">
        <is>
          <t>TV and documentary production</t>
        </is>
      </c>
      <c r="E55" t="inlineStr">
        <is>
          <t>B-B-025</t>
        </is>
      </c>
      <c r="F55" t="inlineStr">
        <is>
          <t>39 West 19th Street</t>
        </is>
      </c>
      <c r="G55" t="inlineStr">
        <is>
          <t>7, 9-10</t>
        </is>
      </c>
      <c r="H55" t="inlineStr">
        <is>
          <t>10011</t>
        </is>
      </c>
      <c r="I55" t="n">
        <v>40.740157</v>
      </c>
      <c r="J55" t="n">
        <v>-73.993377</v>
      </c>
      <c r="K55" t="inlineStr">
        <is>
          <t>Y</t>
        </is>
      </c>
      <c r="L55" t="inlineStr">
        <is>
          <t>unknown</t>
        </is>
      </c>
      <c r="M55" t="inlineStr">
        <is>
          <t>unknown</t>
        </is>
      </c>
      <c r="N55" t="inlineStr"/>
      <c r="O55" s="2" t="inlineStr">
        <is>
          <t>https://commercialobserver.com/2019/10/left-right-lease-39-west-19th-street-rosen-family/</t>
        </is>
      </c>
      <c r="P55" t="inlineStr">
        <is>
          <t>2019-10-28</t>
        </is>
      </c>
      <c r="Q55" t="inlineStr"/>
      <c r="R55" t="inlineStr">
        <is>
          <t>low</t>
        </is>
      </c>
      <c r="S55" t="inlineStr">
        <is>
          <t>N</t>
        </is>
      </c>
      <c r="T55" t="inlineStr"/>
      <c r="U55" t="inlineStr"/>
      <c r="V55" s="3" t="inlineStr">
        <is>
          <t>10-year renewal (2019) of 34,000 sf on floors 7, 9 and 10 with production and editing space. Not re-confirmed.</t>
        </is>
      </c>
      <c r="W55" t="inlineStr">
        <is>
          <t>2026-10-23</t>
        </is>
      </c>
      <c r="X55" t="inlineStr">
        <is>
          <t>unknown</t>
        </is>
      </c>
      <c r="Y55" t="inlineStr">
        <is>
          <t>candidate</t>
        </is>
      </c>
      <c r="Z55" t="inlineStr">
        <is>
          <t>occupancy-unconfirmed</t>
        </is>
      </c>
      <c r="AA55" t="inlineStr"/>
      <c r="AB55" t="inlineStr"/>
      <c r="AC55" s="3" t="inlineStr">
        <is>
          <t>No opened source gives a count: no Built In profile with a total, the company site publishes none, and LinkedIn was off-limits. Founder to confirm at intake.</t>
        </is>
      </c>
      <c r="AD55" t="inlineStr">
        <is>
          <t>leasing-press</t>
        </is>
      </c>
      <c r="AE55" t="inlineStr"/>
      <c r="AF55" t="inlineStr">
        <is>
          <t>no-coworking-in-building</t>
        </is>
      </c>
      <c r="AG55" t="inlineStr">
        <is>
          <t>1008210014</t>
        </is>
      </c>
      <c r="AH55" t="n">
        <v>0</v>
      </c>
      <c r="AI55" t="inlineStr">
        <is>
          <t>34,000 sf</t>
        </is>
      </c>
      <c r="AJ55" t="inlineStr">
        <is>
          <t>S2</t>
        </is>
      </c>
    </row>
    <row r="56">
      <c r="A56" t="inlineStr">
        <is>
          <t>B-C-055</t>
        </is>
      </c>
      <c r="B56" t="inlineStr">
        <is>
          <t>Stash</t>
        </is>
      </c>
      <c r="C56" s="2" t="inlineStr">
        <is>
          <t>https://www.stash.com</t>
        </is>
      </c>
      <c r="D56" t="inlineStr">
        <is>
          <t>fintech (consumer investing)</t>
        </is>
      </c>
      <c r="E56" t="inlineStr">
        <is>
          <t>B-B-026</t>
        </is>
      </c>
      <c r="F56" t="inlineStr">
        <is>
          <t>641 Avenue of the Americas</t>
        </is>
      </c>
      <c r="G56" t="inlineStr">
        <is>
          <t>6</t>
        </is>
      </c>
      <c r="H56" t="inlineStr">
        <is>
          <t>10011</t>
        </is>
      </c>
      <c r="I56" t="n">
        <v>40.741004</v>
      </c>
      <c r="J56" t="n">
        <v>-73.99475700000001</v>
      </c>
      <c r="K56" t="inlineStr">
        <is>
          <t>Y</t>
        </is>
      </c>
      <c r="L56" t="inlineStr">
        <is>
          <t>251-500</t>
        </is>
      </c>
      <c r="M56" t="inlineStr">
        <is>
          <t>whole-company</t>
        </is>
      </c>
      <c r="N56" s="2" t="inlineStr">
        <is>
          <t>https://www.builtinnyc.com/company/stash</t>
        </is>
      </c>
      <c r="O56" s="2" t="inlineStr">
        <is>
          <t>https://commercialobserver.com/2026/09/stash-financial-lease-641-avenue-of-the-americas/</t>
        </is>
      </c>
      <c r="P56" t="inlineStr">
        <is>
          <t>2026-09-02</t>
        </is>
      </c>
      <c r="Q56" t="inlineStr"/>
      <c r="R56" t="inlineStr">
        <is>
          <t>medium</t>
        </is>
      </c>
      <c r="S56" t="inlineStr">
        <is>
          <t>N</t>
        </is>
      </c>
      <c r="T56" t="inlineStr"/>
      <c r="U56" t="inlineStr"/>
      <c r="V56" s="3" t="inlineStr">
        <is>
          <t>12,322 sf on part of the 6th floor, signed mid-Aug 2026; moving from a WeWork at 450 Park Avenue South; move date unknown. Built In shows 380 total employees and lists an older 75 Varick St address.</t>
        </is>
      </c>
      <c r="W56" t="inlineStr">
        <is>
          <t>2026-10-23</t>
        </is>
      </c>
      <c r="X56" t="inlineStr">
        <is>
          <t>unknown</t>
        </is>
      </c>
      <c r="Y56" t="inlineStr">
        <is>
          <t>candidate</t>
        </is>
      </c>
      <c r="Z56" t="inlineStr">
        <is>
          <t>signed-not-occupied</t>
        </is>
      </c>
      <c r="AA56" t="inlineStr">
        <is>
          <t>unknown</t>
        </is>
      </c>
      <c r="AB56" t="inlineStr">
        <is>
          <t>2026-10-23</t>
        </is>
      </c>
      <c r="AC56" s="3" t="inlineStr"/>
      <c r="AD56" t="inlineStr">
        <is>
          <t>leasing-press</t>
        </is>
      </c>
      <c r="AE56" t="inlineStr"/>
      <c r="AF56" t="inlineStr">
        <is>
          <t>no-coworking-in-building</t>
        </is>
      </c>
      <c r="AG56" t="inlineStr">
        <is>
          <t>1007950044</t>
        </is>
      </c>
      <c r="AH56" t="n">
        <v>0</v>
      </c>
      <c r="AI56" t="inlineStr">
        <is>
          <t>12,322 sf</t>
        </is>
      </c>
      <c r="AJ56" t="inlineStr">
        <is>
          <t>S2</t>
        </is>
      </c>
    </row>
    <row r="57">
      <c r="A57" t="inlineStr">
        <is>
          <t>B-C-056</t>
        </is>
      </c>
      <c r="B57" t="inlineStr">
        <is>
          <t>Hex Technologies</t>
        </is>
      </c>
      <c r="C57" s="2" t="inlineStr">
        <is>
          <t>https://hex.tech</t>
        </is>
      </c>
      <c r="D57" t="inlineStr">
        <is>
          <t>software (data analytics / AI)</t>
        </is>
      </c>
      <c r="E57" t="inlineStr">
        <is>
          <t>B-B-028</t>
        </is>
      </c>
      <c r="F57" t="inlineStr">
        <is>
          <t>250 Park Avenue South</t>
        </is>
      </c>
      <c r="G57" t="inlineStr">
        <is>
          <t>7</t>
        </is>
      </c>
      <c r="H57" t="inlineStr">
        <is>
          <t>10003</t>
        </is>
      </c>
      <c r="I57" t="n">
        <v>40.73827</v>
      </c>
      <c r="J57" t="n">
        <v>-73.98819899999999</v>
      </c>
      <c r="K57" t="inlineStr">
        <is>
          <t>Y</t>
        </is>
      </c>
      <c r="L57" t="inlineStr">
        <is>
          <t>151-250</t>
        </is>
      </c>
      <c r="M57" t="inlineStr">
        <is>
          <t>whole-company</t>
        </is>
      </c>
      <c r="N57" s="2" t="inlineStr">
        <is>
          <t>https://www.builtinnyc.com/company/hex</t>
        </is>
      </c>
      <c r="O57" s="2" t="inlineStr">
        <is>
          <t>https://commercialobserver.com/2026/01/hex-technologies-lease-feil-250-park-avenue-south/</t>
        </is>
      </c>
      <c r="P57" t="inlineStr">
        <is>
          <t>2026-01-09</t>
        </is>
      </c>
      <c r="Q57" s="2" t="inlineStr">
        <is>
          <t>https://nyrej.com/print/57161</t>
        </is>
      </c>
      <c r="R57" t="inlineStr">
        <is>
          <t>medium</t>
        </is>
      </c>
      <c r="S57" t="inlineStr">
        <is>
          <t>N</t>
        </is>
      </c>
      <c r="T57" t="inlineStr"/>
      <c r="U57" t="inlineStr"/>
      <c r="V57" s="3" t="inlineStr">
        <is>
          <t>Five-year lease for the full 7th floor signed Jan 2026; NYREJ repeats the same landlord announcement, so treated as one source. Built In offices page (opened 2026-10-23) still lists the prior NYC office at 44 W 18th St (also in this slice). Move-in date not confirmed. Built In shows 160 total employees. | Assembly 2026-10-24: Conflict carried: lease at 250 PAS floor 7 (CO 2026-01-09); Built In still lists 44 W 18th St. Both addresses are inside the boundary. Check the 250 PAS lobby directory on the walk.</t>
        </is>
      </c>
      <c r="W57" t="inlineStr">
        <is>
          <t>2026-10-23</t>
        </is>
      </c>
      <c r="X57" t="inlineStr">
        <is>
          <t>unknown</t>
        </is>
      </c>
      <c r="Y57" t="inlineStr">
        <is>
          <t>candidate</t>
        </is>
      </c>
      <c r="Z57" t="inlineStr">
        <is>
          <t>signed-not-occupied</t>
        </is>
      </c>
      <c r="AA57" t="inlineStr">
        <is>
          <t>unknown</t>
        </is>
      </c>
      <c r="AB57" t="inlineStr">
        <is>
          <t>2026-10-23</t>
        </is>
      </c>
      <c r="AC57" s="3" t="inlineStr"/>
      <c r="AD57" t="inlineStr">
        <is>
          <t>leasing-press</t>
        </is>
      </c>
      <c r="AE57" t="inlineStr">
        <is>
          <t>2026-03-10</t>
        </is>
      </c>
      <c r="AF57" t="inlineStr">
        <is>
          <t>no-coworking-in-building</t>
        </is>
      </c>
      <c r="AG57" t="inlineStr">
        <is>
          <t>1008480043</t>
        </is>
      </c>
      <c r="AH57" t="n">
        <v>0</v>
      </c>
      <c r="AI57" t="inlineStr"/>
      <c r="AJ57" t="inlineStr">
        <is>
          <t>S2</t>
        </is>
      </c>
    </row>
    <row r="58">
      <c r="A58" t="inlineStr">
        <is>
          <t>B-C-057</t>
        </is>
      </c>
      <c r="B58" t="inlineStr">
        <is>
          <t>Pentagram</t>
        </is>
      </c>
      <c r="C58" s="2" t="inlineStr">
        <is>
          <t>https://www.pentagram.com</t>
        </is>
      </c>
      <c r="D58" t="inlineStr">
        <is>
          <t>design consultancy</t>
        </is>
      </c>
      <c r="E58" t="inlineStr">
        <is>
          <t>B-B-028</t>
        </is>
      </c>
      <c r="F58" t="inlineStr">
        <is>
          <t>250 Park Avenue South</t>
        </is>
      </c>
      <c r="G58" t="inlineStr"/>
      <c r="H58" t="inlineStr">
        <is>
          <t>10003</t>
        </is>
      </c>
      <c r="I58" t="n">
        <v>40.73827</v>
      </c>
      <c r="J58" t="n">
        <v>-73.98819899999999</v>
      </c>
      <c r="K58" t="inlineStr">
        <is>
          <t>Y</t>
        </is>
      </c>
      <c r="L58" t="inlineStr">
        <is>
          <t>unknown</t>
        </is>
      </c>
      <c r="M58" t="inlineStr">
        <is>
          <t>unknown</t>
        </is>
      </c>
      <c r="N58" t="inlineStr"/>
      <c r="O58" s="2" t="inlineStr">
        <is>
          <t>https://www.pentagram.com/contact</t>
        </is>
      </c>
      <c r="P58" t="inlineStr">
        <is>
          <t>2026-10-23</t>
        </is>
      </c>
      <c r="Q58" s="2" t="inlineStr">
        <is>
          <t>https://commercialobserver.com/2026/01/hex-technologies-lease-feil-250-park-avenue-south/</t>
        </is>
      </c>
      <c r="R58" t="inlineStr">
        <is>
          <t>high</t>
        </is>
      </c>
      <c r="S58" t="inlineStr">
        <is>
          <t>N</t>
        </is>
      </c>
      <c r="T58" t="inlineStr"/>
      <c r="U58" t="inlineStr"/>
      <c r="V58" s="3" t="inlineStr">
        <is>
          <t>Contact page lists Pentagram New York at 250 Park Avenue South; CO names Pentagram Design as a current tenant. Global firm with several offices; no sourced headcount found.</t>
        </is>
      </c>
      <c r="W58" t="inlineStr">
        <is>
          <t>2026-10-23</t>
        </is>
      </c>
      <c r="X58" t="inlineStr">
        <is>
          <t>unknown</t>
        </is>
      </c>
      <c r="Y58" t="inlineStr">
        <is>
          <t>candidate</t>
        </is>
      </c>
      <c r="Z58" t="inlineStr">
        <is>
          <t>occupied</t>
        </is>
      </c>
      <c r="AA58" t="inlineStr"/>
      <c r="AB58" t="inlineStr"/>
      <c r="AC58" s="3" t="inlineStr">
        <is>
          <t>No opened source gives a count: no Built In profile with a total, the company site publishes none, and LinkedIn was off-limits. Founder to confirm at intake.</t>
        </is>
      </c>
      <c r="AD58" t="inlineStr">
        <is>
          <t>company-site</t>
        </is>
      </c>
      <c r="AE58" t="inlineStr">
        <is>
          <t>2026-01-09</t>
        </is>
      </c>
      <c r="AF58" t="inlineStr">
        <is>
          <t>no-coworking-in-building</t>
        </is>
      </c>
      <c r="AG58" t="inlineStr">
        <is>
          <t>1008480043</t>
        </is>
      </c>
      <c r="AH58" t="n">
        <v>0</v>
      </c>
      <c r="AI58" t="inlineStr"/>
      <c r="AJ58" t="inlineStr">
        <is>
          <t>S2</t>
        </is>
      </c>
    </row>
    <row r="59">
      <c r="A59" t="inlineStr">
        <is>
          <t>B-C-058</t>
        </is>
      </c>
      <c r="B59" t="inlineStr">
        <is>
          <t>Wilson Daniels</t>
        </is>
      </c>
      <c r="C59" s="2" t="inlineStr">
        <is>
          <t>https://www.wilsondaniels.com</t>
        </is>
      </c>
      <c r="D59" t="inlineStr">
        <is>
          <t>wine import and marketing (consumer brand)</t>
        </is>
      </c>
      <c r="E59" t="inlineStr">
        <is>
          <t>B-B-028</t>
        </is>
      </c>
      <c r="F59" t="inlineStr">
        <is>
          <t>250 Park Avenue South</t>
        </is>
      </c>
      <c r="G59" t="inlineStr">
        <is>
          <t>8</t>
        </is>
      </c>
      <c r="H59" t="inlineStr">
        <is>
          <t>10003</t>
        </is>
      </c>
      <c r="I59" t="n">
        <v>40.73827</v>
      </c>
      <c r="J59" t="n">
        <v>-73.98819899999999</v>
      </c>
      <c r="K59" t="inlineStr">
        <is>
          <t>Y</t>
        </is>
      </c>
      <c r="L59" t="inlineStr">
        <is>
          <t>unknown</t>
        </is>
      </c>
      <c r="M59" t="inlineStr">
        <is>
          <t>unknown</t>
        </is>
      </c>
      <c r="N59" t="inlineStr"/>
      <c r="O59" s="2" t="inlineStr">
        <is>
          <t>https://commercialobserver.com/2025/06/wilson-daniels-lease-250-park-avenue-south/</t>
        </is>
      </c>
      <c r="P59" t="inlineStr">
        <is>
          <t>2025-06-05</t>
        </is>
      </c>
      <c r="Q59" s="2" t="inlineStr">
        <is>
          <t>https://commercialobserver.com/2026/01/hex-technologies-lease-feil-250-park-avenue-south/</t>
        </is>
      </c>
      <c r="R59" t="inlineStr">
        <is>
          <t>medium</t>
        </is>
      </c>
      <c r="S59" t="inlineStr">
        <is>
          <t>N</t>
        </is>
      </c>
      <c r="T59" t="inlineStr"/>
      <c r="U59" t="inlineStr"/>
      <c r="V59" s="3" t="inlineStr">
        <is>
          <t>10-year lease for the full 8th floor (12,000 sf). CO Jan 2026 names it as a current tenant (same publisher). Company contact page opened 2026-10-23 still lists 19 West 24th St, 7th Floor, so occupancy is unconfirmed. Alcohol company: note for brand-fit, not office-fit.</t>
        </is>
      </c>
      <c r="W59" t="inlineStr">
        <is>
          <t>2026-10-23</t>
        </is>
      </c>
      <c r="X59" t="inlineStr">
        <is>
          <t>unknown</t>
        </is>
      </c>
      <c r="Y59" t="inlineStr">
        <is>
          <t>candidate</t>
        </is>
      </c>
      <c r="Z59" t="inlineStr">
        <is>
          <t>signed-not-occupied</t>
        </is>
      </c>
      <c r="AA59" t="inlineStr">
        <is>
          <t>unknown</t>
        </is>
      </c>
      <c r="AB59" t="inlineStr"/>
      <c r="AC59" s="3" t="inlineStr">
        <is>
          <t>No opened source gives a count: no Built In profile with a total, the company site publishes none, and LinkedIn was off-limits. Founder to confirm at intake.</t>
        </is>
      </c>
      <c r="AD59" t="inlineStr">
        <is>
          <t>leasing-press</t>
        </is>
      </c>
      <c r="AE59" t="inlineStr">
        <is>
          <t>2026-01-09</t>
        </is>
      </c>
      <c r="AF59" t="inlineStr">
        <is>
          <t>no-coworking-in-building</t>
        </is>
      </c>
      <c r="AG59" t="inlineStr">
        <is>
          <t>1008480043</t>
        </is>
      </c>
      <c r="AH59" t="n">
        <v>0</v>
      </c>
      <c r="AI59" t="inlineStr">
        <is>
          <t>12,000 sf</t>
        </is>
      </c>
      <c r="AJ59" t="inlineStr">
        <is>
          <t>S2</t>
        </is>
      </c>
    </row>
    <row r="60">
      <c r="A60" t="inlineStr">
        <is>
          <t>B-C-059</t>
        </is>
      </c>
      <c r="B60" t="inlineStr">
        <is>
          <t>Christie's International Real Estate Group</t>
        </is>
      </c>
      <c r="C60" t="inlineStr"/>
      <c r="D60" t="inlineStr">
        <is>
          <t>residential real estate brokerage</t>
        </is>
      </c>
      <c r="E60" t="inlineStr">
        <is>
          <t>B-B-029</t>
        </is>
      </c>
      <c r="F60" t="inlineStr">
        <is>
          <t>156 Fifth Avenue</t>
        </is>
      </c>
      <c r="G60" t="inlineStr">
        <is>
          <t>9</t>
        </is>
      </c>
      <c r="H60" t="inlineStr">
        <is>
          <t>10010</t>
        </is>
      </c>
      <c r="I60" t="n">
        <v>40.740038</v>
      </c>
      <c r="J60" t="n">
        <v>-73.991401</v>
      </c>
      <c r="K60" t="inlineStr">
        <is>
          <t>Y</t>
        </is>
      </c>
      <c r="L60" t="inlineStr">
        <is>
          <t>40-75</t>
        </is>
      </c>
      <c r="M60" t="inlineStr">
        <is>
          <t>nyc-office</t>
        </is>
      </c>
      <c r="N60" s="2" t="inlineStr">
        <is>
          <t>https://commercialobserver.com/2024/08/christies-international-real-estate-group-lease-156-fifth-avenue/</t>
        </is>
      </c>
      <c r="O60" s="2" t="inlineStr">
        <is>
          <t>https://commercialobserver.com/2024/08/christies-international-real-estate-group-lease-156-fifth-avenue/</t>
        </is>
      </c>
      <c r="P60" t="inlineStr">
        <is>
          <t>2024-08-21</t>
        </is>
      </c>
      <c r="Q60" t="inlineStr"/>
      <c r="R60" t="inlineStr">
        <is>
          <t>low</t>
        </is>
      </c>
      <c r="S60" t="inlineStr">
        <is>
          <t>N</t>
        </is>
      </c>
      <c r="T60" t="inlineStr"/>
      <c r="U60" t="inlineStr"/>
      <c r="V60" s="3" t="inlineStr">
        <is>
          <t>Five-year, 8,000 sf lease on the 9th floor 'to open a 75-person office' (company spokesperson via CO). Source predates 2024-10-23 and the company site did not load, so low. Agents may not keep regular office hours. christiesrealestategroup.com did not connect (2026-10-24), so website left blank.</t>
        </is>
      </c>
      <c r="W60" t="inlineStr">
        <is>
          <t>2026-10-23</t>
        </is>
      </c>
      <c r="X60" t="inlineStr">
        <is>
          <t>unknown</t>
        </is>
      </c>
      <c r="Y60" t="inlineStr">
        <is>
          <t>candidate</t>
        </is>
      </c>
      <c r="Z60" t="inlineStr">
        <is>
          <t>occupancy-unconfirmed</t>
        </is>
      </c>
      <c r="AA60" t="inlineStr"/>
      <c r="AB60" t="inlineStr">
        <is>
          <t>2024-08-21</t>
        </is>
      </c>
      <c r="AC60" s="3" t="inlineStr"/>
      <c r="AD60" t="inlineStr">
        <is>
          <t>leasing-press</t>
        </is>
      </c>
      <c r="AE60" t="inlineStr"/>
      <c r="AF60" t="inlineStr">
        <is>
          <t>different-floor</t>
        </is>
      </c>
      <c r="AG60" t="inlineStr">
        <is>
          <t>1008220031</t>
        </is>
      </c>
      <c r="AH60" t="n">
        <v>0</v>
      </c>
      <c r="AI60" t="inlineStr">
        <is>
          <t>8,000 sf</t>
        </is>
      </c>
      <c r="AJ60" t="inlineStr">
        <is>
          <t>S2</t>
        </is>
      </c>
    </row>
    <row r="61">
      <c r="A61" t="inlineStr">
        <is>
          <t>B-C-060</t>
        </is>
      </c>
      <c r="B61" t="inlineStr">
        <is>
          <t>Warp</t>
        </is>
      </c>
      <c r="C61" s="2" t="inlineStr">
        <is>
          <t>https://www.warp.co</t>
        </is>
      </c>
      <c r="D61" t="inlineStr">
        <is>
          <t>software (AI payroll and HR)</t>
        </is>
      </c>
      <c r="E61" t="inlineStr">
        <is>
          <t>B-B-029</t>
        </is>
      </c>
      <c r="F61" t="inlineStr">
        <is>
          <t>156 Fifth Avenue</t>
        </is>
      </c>
      <c r="G61" t="inlineStr">
        <is>
          <t>7-8</t>
        </is>
      </c>
      <c r="H61" t="inlineStr">
        <is>
          <t>10010</t>
        </is>
      </c>
      <c r="I61" t="n">
        <v>40.740038</v>
      </c>
      <c r="J61" t="n">
        <v>-73.991401</v>
      </c>
      <c r="K61" t="inlineStr">
        <is>
          <t>Y</t>
        </is>
      </c>
      <c r="L61" t="inlineStr">
        <is>
          <t>40-75</t>
        </is>
      </c>
      <c r="M61" t="inlineStr">
        <is>
          <t>whole-company</t>
        </is>
      </c>
      <c r="N61" s="2" t="inlineStr">
        <is>
          <t>https://www.builtinnyc.com/company/warp</t>
        </is>
      </c>
      <c r="O61" s="2" t="inlineStr">
        <is>
          <t>https://commercialobserver.com/2026/08/warp-triple-lease-expansion-hrc-156-fifth-avenue/</t>
        </is>
      </c>
      <c r="P61" t="inlineStr">
        <is>
          <t>2026-08-06</t>
        </is>
      </c>
      <c r="Q61" t="inlineStr"/>
      <c r="R61" t="inlineStr">
        <is>
          <t>medium</t>
        </is>
      </c>
      <c r="S61" t="inlineStr">
        <is>
          <t>N</t>
        </is>
      </c>
      <c r="T61" t="inlineStr"/>
      <c r="U61" t="inlineStr"/>
      <c r="V61" s="3" t="inlineStr">
        <is>
          <t>Took 8,000 sf on floor 8 in fall 2025, expanded to all of floor 7 (24,500 sf total) and occupied July 2026. Built In shows 42 total employees and HQ New York (no street). CO says headcount is growing fast after a $60M round.</t>
        </is>
      </c>
      <c r="W61" t="inlineStr">
        <is>
          <t>2026-10-23</t>
        </is>
      </c>
      <c r="X61" t="inlineStr">
        <is>
          <t>unknown</t>
        </is>
      </c>
      <c r="Y61" t="inlineStr">
        <is>
          <t>candidate</t>
        </is>
      </c>
      <c r="Z61" t="inlineStr">
        <is>
          <t>occupied</t>
        </is>
      </c>
      <c r="AA61" t="inlineStr"/>
      <c r="AB61" t="inlineStr">
        <is>
          <t>2026-10-23</t>
        </is>
      </c>
      <c r="AC61" s="3" t="inlineStr"/>
      <c r="AD61" t="inlineStr">
        <is>
          <t>leasing-press</t>
        </is>
      </c>
      <c r="AE61" t="inlineStr"/>
      <c r="AF61" t="inlineStr">
        <is>
          <t>different-floor</t>
        </is>
      </c>
      <c r="AG61" t="inlineStr">
        <is>
          <t>1008220031</t>
        </is>
      </c>
      <c r="AH61" t="n">
        <v>0</v>
      </c>
      <c r="AI61" t="inlineStr">
        <is>
          <t>8,000 sf; 24,500 sf</t>
        </is>
      </c>
      <c r="AJ61" t="inlineStr">
        <is>
          <t>S2</t>
        </is>
      </c>
    </row>
    <row r="62">
      <c r="A62" t="inlineStr">
        <is>
          <t>B-C-061</t>
        </is>
      </c>
      <c r="B62" t="inlineStr">
        <is>
          <t>Daily Harvest</t>
        </is>
      </c>
      <c r="C62" s="2" t="inlineStr">
        <is>
          <t>https://www.daily-harvest.com</t>
        </is>
      </c>
      <c r="D62" t="inlineStr">
        <is>
          <t>food brand (frozen meals, DTC)</t>
        </is>
      </c>
      <c r="E62" t="inlineStr">
        <is>
          <t>B-B-030</t>
        </is>
      </c>
      <c r="F62" t="inlineStr">
        <is>
          <t>37 West 20th Street</t>
        </is>
      </c>
      <c r="G62" t="inlineStr"/>
      <c r="H62" t="inlineStr">
        <is>
          <t>10011</t>
        </is>
      </c>
      <c r="I62" t="n">
        <v>40.740813</v>
      </c>
      <c r="J62" t="n">
        <v>-73.99310699999999</v>
      </c>
      <c r="K62" t="inlineStr">
        <is>
          <t>Y</t>
        </is>
      </c>
      <c r="L62" t="inlineStr">
        <is>
          <t>251-500</t>
        </is>
      </c>
      <c r="M62" t="inlineStr">
        <is>
          <t>whole-company</t>
        </is>
      </c>
      <c r="N62" s="2" t="inlineStr">
        <is>
          <t>https://www.builtinnyc.com/company/daily-harvest</t>
        </is>
      </c>
      <c r="O62" s="2" t="inlineStr">
        <is>
          <t>https://www.builtinnyc.com/company/daily-harvest/offices</t>
        </is>
      </c>
      <c r="P62" t="inlineStr">
        <is>
          <t>2026-10-23</t>
        </is>
      </c>
      <c r="Q62" t="inlineStr"/>
      <c r="R62" t="inlineStr">
        <is>
          <t>medium</t>
        </is>
      </c>
      <c r="S62" t="inlineStr">
        <is>
          <t>N</t>
        </is>
      </c>
      <c r="T62" t="inlineStr"/>
      <c r="U62" t="inlineStr"/>
      <c r="V62" s="3" t="inlineStr">
        <is>
          <t>Built In lists HQ at 37 West 20th Street and an on-site workplace, typical time on-site 5 days a week. Built In shows 267 total employees. Company terms/privacy URLs returned 404, so not cross-checked. Food company: possible brand-side contact too (frozen, so not a Desk Drop product).</t>
        </is>
      </c>
      <c r="W62" t="inlineStr">
        <is>
          <t>2026-10-23</t>
        </is>
      </c>
      <c r="X62" t="inlineStr">
        <is>
          <t>security desk</t>
        </is>
      </c>
      <c r="Y62" t="inlineStr">
        <is>
          <t>candidate</t>
        </is>
      </c>
      <c r="Z62" t="inlineStr">
        <is>
          <t>occupied</t>
        </is>
      </c>
      <c r="AA62" t="inlineStr"/>
      <c r="AB62" t="inlineStr">
        <is>
          <t>2026-10-23</t>
        </is>
      </c>
      <c r="AC62" s="3" t="inlineStr"/>
      <c r="AD62" t="inlineStr">
        <is>
          <t>builtin</t>
        </is>
      </c>
      <c r="AE62" t="inlineStr"/>
      <c r="AF62" t="inlineStr">
        <is>
          <t>no-coworking-in-building</t>
        </is>
      </c>
      <c r="AG62" t="inlineStr">
        <is>
          <t>1008220009</t>
        </is>
      </c>
      <c r="AH62" t="n">
        <v>0</v>
      </c>
      <c r="AI62" t="inlineStr"/>
      <c r="AJ62" t="inlineStr">
        <is>
          <t>S2</t>
        </is>
      </c>
    </row>
    <row r="63">
      <c r="A63" t="inlineStr">
        <is>
          <t>B-C-062</t>
        </is>
      </c>
      <c r="B63" t="inlineStr">
        <is>
          <t>Manifest Law</t>
        </is>
      </c>
      <c r="C63" s="2" t="inlineStr">
        <is>
          <t>https://www.manifestlaw.com</t>
        </is>
      </c>
      <c r="D63" t="inlineStr">
        <is>
          <t>law firm (immigration, tech-enabled)</t>
        </is>
      </c>
      <c r="E63" t="inlineStr">
        <is>
          <t>B-B-031</t>
        </is>
      </c>
      <c r="F63" t="inlineStr">
        <is>
          <t>902 Broadway</t>
        </is>
      </c>
      <c r="G63" t="inlineStr">
        <is>
          <t>8</t>
        </is>
      </c>
      <c r="H63" t="inlineStr">
        <is>
          <t>10010</t>
        </is>
      </c>
      <c r="I63" t="n">
        <v>40.739291</v>
      </c>
      <c r="J63" t="n">
        <v>-73.989363</v>
      </c>
      <c r="K63" t="inlineStr">
        <is>
          <t>Y</t>
        </is>
      </c>
      <c r="L63" t="inlineStr">
        <is>
          <t>unknown</t>
        </is>
      </c>
      <c r="M63" t="inlineStr">
        <is>
          <t>unknown</t>
        </is>
      </c>
      <c r="N63" t="inlineStr"/>
      <c r="O63" s="2" t="inlineStr">
        <is>
          <t>https://commercialobserver.com/2026/08/manifest-law-sublease-koeppel-rosen-902-broadway/</t>
        </is>
      </c>
      <c r="P63" t="inlineStr">
        <is>
          <t>2026-08-06</t>
        </is>
      </c>
      <c r="Q63" t="inlineStr"/>
      <c r="R63" t="inlineStr">
        <is>
          <t>medium</t>
        </is>
      </c>
      <c r="S63" t="inlineStr">
        <is>
          <t>N</t>
        </is>
      </c>
      <c r="T63" t="inlineStr"/>
      <c r="U63" t="inlineStr"/>
      <c r="V63" s="3" t="inlineStr">
        <is>
          <t>18,200 sf sublease of the full 8th floor from Adaptive Security; relocating from 333 Park Avenue South. Company site returned 403 to our fetch (2026-10-23).</t>
        </is>
      </c>
      <c r="W63" t="inlineStr">
        <is>
          <t>2026-10-23</t>
        </is>
      </c>
      <c r="X63" t="inlineStr">
        <is>
          <t>security desk</t>
        </is>
      </c>
      <c r="Y63" t="inlineStr">
        <is>
          <t>candidate</t>
        </is>
      </c>
      <c r="Z63" t="inlineStr">
        <is>
          <t>occupancy-unconfirmed</t>
        </is>
      </c>
      <c r="AA63" t="inlineStr"/>
      <c r="AB63" t="inlineStr"/>
      <c r="AC63" s="3" t="inlineStr">
        <is>
          <t>No opened source gives a count: no Built In profile with a total, the company site publishes none, and LinkedIn was off-limits. Founder to confirm at intake.</t>
        </is>
      </c>
      <c r="AD63" t="inlineStr">
        <is>
          <t>leasing-press</t>
        </is>
      </c>
      <c r="AE63" t="inlineStr"/>
      <c r="AF63" t="inlineStr">
        <is>
          <t>different-floor</t>
        </is>
      </c>
      <c r="AG63" t="inlineStr">
        <is>
          <t>1008490016</t>
        </is>
      </c>
      <c r="AH63" t="n">
        <v>0</v>
      </c>
      <c r="AI63" t="inlineStr">
        <is>
          <t>18,200 sf</t>
        </is>
      </c>
      <c r="AJ63" t="inlineStr">
        <is>
          <t>S2</t>
        </is>
      </c>
    </row>
    <row r="64">
      <c r="A64" t="inlineStr">
        <is>
          <t>B-C-063</t>
        </is>
      </c>
      <c r="B64" t="inlineStr">
        <is>
          <t>The Hudson Companies and Broadway Builders</t>
        </is>
      </c>
      <c r="C64" s="2" t="inlineStr">
        <is>
          <t>https://www.hudsoninc.com</t>
        </is>
      </c>
      <c r="D64" t="inlineStr">
        <is>
          <t>real estate development</t>
        </is>
      </c>
      <c r="E64" t="inlineStr">
        <is>
          <t>B-B-031</t>
        </is>
      </c>
      <c r="F64" t="inlineStr">
        <is>
          <t>902 Broadway</t>
        </is>
      </c>
      <c r="G64" t="inlineStr">
        <is>
          <t>12</t>
        </is>
      </c>
      <c r="H64" t="inlineStr">
        <is>
          <t>10010</t>
        </is>
      </c>
      <c r="I64" t="n">
        <v>40.739291</v>
      </c>
      <c r="J64" t="n">
        <v>-73.989363</v>
      </c>
      <c r="K64" t="inlineStr">
        <is>
          <t>Y</t>
        </is>
      </c>
      <c r="L64" t="inlineStr">
        <is>
          <t>unknown</t>
        </is>
      </c>
      <c r="M64" t="inlineStr">
        <is>
          <t>unknown</t>
        </is>
      </c>
      <c r="N64" t="inlineStr"/>
      <c r="O64" s="2" t="inlineStr">
        <is>
          <t>https://commercialobserver.com/2026/03/hudson-companies-broadway-builders-lease-902-broadway/</t>
        </is>
      </c>
      <c r="P64" t="inlineStr">
        <is>
          <t>2026-03-24</t>
        </is>
      </c>
      <c r="Q64" s="2" t="inlineStr">
        <is>
          <t>https://rebusinessonline.com/hudson-cos-broadway-builders-sign-18200-sf-office-lease-in-manhattans-flatiron-district/</t>
        </is>
      </c>
      <c r="R64" t="inlineStr">
        <is>
          <t>medium</t>
        </is>
      </c>
      <c r="S64" t="inlineStr">
        <is>
          <t>N</t>
        </is>
      </c>
      <c r="T64" t="inlineStr"/>
      <c r="U64" t="inlineStr"/>
      <c r="V64" s="3" t="inlineStr">
        <is>
          <t>11-year lease of the full 12th floor shared with affiliate Broadway Builders. Company contact page opened 2026-10-23 still lists 826 Broadway, 11th floor (outside slice), so the move date is unconfirmed. | Assembly 2026-10-24: Merged at assembly: affiliates sharing one full-floor 12th-floor tenancy at 902 Broadway (CO 2026-03-24, CO 2026-06-09), so one pantry. Both websites still list 826 Broadway, 11th floor (opened 2026-10-23), so the move date is unconfirmed.</t>
        </is>
      </c>
      <c r="W64" t="inlineStr">
        <is>
          <t>2026-10-23</t>
        </is>
      </c>
      <c r="X64" t="inlineStr">
        <is>
          <t>security desk</t>
        </is>
      </c>
      <c r="Y64" t="inlineStr">
        <is>
          <t>candidate</t>
        </is>
      </c>
      <c r="Z64" t="inlineStr">
        <is>
          <t>signed-not-occupied</t>
        </is>
      </c>
      <c r="AA64" t="inlineStr">
        <is>
          <t>unknown</t>
        </is>
      </c>
      <c r="AB64" t="inlineStr"/>
      <c r="AC64" s="3" t="inlineStr">
        <is>
          <t>Neither firm publishes a count.</t>
        </is>
      </c>
      <c r="AD64" t="inlineStr">
        <is>
          <t>leasing-press</t>
        </is>
      </c>
      <c r="AE64" t="inlineStr">
        <is>
          <t>2026-06-09</t>
        </is>
      </c>
      <c r="AF64" t="inlineStr">
        <is>
          <t>different-floor</t>
        </is>
      </c>
      <c r="AG64" t="inlineStr">
        <is>
          <t>1008490016</t>
        </is>
      </c>
      <c r="AH64" t="n">
        <v>0</v>
      </c>
      <c r="AI64" t="inlineStr"/>
      <c r="AJ64" t="inlineStr">
        <is>
          <t>S2</t>
        </is>
      </c>
    </row>
    <row r="65">
      <c r="A65" t="inlineStr">
        <is>
          <t>B-C-064</t>
        </is>
      </c>
      <c r="B65" t="inlineStr">
        <is>
          <t>William Grant &amp; Sons</t>
        </is>
      </c>
      <c r="C65" s="2" t="inlineStr">
        <is>
          <t>https://www.williamgrant.com</t>
        </is>
      </c>
      <c r="D65" t="inlineStr">
        <is>
          <t>spirits company (U.S. office)</t>
        </is>
      </c>
      <c r="E65" t="inlineStr">
        <is>
          <t>B-B-031</t>
        </is>
      </c>
      <c r="F65" t="inlineStr">
        <is>
          <t>902 Broadway</t>
        </is>
      </c>
      <c r="G65" t="inlineStr">
        <is>
          <t>2-3</t>
        </is>
      </c>
      <c r="H65" t="inlineStr">
        <is>
          <t>10010</t>
        </is>
      </c>
      <c r="I65" t="n">
        <v>40.739291</v>
      </c>
      <c r="J65" t="n">
        <v>-73.989363</v>
      </c>
      <c r="K65" t="inlineStr">
        <is>
          <t>Y</t>
        </is>
      </c>
      <c r="L65" t="inlineStr">
        <is>
          <t>unknown</t>
        </is>
      </c>
      <c r="M65" t="inlineStr">
        <is>
          <t>unknown</t>
        </is>
      </c>
      <c r="N65" t="inlineStr"/>
      <c r="O65" s="2" t="inlineStr">
        <is>
          <t>https://commercialobserver.com/2024/12/william-grant-sons-lease-902-broadway/</t>
        </is>
      </c>
      <c r="P65" t="inlineStr">
        <is>
          <t>2024-12-03</t>
        </is>
      </c>
      <c r="Q65" s="2" t="inlineStr">
        <is>
          <t>https://commercialobserver.com/2026/03/hudson-companies-broadway-builders-lease-902-broadway/</t>
        </is>
      </c>
      <c r="R65" t="inlineStr">
        <is>
          <t>medium</t>
        </is>
      </c>
      <c r="S65" t="inlineStr">
        <is>
          <t>N</t>
        </is>
      </c>
      <c r="T65" t="inlineStr"/>
      <c r="U65" t="inlineStr"/>
      <c r="V65" s="3" t="inlineStr">
        <is>
          <t>U.S. headquarters move: 27,160 sf on floors 2 and 3 (CO Dec 2024; also TRD Jan 2025). CO Mar 2026 lists distiller William Grant &amp; Sons as a current tenant. Global company; headcount not sourced (Wikipedia infobox has none). Alcohol company. | Assembly 2026-10-24: Confidence lowered at assembly from high to medium: second source is the same publisher or missing.</t>
        </is>
      </c>
      <c r="W65" t="inlineStr">
        <is>
          <t>2026-10-23</t>
        </is>
      </c>
      <c r="X65" t="inlineStr">
        <is>
          <t>security desk</t>
        </is>
      </c>
      <c r="Y65" t="inlineStr">
        <is>
          <t>candidate</t>
        </is>
      </c>
      <c r="Z65" t="inlineStr">
        <is>
          <t>occupied</t>
        </is>
      </c>
      <c r="AA65" t="inlineStr"/>
      <c r="AB65" t="inlineStr"/>
      <c r="AC65" s="3" t="inlineStr">
        <is>
          <t>No opened source gives a count: no Built In profile with a total, the company site publishes none, and LinkedIn was off-limits. Founder to confirm at intake.</t>
        </is>
      </c>
      <c r="AD65" t="inlineStr">
        <is>
          <t>leasing-press</t>
        </is>
      </c>
      <c r="AE65" t="inlineStr">
        <is>
          <t>2026-03-24</t>
        </is>
      </c>
      <c r="AF65" t="inlineStr">
        <is>
          <t>different-floor</t>
        </is>
      </c>
      <c r="AG65" t="inlineStr">
        <is>
          <t>1008490016</t>
        </is>
      </c>
      <c r="AH65" t="n">
        <v>0</v>
      </c>
      <c r="AI65" t="inlineStr">
        <is>
          <t>27,160 sf</t>
        </is>
      </c>
      <c r="AJ65" t="inlineStr">
        <is>
          <t>S2</t>
        </is>
      </c>
    </row>
    <row r="66">
      <c r="A66" t="inlineStr">
        <is>
          <t>B-C-065</t>
        </is>
      </c>
      <c r="B66" t="inlineStr">
        <is>
          <t>Argentic Investment Management</t>
        </is>
      </c>
      <c r="C66" s="2" t="inlineStr">
        <is>
          <t>https://www.argentic.com</t>
        </is>
      </c>
      <c r="D66" t="inlineStr">
        <is>
          <t>commercial real estate finance</t>
        </is>
      </c>
      <c r="E66" t="inlineStr">
        <is>
          <t>B-B-032</t>
        </is>
      </c>
      <c r="F66" t="inlineStr">
        <is>
          <t>257 Park Avenue South</t>
        </is>
      </c>
      <c r="G66" t="inlineStr">
        <is>
          <t>20</t>
        </is>
      </c>
      <c r="H66" t="inlineStr">
        <is>
          <t>10010</t>
        </is>
      </c>
      <c r="I66" t="n">
        <v>40.738577</v>
      </c>
      <c r="J66" t="n">
        <v>-73.987151</v>
      </c>
      <c r="K66" t="inlineStr">
        <is>
          <t>Y</t>
        </is>
      </c>
      <c r="L66" t="inlineStr">
        <is>
          <t>unknown</t>
        </is>
      </c>
      <c r="M66" t="inlineStr">
        <is>
          <t>unknown</t>
        </is>
      </c>
      <c r="N66" t="inlineStr"/>
      <c r="O66" s="2" t="inlineStr">
        <is>
          <t>https://commercialobserver.com/2026/04/argentic-investment-management-lease-257-park-avenue-south/</t>
        </is>
      </c>
      <c r="P66" t="inlineStr">
        <is>
          <t>2026-04-20</t>
        </is>
      </c>
      <c r="Q66" s="2" t="inlineStr">
        <is>
          <t>https://rebusinessonline.com/argentic-investment-management-signs-13000-sf-office-lease-in-manhattans-flatiron-district/</t>
        </is>
      </c>
      <c r="R66" t="inlineStr">
        <is>
          <t>medium</t>
        </is>
      </c>
      <c r="S66" t="inlineStr">
        <is>
          <t>N</t>
        </is>
      </c>
      <c r="T66" t="inlineStr"/>
      <c r="U66" t="inlineStr"/>
      <c r="V66" s="3" t="inlineStr">
        <is>
          <t>Long-term lease of the full 20th floor (13,000 sf). Company contact page opened 2026-10-23 still lists 31 W. 27th Street, 12th Floor; move date unknown.</t>
        </is>
      </c>
      <c r="W66" t="inlineStr">
        <is>
          <t>2026-10-23</t>
        </is>
      </c>
      <c r="X66" t="inlineStr">
        <is>
          <t>unknown</t>
        </is>
      </c>
      <c r="Y66" t="inlineStr">
        <is>
          <t>candidate</t>
        </is>
      </c>
      <c r="Z66" t="inlineStr">
        <is>
          <t>signed-not-occupied</t>
        </is>
      </c>
      <c r="AA66" t="inlineStr">
        <is>
          <t>unknown</t>
        </is>
      </c>
      <c r="AB66" t="inlineStr"/>
      <c r="AC66" s="3" t="inlineStr">
        <is>
          <t>No opened source gives a count: no Built In profile with a total, the company site publishes none, and LinkedIn was off-limits. Founder to confirm at intake.</t>
        </is>
      </c>
      <c r="AD66" t="inlineStr">
        <is>
          <t>leasing-press</t>
        </is>
      </c>
      <c r="AE66" t="inlineStr">
        <is>
          <t>2026-07-02</t>
        </is>
      </c>
      <c r="AF66" t="inlineStr">
        <is>
          <t>no-coworking-in-building</t>
        </is>
      </c>
      <c r="AG66" t="inlineStr">
        <is>
          <t>1008767504</t>
        </is>
      </c>
      <c r="AH66" t="n">
        <v>0</v>
      </c>
      <c r="AI66" t="inlineStr">
        <is>
          <t>13,000 sf</t>
        </is>
      </c>
      <c r="AJ66" t="inlineStr">
        <is>
          <t>S2</t>
        </is>
      </c>
    </row>
    <row r="67">
      <c r="A67" t="inlineStr">
        <is>
          <t>B-C-066</t>
        </is>
      </c>
      <c r="B67" t="inlineStr">
        <is>
          <t>Beachwold Residential</t>
        </is>
      </c>
      <c r="C67" s="2" t="inlineStr">
        <is>
          <t>https://www.beachwold.com</t>
        </is>
      </c>
      <c r="D67" t="inlineStr">
        <is>
          <t>real estate (multifamily owner/operator)</t>
        </is>
      </c>
      <c r="E67" t="inlineStr">
        <is>
          <t>B-B-032</t>
        </is>
      </c>
      <c r="F67" t="inlineStr">
        <is>
          <t>257 Park Avenue South</t>
        </is>
      </c>
      <c r="G67" t="inlineStr">
        <is>
          <t>13</t>
        </is>
      </c>
      <c r="H67" t="inlineStr">
        <is>
          <t>10010</t>
        </is>
      </c>
      <c r="I67" t="n">
        <v>40.738577</v>
      </c>
      <c r="J67" t="n">
        <v>-73.987151</v>
      </c>
      <c r="K67" t="inlineStr">
        <is>
          <t>Y</t>
        </is>
      </c>
      <c r="L67" t="inlineStr">
        <is>
          <t>unknown</t>
        </is>
      </c>
      <c r="M67" t="inlineStr">
        <is>
          <t>unknown</t>
        </is>
      </c>
      <c r="N67" t="inlineStr"/>
      <c r="O67" s="2" t="inlineStr">
        <is>
          <t>https://commercialobserver.com/2022/07/paul-smith-beachwold-residential-sign-for-full-floors-at-257-park-avenue-south/</t>
        </is>
      </c>
      <c r="P67" t="inlineStr">
        <is>
          <t>2022-07-06</t>
        </is>
      </c>
      <c r="Q67" t="inlineStr"/>
      <c r="R67" t="inlineStr">
        <is>
          <t>low</t>
        </is>
      </c>
      <c r="S67" t="inlineStr">
        <is>
          <t>N</t>
        </is>
      </c>
      <c r="T67" t="inlineStr"/>
      <c r="U67" t="inlineStr"/>
      <c r="V67" s="3" t="inlineStr">
        <is>
          <t>HQ move to the full 13th floor (12,637 sf) in 2022 from 192 Lexington Ave. Not re-confirmed (company contact page returned 404).</t>
        </is>
      </c>
      <c r="W67" t="inlineStr">
        <is>
          <t>2026-10-23</t>
        </is>
      </c>
      <c r="X67" t="inlineStr">
        <is>
          <t>unknown</t>
        </is>
      </c>
      <c r="Y67" t="inlineStr">
        <is>
          <t>candidate</t>
        </is>
      </c>
      <c r="Z67" t="inlineStr">
        <is>
          <t>occupancy-unconfirmed</t>
        </is>
      </c>
      <c r="AA67" t="inlineStr"/>
      <c r="AB67" t="inlineStr"/>
      <c r="AC67" s="3" t="inlineStr">
        <is>
          <t>No opened source gives a count: no Built In profile with a total, the company site publishes none, and LinkedIn was off-limits. Founder to confirm at intake.</t>
        </is>
      </c>
      <c r="AD67" t="inlineStr">
        <is>
          <t>leasing-press</t>
        </is>
      </c>
      <c r="AE67" t="inlineStr"/>
      <c r="AF67" t="inlineStr">
        <is>
          <t>no-coworking-in-building</t>
        </is>
      </c>
      <c r="AG67" t="inlineStr">
        <is>
          <t>1008767504</t>
        </is>
      </c>
      <c r="AH67" t="n">
        <v>0</v>
      </c>
      <c r="AI67" t="inlineStr">
        <is>
          <t>12,637 sf</t>
        </is>
      </c>
      <c r="AJ67" t="inlineStr">
        <is>
          <t>S2</t>
        </is>
      </c>
    </row>
    <row r="68">
      <c r="A68" t="inlineStr">
        <is>
          <t>B-C-067</t>
        </is>
      </c>
      <c r="B68" t="inlineStr">
        <is>
          <t>ISAIA</t>
        </is>
      </c>
      <c r="C68" s="2" t="inlineStr">
        <is>
          <t>https://www.isaia.it</t>
        </is>
      </c>
      <c r="D68" t="inlineStr">
        <is>
          <t>luxury menswear brand (U.S. showroom and office)</t>
        </is>
      </c>
      <c r="E68" t="inlineStr">
        <is>
          <t>B-B-032</t>
        </is>
      </c>
      <c r="F68" t="inlineStr">
        <is>
          <t>257 Park Avenue South</t>
        </is>
      </c>
      <c r="G68" t="inlineStr">
        <is>
          <t>10</t>
        </is>
      </c>
      <c r="H68" t="inlineStr">
        <is>
          <t>10010</t>
        </is>
      </c>
      <c r="I68" t="n">
        <v>40.738577</v>
      </c>
      <c r="J68" t="n">
        <v>-73.987151</v>
      </c>
      <c r="K68" t="inlineStr">
        <is>
          <t>Y</t>
        </is>
      </c>
      <c r="L68" t="inlineStr">
        <is>
          <t>unknown</t>
        </is>
      </c>
      <c r="M68" t="inlineStr">
        <is>
          <t>unknown</t>
        </is>
      </c>
      <c r="N68" t="inlineStr"/>
      <c r="O68" s="2" t="inlineStr">
        <is>
          <t>https://commercialobserver.com/2026/07/isaia-lease-feil-257-park-avenue-south/</t>
        </is>
      </c>
      <c r="P68" t="inlineStr">
        <is>
          <t>2026-07-21</t>
        </is>
      </c>
      <c r="Q68" t="inlineStr"/>
      <c r="R68" t="inlineStr">
        <is>
          <t>medium</t>
        </is>
      </c>
      <c r="S68" t="inlineStr">
        <is>
          <t>N</t>
        </is>
      </c>
      <c r="T68" t="inlineStr"/>
      <c r="U68" t="inlineStr"/>
      <c r="V68" s="3" t="inlineStr">
        <is>
          <t>10-year renewal of 13,000 sf corporate showroom on the 10th floor. Mainly a showroom; onsite staff count unknown.</t>
        </is>
      </c>
      <c r="W68" t="inlineStr">
        <is>
          <t>2026-10-23</t>
        </is>
      </c>
      <c r="X68" t="inlineStr">
        <is>
          <t>unknown</t>
        </is>
      </c>
      <c r="Y68" t="inlineStr">
        <is>
          <t>candidate</t>
        </is>
      </c>
      <c r="Z68" t="inlineStr">
        <is>
          <t>occupied</t>
        </is>
      </c>
      <c r="AA68" t="inlineStr"/>
      <c r="AB68" t="inlineStr"/>
      <c r="AC68" s="3" t="inlineStr">
        <is>
          <t>No opened source gives a count: no Built In profile with a total, the company site publishes none, and LinkedIn was off-limits. Founder to confirm at intake.</t>
        </is>
      </c>
      <c r="AD68" t="inlineStr">
        <is>
          <t>leasing-press</t>
        </is>
      </c>
      <c r="AE68" t="inlineStr"/>
      <c r="AF68" t="inlineStr">
        <is>
          <t>no-coworking-in-building</t>
        </is>
      </c>
      <c r="AG68" t="inlineStr">
        <is>
          <t>1008767504</t>
        </is>
      </c>
      <c r="AH68" t="n">
        <v>0</v>
      </c>
      <c r="AI68" t="inlineStr">
        <is>
          <t>13,000 sf</t>
        </is>
      </c>
      <c r="AJ68" t="inlineStr">
        <is>
          <t>S2</t>
        </is>
      </c>
    </row>
    <row r="69">
      <c r="A69" t="inlineStr">
        <is>
          <t>B-C-068</t>
        </is>
      </c>
      <c r="B69" t="inlineStr">
        <is>
          <t>Options Group</t>
        </is>
      </c>
      <c r="C69" s="2" t="inlineStr">
        <is>
          <t>https://www.optionsgroup.com</t>
        </is>
      </c>
      <c r="D69" t="inlineStr">
        <is>
          <t>executive search and consulting</t>
        </is>
      </c>
      <c r="E69" t="inlineStr">
        <is>
          <t>B-B-032</t>
        </is>
      </c>
      <c r="F69" t="inlineStr">
        <is>
          <t>257 Park Avenue South</t>
        </is>
      </c>
      <c r="G69" t="inlineStr">
        <is>
          <t>7</t>
        </is>
      </c>
      <c r="H69" t="inlineStr">
        <is>
          <t>10010</t>
        </is>
      </c>
      <c r="I69" t="n">
        <v>40.738577</v>
      </c>
      <c r="J69" t="n">
        <v>-73.987151</v>
      </c>
      <c r="K69" t="inlineStr">
        <is>
          <t>Y</t>
        </is>
      </c>
      <c r="L69" t="inlineStr">
        <is>
          <t>unknown</t>
        </is>
      </c>
      <c r="M69" t="inlineStr">
        <is>
          <t>unknown</t>
        </is>
      </c>
      <c r="N69" t="inlineStr"/>
      <c r="O69" s="2" t="inlineStr">
        <is>
          <t>https://commercialobserver.com/2025/09/angellist-lease-257-park-avenue-south/</t>
        </is>
      </c>
      <c r="P69" t="inlineStr">
        <is>
          <t>2025-09-12</t>
        </is>
      </c>
      <c r="Q69" t="inlineStr"/>
      <c r="R69" t="inlineStr">
        <is>
          <t>medium</t>
        </is>
      </c>
      <c r="S69" t="inlineStr">
        <is>
          <t>N</t>
        </is>
      </c>
      <c r="T69" t="inlineStr"/>
      <c r="U69" t="inlineStr"/>
      <c r="V69" s="3" t="inlineStr">
        <is>
          <t>13-year lease for the full 7th floor (12,600 sf). Company contact page opened 2026-10-23 still lists 121 East 18th Street (margin, east of Park Ave S), so move status unconfirmed; either way it is in or next to this slice.</t>
        </is>
      </c>
      <c r="W69" t="inlineStr">
        <is>
          <t>2026-10-23</t>
        </is>
      </c>
      <c r="X69" t="inlineStr">
        <is>
          <t>unknown</t>
        </is>
      </c>
      <c r="Y69" t="inlineStr">
        <is>
          <t>candidate</t>
        </is>
      </c>
      <c r="Z69" t="inlineStr">
        <is>
          <t>signed-not-occupied</t>
        </is>
      </c>
      <c r="AA69" t="inlineStr">
        <is>
          <t>unknown</t>
        </is>
      </c>
      <c r="AB69" t="inlineStr"/>
      <c r="AC69" s="3" t="inlineStr">
        <is>
          <t>No opened source gives a count: no Built In profile with a total, the company site publishes none, and LinkedIn was off-limits. Founder to confirm at intake.</t>
        </is>
      </c>
      <c r="AD69" t="inlineStr">
        <is>
          <t>leasing-press</t>
        </is>
      </c>
      <c r="AE69" t="inlineStr"/>
      <c r="AF69" t="inlineStr">
        <is>
          <t>no-coworking-in-building</t>
        </is>
      </c>
      <c r="AG69" t="inlineStr">
        <is>
          <t>1008767504</t>
        </is>
      </c>
      <c r="AH69" t="n">
        <v>0</v>
      </c>
      <c r="AI69" t="inlineStr">
        <is>
          <t>12,600 sf</t>
        </is>
      </c>
      <c r="AJ69" t="inlineStr">
        <is>
          <t>S2</t>
        </is>
      </c>
    </row>
    <row r="70">
      <c r="A70" t="inlineStr">
        <is>
          <t>B-C-069</t>
        </is>
      </c>
      <c r="B70" t="inlineStr">
        <is>
          <t>Paul Smith</t>
        </is>
      </c>
      <c r="C70" s="2" t="inlineStr">
        <is>
          <t>https://www.paulsmith.com</t>
        </is>
      </c>
      <c r="D70" t="inlineStr">
        <is>
          <t>fashion brand (U.S. showroom and office)</t>
        </is>
      </c>
      <c r="E70" t="inlineStr">
        <is>
          <t>B-B-032</t>
        </is>
      </c>
      <c r="F70" t="inlineStr">
        <is>
          <t>257 Park Avenue South</t>
        </is>
      </c>
      <c r="G70" t="inlineStr">
        <is>
          <t>5</t>
        </is>
      </c>
      <c r="H70" t="inlineStr">
        <is>
          <t>10010</t>
        </is>
      </c>
      <c r="I70" t="n">
        <v>40.738577</v>
      </c>
      <c r="J70" t="n">
        <v>-73.987151</v>
      </c>
      <c r="K70" t="inlineStr">
        <is>
          <t>Y</t>
        </is>
      </c>
      <c r="L70" t="inlineStr">
        <is>
          <t>unknown</t>
        </is>
      </c>
      <c r="M70" t="inlineStr">
        <is>
          <t>unknown</t>
        </is>
      </c>
      <c r="N70" t="inlineStr"/>
      <c r="O70" s="2" t="inlineStr">
        <is>
          <t>https://commercialobserver.com/2022/07/paul-smith-beachwold-residential-sign-for-full-floors-at-257-park-avenue-south/</t>
        </is>
      </c>
      <c r="P70" t="inlineStr">
        <is>
          <t>2022-07-06</t>
        </is>
      </c>
      <c r="Q70" t="inlineStr"/>
      <c r="R70" t="inlineStr">
        <is>
          <t>low</t>
        </is>
      </c>
      <c r="S70" t="inlineStr">
        <is>
          <t>N</t>
        </is>
      </c>
      <c r="T70" t="inlineStr"/>
      <c r="U70" t="inlineStr"/>
      <c r="V70" s="3" t="inlineStr">
        <is>
          <t>Full 5th floor (12,617 sf) for showroom and office, 2022. Not re-confirmed; the brand's site contact page shows no office address.</t>
        </is>
      </c>
      <c r="W70" t="inlineStr">
        <is>
          <t>2026-10-23</t>
        </is>
      </c>
      <c r="X70" t="inlineStr">
        <is>
          <t>unknown</t>
        </is>
      </c>
      <c r="Y70" t="inlineStr">
        <is>
          <t>candidate</t>
        </is>
      </c>
      <c r="Z70" t="inlineStr">
        <is>
          <t>occupancy-unconfirmed</t>
        </is>
      </c>
      <c r="AA70" t="inlineStr"/>
      <c r="AB70" t="inlineStr"/>
      <c r="AC70" s="3" t="inlineStr">
        <is>
          <t>No opened source gives a count: no Built In profile with a total, the company site publishes none, and LinkedIn was off-limits. Founder to confirm at intake.</t>
        </is>
      </c>
      <c r="AD70" t="inlineStr">
        <is>
          <t>leasing-press</t>
        </is>
      </c>
      <c r="AE70" t="inlineStr"/>
      <c r="AF70" t="inlineStr">
        <is>
          <t>no-coworking-in-building</t>
        </is>
      </c>
      <c r="AG70" t="inlineStr">
        <is>
          <t>1008767504</t>
        </is>
      </c>
      <c r="AH70" t="n">
        <v>0</v>
      </c>
      <c r="AI70" t="inlineStr">
        <is>
          <t>12,617 sf</t>
        </is>
      </c>
      <c r="AJ70" t="inlineStr">
        <is>
          <t>S2</t>
        </is>
      </c>
    </row>
    <row r="71">
      <c r="A71" t="inlineStr">
        <is>
          <t>B-C-070</t>
        </is>
      </c>
      <c r="B71" t="inlineStr">
        <is>
          <t>Pei Architects</t>
        </is>
      </c>
      <c r="C71" t="inlineStr"/>
      <c r="D71" t="inlineStr">
        <is>
          <t>architecture</t>
        </is>
      </c>
      <c r="E71" t="inlineStr">
        <is>
          <t>B-B-032</t>
        </is>
      </c>
      <c r="F71" t="inlineStr">
        <is>
          <t>257 Park Avenue South</t>
        </is>
      </c>
      <c r="G71" t="inlineStr">
        <is>
          <t>19</t>
        </is>
      </c>
      <c r="H71" t="inlineStr">
        <is>
          <t>10010</t>
        </is>
      </c>
      <c r="I71" t="n">
        <v>40.738577</v>
      </c>
      <c r="J71" t="n">
        <v>-73.987151</v>
      </c>
      <c r="K71" t="inlineStr">
        <is>
          <t>Y</t>
        </is>
      </c>
      <c r="L71" t="inlineStr">
        <is>
          <t>unknown</t>
        </is>
      </c>
      <c r="M71" t="inlineStr">
        <is>
          <t>unknown</t>
        </is>
      </c>
      <c r="N71" t="inlineStr"/>
      <c r="O71" s="2" t="inlineStr">
        <is>
          <t>https://commercialobserver.com/2024/04/pei-architects-renewals-13k-sf-at-257-park-avenue-south/</t>
        </is>
      </c>
      <c r="P71" t="inlineStr">
        <is>
          <t>2024-04-15</t>
        </is>
      </c>
      <c r="Q71" t="inlineStr"/>
      <c r="R71" t="inlineStr">
        <is>
          <t>low</t>
        </is>
      </c>
      <c r="S71" t="inlineStr">
        <is>
          <t>N</t>
        </is>
      </c>
      <c r="T71" t="inlineStr"/>
      <c r="U71" t="inlineStr"/>
      <c r="V71" s="3" t="inlineStr">
        <is>
          <t>10-year renewal (2024) of 12,617 sf on the 19th floor, its primary HQ. Source predates 2024-10-23; company site (pei-architects.com) did not load. Headcount not sourced.</t>
        </is>
      </c>
      <c r="W71" t="inlineStr">
        <is>
          <t>2026-10-23</t>
        </is>
      </c>
      <c r="X71" t="inlineStr">
        <is>
          <t>unknown</t>
        </is>
      </c>
      <c r="Y71" t="inlineStr">
        <is>
          <t>candidate</t>
        </is>
      </c>
      <c r="Z71" t="inlineStr">
        <is>
          <t>occupancy-unconfirmed</t>
        </is>
      </c>
      <c r="AA71" t="inlineStr"/>
      <c r="AB71" t="inlineStr"/>
      <c r="AC71" s="3" t="inlineStr">
        <is>
          <t>No opened source gives a count: no Built In profile with a total, the company site publishes none, and LinkedIn was off-limits. Founder to confirm at intake.</t>
        </is>
      </c>
      <c r="AD71" t="inlineStr">
        <is>
          <t>leasing-press</t>
        </is>
      </c>
      <c r="AE71" t="inlineStr"/>
      <c r="AF71" t="inlineStr">
        <is>
          <t>no-coworking-in-building</t>
        </is>
      </c>
      <c r="AG71" t="inlineStr">
        <is>
          <t>1008767504</t>
        </is>
      </c>
      <c r="AH71" t="n">
        <v>0</v>
      </c>
      <c r="AI71" t="inlineStr">
        <is>
          <t>12,617 sf</t>
        </is>
      </c>
      <c r="AJ71" t="inlineStr">
        <is>
          <t>S2</t>
        </is>
      </c>
    </row>
    <row r="72">
      <c r="A72" t="inlineStr">
        <is>
          <t>B-C-071</t>
        </is>
      </c>
      <c r="B72" t="inlineStr">
        <is>
          <t>Phipps Houses</t>
        </is>
      </c>
      <c r="C72" s="2" t="inlineStr">
        <is>
          <t>https://www.phippsny.org</t>
        </is>
      </c>
      <c r="D72" t="inlineStr">
        <is>
          <t>nonprofit affordable housing developer</t>
        </is>
      </c>
      <c r="E72" t="inlineStr">
        <is>
          <t>B-B-032</t>
        </is>
      </c>
      <c r="F72" t="inlineStr">
        <is>
          <t>257 Park Avenue South</t>
        </is>
      </c>
      <c r="G72" t="inlineStr">
        <is>
          <t>11-12, 15</t>
        </is>
      </c>
      <c r="H72" t="inlineStr">
        <is>
          <t>10010</t>
        </is>
      </c>
      <c r="I72" t="n">
        <v>40.738577</v>
      </c>
      <c r="J72" t="n">
        <v>-73.987151</v>
      </c>
      <c r="K72" t="inlineStr">
        <is>
          <t>Y</t>
        </is>
      </c>
      <c r="L72" t="inlineStr">
        <is>
          <t>unknown</t>
        </is>
      </c>
      <c r="M72" t="inlineStr">
        <is>
          <t>unknown</t>
        </is>
      </c>
      <c r="N72" t="inlineStr"/>
      <c r="O72" s="2" t="inlineStr">
        <is>
          <t>https://www.phippsny.org/contact-us/</t>
        </is>
      </c>
      <c r="P72" t="inlineStr">
        <is>
          <t>2026-10-23</t>
        </is>
      </c>
      <c r="Q72" s="2" t="inlineStr">
        <is>
          <t>https://commercialobserver.com/2024/07/phipps-houses-feil-organization-257-park-avenue-south/</t>
        </is>
      </c>
      <c r="R72" t="inlineStr">
        <is>
          <t>high</t>
        </is>
      </c>
      <c r="S72" t="inlineStr">
        <is>
          <t>N</t>
        </is>
      </c>
      <c r="T72" t="inlineStr"/>
      <c r="U72" t="inlineStr"/>
      <c r="V72" s="3" t="inlineStr">
        <is>
          <t>Contact page lists 257 Park Avenue South, 12th Floor; CO July 2024 reported a 32-year, 38,862 sf HQ lease on floors 11, 12 and 15 (relocated from 902 Broadway). Headcount not sourced.</t>
        </is>
      </c>
      <c r="W72" t="inlineStr">
        <is>
          <t>2026-10-23</t>
        </is>
      </c>
      <c r="X72" t="inlineStr">
        <is>
          <t>unknown</t>
        </is>
      </c>
      <c r="Y72" t="inlineStr">
        <is>
          <t>candidate</t>
        </is>
      </c>
      <c r="Z72" t="inlineStr">
        <is>
          <t>occupied</t>
        </is>
      </c>
      <c r="AA72" t="inlineStr"/>
      <c r="AB72" t="inlineStr"/>
      <c r="AC72" s="3" t="inlineStr">
        <is>
          <t>No opened source gives a count: no Built In profile with a total, the company site publishes none, and LinkedIn was off-limits. Founder to confirm at intake.</t>
        </is>
      </c>
      <c r="AD72" t="inlineStr">
        <is>
          <t>company-site</t>
        </is>
      </c>
      <c r="AE72" t="inlineStr">
        <is>
          <t>2024-07-31</t>
        </is>
      </c>
      <c r="AF72" t="inlineStr">
        <is>
          <t>no-coworking-in-building</t>
        </is>
      </c>
      <c r="AG72" t="inlineStr">
        <is>
          <t>1008767504</t>
        </is>
      </c>
      <c r="AH72" t="n">
        <v>0</v>
      </c>
      <c r="AI72" t="inlineStr">
        <is>
          <t>38,862 sf</t>
        </is>
      </c>
      <c r="AJ72" t="inlineStr">
        <is>
          <t>S2</t>
        </is>
      </c>
    </row>
    <row r="73">
      <c r="A73" t="inlineStr">
        <is>
          <t>B-C-072</t>
        </is>
      </c>
      <c r="B73" t="inlineStr">
        <is>
          <t>Actively AI</t>
        </is>
      </c>
      <c r="C73" s="2" t="inlineStr">
        <is>
          <t>https://www.actively.ai</t>
        </is>
      </c>
      <c r="D73" t="inlineStr">
        <is>
          <t>software (AI sales platform)</t>
        </is>
      </c>
      <c r="E73" t="inlineStr">
        <is>
          <t>B-B-033</t>
        </is>
      </c>
      <c r="F73" t="inlineStr">
        <is>
          <t>30 West 21st Street</t>
        </is>
      </c>
      <c r="G73" t="inlineStr">
        <is>
          <t>9-10</t>
        </is>
      </c>
      <c r="H73" t="inlineStr">
        <is>
          <t>10010</t>
        </is>
      </c>
      <c r="I73" t="n">
        <v>40.74082</v>
      </c>
      <c r="J73" t="n">
        <v>-73.992366</v>
      </c>
      <c r="K73" t="inlineStr">
        <is>
          <t>Y</t>
        </is>
      </c>
      <c r="L73" t="inlineStr">
        <is>
          <t>40-75</t>
        </is>
      </c>
      <c r="M73" t="inlineStr">
        <is>
          <t>whole-company</t>
        </is>
      </c>
      <c r="N73" s="2" t="inlineStr">
        <is>
          <t>https://www.builtinnyc.com/company/actively-ai</t>
        </is>
      </c>
      <c r="O73" s="2" t="inlineStr">
        <is>
          <t>https://commercialobserver.com/2025/04/actively-ai-lease-30-west-21st-street/</t>
        </is>
      </c>
      <c r="P73" t="inlineStr">
        <is>
          <t>2025-04-14</t>
        </is>
      </c>
      <c r="Q73" s="2" t="inlineStr">
        <is>
          <t>https://www.actively.ai/</t>
        </is>
      </c>
      <c r="R73" t="inlineStr">
        <is>
          <t>high</t>
        </is>
      </c>
      <c r="S73" t="inlineStr">
        <is>
          <t>N</t>
        </is>
      </c>
      <c r="T73" t="inlineStr"/>
      <c r="U73" t="inlineStr"/>
      <c r="V73" s="3" t="inlineStr">
        <is>
          <t>Five-year lease, 10,722 sf on floors 9 and 10. Company site lists 30 West 21st Street, 9th Floor; Built In offices page also lists 30 W 21st St. Built In shows 65 total employees.</t>
        </is>
      </c>
      <c r="W73" t="inlineStr">
        <is>
          <t>2026-10-23</t>
        </is>
      </c>
      <c r="X73" t="inlineStr">
        <is>
          <t>unknown</t>
        </is>
      </c>
      <c r="Y73" t="inlineStr">
        <is>
          <t>candidate</t>
        </is>
      </c>
      <c r="Z73" t="inlineStr">
        <is>
          <t>occupied</t>
        </is>
      </c>
      <c r="AA73" t="inlineStr"/>
      <c r="AB73" t="inlineStr">
        <is>
          <t>2026-10-23</t>
        </is>
      </c>
      <c r="AC73" s="3" t="inlineStr"/>
      <c r="AD73" t="inlineStr">
        <is>
          <t>leasing-press</t>
        </is>
      </c>
      <c r="AE73" t="inlineStr">
        <is>
          <t>2026-10-23</t>
        </is>
      </c>
      <c r="AF73" t="inlineStr">
        <is>
          <t>no-coworking-in-building</t>
        </is>
      </c>
      <c r="AG73" t="inlineStr">
        <is>
          <t>1008220058</t>
        </is>
      </c>
      <c r="AH73" t="n">
        <v>0</v>
      </c>
      <c r="AI73" t="inlineStr">
        <is>
          <t>10,722 sf</t>
        </is>
      </c>
      <c r="AJ73" t="inlineStr">
        <is>
          <t>S2</t>
        </is>
      </c>
    </row>
    <row r="74">
      <c r="A74" t="inlineStr">
        <is>
          <t>B-C-073</t>
        </is>
      </c>
      <c r="B74" t="inlineStr">
        <is>
          <t>Vivaldi</t>
        </is>
      </c>
      <c r="C74" s="2" t="inlineStr">
        <is>
          <t>https://vivaldigroup.com</t>
        </is>
      </c>
      <c r="D74" t="inlineStr">
        <is>
          <t>brand and business strategy consultancy</t>
        </is>
      </c>
      <c r="E74" t="inlineStr">
        <is>
          <t>B-B-033</t>
        </is>
      </c>
      <c r="F74" t="inlineStr">
        <is>
          <t>30 West 21st Street</t>
        </is>
      </c>
      <c r="G74" t="inlineStr">
        <is>
          <t>12</t>
        </is>
      </c>
      <c r="H74" t="inlineStr">
        <is>
          <t>10010</t>
        </is>
      </c>
      <c r="I74" t="n">
        <v>40.74082</v>
      </c>
      <c r="J74" t="n">
        <v>-73.992366</v>
      </c>
      <c r="K74" t="inlineStr">
        <is>
          <t>Y</t>
        </is>
      </c>
      <c r="L74" t="inlineStr">
        <is>
          <t>unknown</t>
        </is>
      </c>
      <c r="M74" t="inlineStr">
        <is>
          <t>unknown</t>
        </is>
      </c>
      <c r="N74" t="inlineStr"/>
      <c r="O74" s="2" t="inlineStr">
        <is>
          <t>https://vivaldigroup.com/contact/</t>
        </is>
      </c>
      <c r="P74" t="inlineStr">
        <is>
          <t>2026-10-23</t>
        </is>
      </c>
      <c r="Q74" s="2" t="inlineStr">
        <is>
          <t>https://commercialobserver.com/2025/04/actively-ai-lease-30-west-21st-street/</t>
        </is>
      </c>
      <c r="R74" t="inlineStr">
        <is>
          <t>high</t>
        </is>
      </c>
      <c r="S74" t="inlineStr">
        <is>
          <t>N</t>
        </is>
      </c>
      <c r="T74" t="inlineStr"/>
      <c r="U74" t="inlineStr"/>
      <c r="V74" s="3" t="inlineStr">
        <is>
          <t>Contact page lists 30 West 21st Street, 12th Floor. CO calls it advertising agency Vivaldi, a tenant of the building.</t>
        </is>
      </c>
      <c r="W74" t="inlineStr">
        <is>
          <t>2026-10-23</t>
        </is>
      </c>
      <c r="X74" t="inlineStr">
        <is>
          <t>unknown</t>
        </is>
      </c>
      <c r="Y74" t="inlineStr">
        <is>
          <t>candidate</t>
        </is>
      </c>
      <c r="Z74" t="inlineStr">
        <is>
          <t>occupied</t>
        </is>
      </c>
      <c r="AA74" t="inlineStr"/>
      <c r="AB74" t="inlineStr"/>
      <c r="AC74" s="3" t="inlineStr">
        <is>
          <t>No opened source gives a count: no Built In profile with a total, the company site publishes none, and LinkedIn was off-limits. Founder to confirm at intake.</t>
        </is>
      </c>
      <c r="AD74" t="inlineStr">
        <is>
          <t>company-site</t>
        </is>
      </c>
      <c r="AE74" t="inlineStr">
        <is>
          <t>2025-04-14</t>
        </is>
      </c>
      <c r="AF74" t="inlineStr">
        <is>
          <t>no-coworking-in-building</t>
        </is>
      </c>
      <c r="AG74" t="inlineStr">
        <is>
          <t>1008220058</t>
        </is>
      </c>
      <c r="AH74" t="n">
        <v>0</v>
      </c>
      <c r="AI74" t="inlineStr"/>
      <c r="AJ74" t="inlineStr">
        <is>
          <t>S2</t>
        </is>
      </c>
    </row>
    <row r="75">
      <c r="A75" t="inlineStr">
        <is>
          <t>B-C-074</t>
        </is>
      </c>
      <c r="B75" t="inlineStr">
        <is>
          <t>General Assembly</t>
        </is>
      </c>
      <c r="C75" t="inlineStr"/>
      <c r="D75" t="inlineStr">
        <is>
          <t>tech education</t>
        </is>
      </c>
      <c r="E75" t="inlineStr">
        <is>
          <t>B-B-034</t>
        </is>
      </c>
      <c r="F75" t="inlineStr">
        <is>
          <t>915 Broadway</t>
        </is>
      </c>
      <c r="G75" t="inlineStr">
        <is>
          <t>2-4</t>
        </is>
      </c>
      <c r="H75" t="inlineStr">
        <is>
          <t>10010</t>
        </is>
      </c>
      <c r="I75" t="n">
        <v>40.739825</v>
      </c>
      <c r="J75" t="n">
        <v>-73.990005</v>
      </c>
      <c r="K75" t="inlineStr">
        <is>
          <t>Y</t>
        </is>
      </c>
      <c r="L75" t="inlineStr">
        <is>
          <t>unknown</t>
        </is>
      </c>
      <c r="M75" t="inlineStr">
        <is>
          <t>unknown</t>
        </is>
      </c>
      <c r="N75" t="inlineStr"/>
      <c r="O75" s="2" t="inlineStr">
        <is>
          <t>https://commercialobserver.com/2021/04/tech-educator-general-assembly-renews-at-915-broadway/</t>
        </is>
      </c>
      <c r="P75" t="inlineStr">
        <is>
          <t>2021-04-15</t>
        </is>
      </c>
      <c r="Q75" s="2" t="inlineStr">
        <is>
          <t>https://www.metro-manhattan.com/buildings/915-broadway-office-space-for-lease/</t>
        </is>
      </c>
      <c r="R75" t="inlineStr">
        <is>
          <t>low</t>
        </is>
      </c>
      <c r="S75" t="inlineStr">
        <is>
          <t>N</t>
        </is>
      </c>
      <c r="T75" t="inlineStr"/>
      <c r="U75" t="inlineStr"/>
      <c r="V75" s="3" t="inlineStr">
        <is>
          <t>10-year renewal (2021) of 40,158 sf on floors 2-4; a broker building page (modified 2025-10-29) still lists General Assembly as a tenant, but broker lists are often stale. Campus with classrooms; staff count not sourced. generalassembly.ly did not connect (2026-10-24), so website left blank.</t>
        </is>
      </c>
      <c r="W75" t="inlineStr">
        <is>
          <t>2026-10-23</t>
        </is>
      </c>
      <c r="X75" t="inlineStr">
        <is>
          <t>security desk</t>
        </is>
      </c>
      <c r="Y75" t="inlineStr">
        <is>
          <t>candidate</t>
        </is>
      </c>
      <c r="Z75" t="inlineStr">
        <is>
          <t>occupancy-unconfirmed</t>
        </is>
      </c>
      <c r="AA75" t="inlineStr"/>
      <c r="AB75" t="inlineStr"/>
      <c r="AC75" s="3" t="inlineStr">
        <is>
          <t>No opened source gives a count: no Built In profile with a total, the company site publishes none, and LinkedIn was off-limits. Founder to confirm at intake.</t>
        </is>
      </c>
      <c r="AD75" t="inlineStr">
        <is>
          <t>leasing-press</t>
        </is>
      </c>
      <c r="AE75" t="inlineStr">
        <is>
          <t>2025-10-29</t>
        </is>
      </c>
      <c r="AF75" t="inlineStr">
        <is>
          <t>no-coworking-in-building</t>
        </is>
      </c>
      <c r="AG75" t="inlineStr">
        <is>
          <t>1008490070</t>
        </is>
      </c>
      <c r="AH75" t="n">
        <v>0</v>
      </c>
      <c r="AI75" t="inlineStr">
        <is>
          <t>40,158 sf</t>
        </is>
      </c>
      <c r="AJ75" t="inlineStr">
        <is>
          <t>S2</t>
        </is>
      </c>
    </row>
    <row r="76">
      <c r="A76" t="inlineStr">
        <is>
          <t>B-C-075</t>
        </is>
      </c>
      <c r="B76" t="inlineStr">
        <is>
          <t>Retool</t>
        </is>
      </c>
      <c r="C76" s="2" t="inlineStr">
        <is>
          <t>https://retool.com</t>
        </is>
      </c>
      <c r="D76" t="inlineStr">
        <is>
          <t>software (internal tools platform)</t>
        </is>
      </c>
      <c r="E76" t="inlineStr">
        <is>
          <t>B-B-034</t>
        </is>
      </c>
      <c r="F76" t="inlineStr">
        <is>
          <t>915 Broadway</t>
        </is>
      </c>
      <c r="G76" t="inlineStr"/>
      <c r="H76" t="inlineStr">
        <is>
          <t>10010</t>
        </is>
      </c>
      <c r="I76" t="n">
        <v>40.739825</v>
      </c>
      <c r="J76" t="n">
        <v>-73.990005</v>
      </c>
      <c r="K76" t="inlineStr">
        <is>
          <t>Y</t>
        </is>
      </c>
      <c r="L76" t="inlineStr">
        <is>
          <t>251-500</t>
        </is>
      </c>
      <c r="M76" t="inlineStr">
        <is>
          <t>whole-company</t>
        </is>
      </c>
      <c r="N76" s="2" t="inlineStr">
        <is>
          <t>https://www.builtinnyc.com/company/retool</t>
        </is>
      </c>
      <c r="O76" s="2" t="inlineStr">
        <is>
          <t>https://www.builtinnyc.com/company/retool/offices</t>
        </is>
      </c>
      <c r="P76" t="inlineStr">
        <is>
          <t>2026-10-23</t>
        </is>
      </c>
      <c r="Q76" t="inlineStr"/>
      <c r="R76" t="inlineStr">
        <is>
          <t>medium</t>
        </is>
      </c>
      <c r="S76" t="inlineStr">
        <is>
          <t>N</t>
        </is>
      </c>
      <c r="T76" t="inlineStr"/>
      <c r="U76" t="inlineStr"/>
      <c r="V76" s="3" t="inlineStr">
        <is>
          <t>Built In lists a New York office at 915 Broadway (HQ San Francisco). Built In shows 350 total employees; NYC office size not sourced.</t>
        </is>
      </c>
      <c r="W76" t="inlineStr">
        <is>
          <t>2026-10-23</t>
        </is>
      </c>
      <c r="X76" t="inlineStr">
        <is>
          <t>security desk</t>
        </is>
      </c>
      <c r="Y76" t="inlineStr">
        <is>
          <t>candidate</t>
        </is>
      </c>
      <c r="Z76" t="inlineStr">
        <is>
          <t>occupied</t>
        </is>
      </c>
      <c r="AA76" t="inlineStr"/>
      <c r="AB76" t="inlineStr">
        <is>
          <t>2026-10-23</t>
        </is>
      </c>
      <c r="AC76" s="3" t="inlineStr"/>
      <c r="AD76" t="inlineStr">
        <is>
          <t>builtin</t>
        </is>
      </c>
      <c r="AE76" t="inlineStr"/>
      <c r="AF76" t="inlineStr">
        <is>
          <t>no-coworking-in-building</t>
        </is>
      </c>
      <c r="AG76" t="inlineStr">
        <is>
          <t>1008490070</t>
        </is>
      </c>
      <c r="AH76" t="n">
        <v>0</v>
      </c>
      <c r="AI76" t="inlineStr"/>
      <c r="AJ76" t="inlineStr">
        <is>
          <t>S2</t>
        </is>
      </c>
    </row>
    <row r="77">
      <c r="A77" t="inlineStr">
        <is>
          <t>B-C-076</t>
        </is>
      </c>
      <c r="B77" t="inlineStr">
        <is>
          <t>Euclidean Capital</t>
        </is>
      </c>
      <c r="C77" t="inlineStr"/>
      <c r="D77" t="inlineStr">
        <is>
          <t>investment management (family office)</t>
        </is>
      </c>
      <c r="E77" t="inlineStr">
        <is>
          <t>B-B-035</t>
        </is>
      </c>
      <c r="F77" t="inlineStr">
        <is>
          <t>149 Fifth Avenue</t>
        </is>
      </c>
      <c r="G77" t="inlineStr"/>
      <c r="H77" t="inlineStr">
        <is>
          <t>10010</t>
        </is>
      </c>
      <c r="I77" t="n">
        <v>40.740215</v>
      </c>
      <c r="J77" t="n">
        <v>-73.990004</v>
      </c>
      <c r="K77" t="inlineStr">
        <is>
          <t>Y</t>
        </is>
      </c>
      <c r="L77" t="inlineStr">
        <is>
          <t>unknown</t>
        </is>
      </c>
      <c r="M77" t="inlineStr">
        <is>
          <t>unknown</t>
        </is>
      </c>
      <c r="N77" t="inlineStr"/>
      <c r="O77" s="2" t="inlineStr">
        <is>
          <t>https://commercialobserver.com/2025/01/euclidean-capital-lease-149-fifth-avenue/</t>
        </is>
      </c>
      <c r="P77" t="inlineStr">
        <is>
          <t>2025-01-08</t>
        </is>
      </c>
      <c r="Q77" t="inlineStr"/>
      <c r="R77" t="inlineStr">
        <is>
          <t>medium</t>
        </is>
      </c>
      <c r="S77" t="inlineStr">
        <is>
          <t>N</t>
        </is>
      </c>
      <c r="T77" t="inlineStr"/>
      <c r="U77" t="inlineStr"/>
      <c r="V77" s="3" t="inlineStr">
        <is>
          <t>23,000 sf on two floors; CO says it also has offices at 160 Fifth Avenue (per its LinkedIn page, which we did not open). Family office of the late Jim Simons. Website not confirmed (euclidean.com opened but shows no address).</t>
        </is>
      </c>
      <c r="W77" t="inlineStr">
        <is>
          <t>2026-10-23</t>
        </is>
      </c>
      <c r="X77" t="inlineStr">
        <is>
          <t>unknown</t>
        </is>
      </c>
      <c r="Y77" t="inlineStr">
        <is>
          <t>candidate</t>
        </is>
      </c>
      <c r="Z77" t="inlineStr">
        <is>
          <t>occupancy-unconfirmed</t>
        </is>
      </c>
      <c r="AA77" t="inlineStr"/>
      <c r="AB77" t="inlineStr"/>
      <c r="AC77" s="3" t="inlineStr">
        <is>
          <t>No opened source gives a count: no Built In profile with a total, the company site publishes none, and LinkedIn was off-limits. Founder to confirm at intake.</t>
        </is>
      </c>
      <c r="AD77" t="inlineStr">
        <is>
          <t>leasing-press</t>
        </is>
      </c>
      <c r="AE77" t="inlineStr"/>
      <c r="AF77" t="inlineStr">
        <is>
          <t>no-coworking-in-building</t>
        </is>
      </c>
      <c r="AG77" t="inlineStr">
        <is>
          <t>1008500001</t>
        </is>
      </c>
      <c r="AH77" t="n">
        <v>0</v>
      </c>
      <c r="AI77" t="inlineStr">
        <is>
          <t>23,000 sf</t>
        </is>
      </c>
      <c r="AJ77" t="inlineStr">
        <is>
          <t>S2</t>
        </is>
      </c>
    </row>
    <row r="78">
      <c r="A78" t="inlineStr">
        <is>
          <t>B-C-077</t>
        </is>
      </c>
      <c r="B78" t="inlineStr">
        <is>
          <t>Cobalt Service Partners</t>
        </is>
      </c>
      <c r="C78" s="2" t="inlineStr">
        <is>
          <t>https://www.cobaltsp.com</t>
        </is>
      </c>
      <c r="D78" t="inlineStr">
        <is>
          <t>private equity (industrial services)</t>
        </is>
      </c>
      <c r="E78" t="inlineStr">
        <is>
          <t>B-B-036</t>
        </is>
      </c>
      <c r="F78" t="inlineStr">
        <is>
          <t>53 West 21st Street</t>
        </is>
      </c>
      <c r="G78" t="inlineStr"/>
      <c r="H78" t="inlineStr">
        <is>
          <t>10010</t>
        </is>
      </c>
      <c r="I78" t="n">
        <v>40.741548</v>
      </c>
      <c r="J78" t="n">
        <v>-73.99300700000001</v>
      </c>
      <c r="K78" t="inlineStr">
        <is>
          <t>Y</t>
        </is>
      </c>
      <c r="L78" t="inlineStr">
        <is>
          <t>unknown</t>
        </is>
      </c>
      <c r="M78" t="inlineStr">
        <is>
          <t>unknown</t>
        </is>
      </c>
      <c r="N78" t="inlineStr"/>
      <c r="O78" s="2" t="inlineStr">
        <is>
          <t>https://commercialobserver.com/2025/02/cobalt-service-partners-lease-40-west-17th-street/</t>
        </is>
      </c>
      <c r="P78" t="inlineStr">
        <is>
          <t>2025-02-06</t>
        </is>
      </c>
      <c r="Q78" s="2" t="inlineStr">
        <is>
          <t>https://commercialobserver.com/2025/05/instant-lease-moinian-53-55-west-21st-street/</t>
        </is>
      </c>
      <c r="R78" t="inlineStr">
        <is>
          <t>medium</t>
        </is>
      </c>
      <c r="S78" t="inlineStr">
        <is>
          <t>N</t>
        </is>
      </c>
      <c r="T78" t="inlineStr"/>
      <c r="U78" t="inlineStr"/>
      <c r="V78" s="3" t="inlineStr">
        <is>
          <t>Five-year, 5,000 sf lease, relocating from 1,500 sf at 40 W 17th St. A later CO article (same publisher) lists it as a current tenant. Company site shows no address. Headcount not sourced; may be under 40.</t>
        </is>
      </c>
      <c r="W78" t="inlineStr">
        <is>
          <t>2026-10-23</t>
        </is>
      </c>
      <c r="X78" t="inlineStr">
        <is>
          <t>unknown</t>
        </is>
      </c>
      <c r="Y78" t="inlineStr">
        <is>
          <t>candidate</t>
        </is>
      </c>
      <c r="Z78" t="inlineStr">
        <is>
          <t>occupied</t>
        </is>
      </c>
      <c r="AA78" t="inlineStr"/>
      <c r="AB78" t="inlineStr"/>
      <c r="AC78" s="3" t="inlineStr">
        <is>
          <t>No opened source gives a count: no Built In profile with a total, the company site publishes none, and LinkedIn was off-limits. Founder to confirm at intake.</t>
        </is>
      </c>
      <c r="AD78" t="inlineStr">
        <is>
          <t>leasing-press</t>
        </is>
      </c>
      <c r="AE78" t="inlineStr">
        <is>
          <t>2025-05-14</t>
        </is>
      </c>
      <c r="AF78" t="inlineStr">
        <is>
          <t>no-coworking-in-building</t>
        </is>
      </c>
      <c r="AG78" t="inlineStr">
        <is>
          <t>1008230009</t>
        </is>
      </c>
      <c r="AH78" t="n">
        <v>0</v>
      </c>
      <c r="AI78" t="inlineStr">
        <is>
          <t>5,000 sf; 1,500 sf</t>
        </is>
      </c>
      <c r="AJ78" t="inlineStr">
        <is>
          <t>S2</t>
        </is>
      </c>
    </row>
    <row r="79">
      <c r="A79" t="inlineStr">
        <is>
          <t>B-C-078</t>
        </is>
      </c>
      <c r="B79" t="inlineStr">
        <is>
          <t>Instant</t>
        </is>
      </c>
      <c r="C79" s="2" t="inlineStr">
        <is>
          <t>https://instant.one</t>
        </is>
      </c>
      <c r="D79" t="inlineStr">
        <is>
          <t>software (e-commerce checkout and marketing)</t>
        </is>
      </c>
      <c r="E79" t="inlineStr">
        <is>
          <t>B-B-036</t>
        </is>
      </c>
      <c r="F79" t="inlineStr">
        <is>
          <t>53 West 21st Street</t>
        </is>
      </c>
      <c r="G79" t="inlineStr"/>
      <c r="H79" t="inlineStr">
        <is>
          <t>10010</t>
        </is>
      </c>
      <c r="I79" t="n">
        <v>40.741548</v>
      </c>
      <c r="J79" t="n">
        <v>-73.99300700000001</v>
      </c>
      <c r="K79" t="inlineStr">
        <is>
          <t>Y</t>
        </is>
      </c>
      <c r="L79" t="inlineStr">
        <is>
          <t>40-75</t>
        </is>
      </c>
      <c r="M79" t="inlineStr">
        <is>
          <t>whole-company</t>
        </is>
      </c>
      <c r="N79" s="2" t="inlineStr">
        <is>
          <t>https://www.builtinnyc.com/company/instant</t>
        </is>
      </c>
      <c r="O79" s="2" t="inlineStr">
        <is>
          <t>https://commercialobserver.com/2025/05/instant-lease-moinian-53-55-west-21st-street/</t>
        </is>
      </c>
      <c r="P79" t="inlineStr">
        <is>
          <t>2025-05-14</t>
        </is>
      </c>
      <c r="Q79" t="inlineStr"/>
      <c r="R79" t="inlineStr">
        <is>
          <t>medium</t>
        </is>
      </c>
      <c r="S79" t="inlineStr">
        <is>
          <t>N</t>
        </is>
      </c>
      <c r="T79" t="inlineStr"/>
      <c r="U79" t="inlineStr"/>
      <c r="V79" s="3" t="inlineStr">
        <is>
          <t>First NYC office, three-year furnished lease of 5,000 sf at 53-55 W 21st St (Moinian), move-in June 2025. Sydney-based. Built In shows 40 total employees (whole company), so the NYC team is likely smaller.</t>
        </is>
      </c>
      <c r="W79" t="inlineStr">
        <is>
          <t>2026-10-23</t>
        </is>
      </c>
      <c r="X79" t="inlineStr">
        <is>
          <t>unknown</t>
        </is>
      </c>
      <c r="Y79" t="inlineStr">
        <is>
          <t>candidate</t>
        </is>
      </c>
      <c r="Z79" t="inlineStr">
        <is>
          <t>occupied</t>
        </is>
      </c>
      <c r="AA79" t="inlineStr"/>
      <c r="AB79" t="inlineStr">
        <is>
          <t>2026-10-23</t>
        </is>
      </c>
      <c r="AC79" s="3" t="inlineStr"/>
      <c r="AD79" t="inlineStr">
        <is>
          <t>leasing-press</t>
        </is>
      </c>
      <c r="AE79" t="inlineStr"/>
      <c r="AF79" t="inlineStr">
        <is>
          <t>no-coworking-in-building</t>
        </is>
      </c>
      <c r="AG79" t="inlineStr">
        <is>
          <t>1008230009</t>
        </is>
      </c>
      <c r="AH79" t="n">
        <v>0</v>
      </c>
      <c r="AI79" t="inlineStr">
        <is>
          <t>5,000 sf</t>
        </is>
      </c>
      <c r="AJ79" t="inlineStr">
        <is>
          <t>S2</t>
        </is>
      </c>
    </row>
    <row r="80">
      <c r="A80" t="inlineStr">
        <is>
          <t>B-C-079</t>
        </is>
      </c>
      <c r="B80" t="inlineStr">
        <is>
          <t>PlayPlay</t>
        </is>
      </c>
      <c r="C80" s="2" t="inlineStr">
        <is>
          <t>https://playplay.com</t>
        </is>
      </c>
      <c r="D80" t="inlineStr">
        <is>
          <t>software (video creation)</t>
        </is>
      </c>
      <c r="E80" t="inlineStr">
        <is>
          <t>B-B-036</t>
        </is>
      </c>
      <c r="F80" t="inlineStr">
        <is>
          <t>53 West 21st Street</t>
        </is>
      </c>
      <c r="G80" t="inlineStr"/>
      <c r="H80" t="inlineStr">
        <is>
          <t>10010</t>
        </is>
      </c>
      <c r="I80" t="n">
        <v>40.741548</v>
      </c>
      <c r="J80" t="n">
        <v>-73.99300700000001</v>
      </c>
      <c r="K80" t="inlineStr">
        <is>
          <t>Y</t>
        </is>
      </c>
      <c r="L80" t="inlineStr">
        <is>
          <t>151-250</t>
        </is>
      </c>
      <c r="M80" t="inlineStr">
        <is>
          <t>whole-company</t>
        </is>
      </c>
      <c r="N80" s="2" t="inlineStr">
        <is>
          <t>https://www.builtinnyc.com/company/playplay</t>
        </is>
      </c>
      <c r="O80" s="2" t="inlineStr">
        <is>
          <t>https://commercialobserver.com/2025/05/instant-lease-moinian-53-55-west-21st-street/</t>
        </is>
      </c>
      <c r="P80" t="inlineStr">
        <is>
          <t>2025-05-14</t>
        </is>
      </c>
      <c r="Q80" t="inlineStr"/>
      <c r="R80" t="inlineStr">
        <is>
          <t>medium</t>
        </is>
      </c>
      <c r="S80" t="inlineStr">
        <is>
          <t>N</t>
        </is>
      </c>
      <c r="T80" t="inlineStr"/>
      <c r="U80" t="inlineStr"/>
      <c r="V80" s="3" t="inlineStr">
        <is>
          <t>CO names 'French tech firm PlayPlay' as a tenant of 53-55 W 21st St. Built In shows 230 total employees (Paris-based; NYC team size unknown); Built In office entry shows only a Delaware registered address.</t>
        </is>
      </c>
      <c r="W80" t="inlineStr">
        <is>
          <t>2026-10-23</t>
        </is>
      </c>
      <c r="X80" t="inlineStr">
        <is>
          <t>unknown</t>
        </is>
      </c>
      <c r="Y80" t="inlineStr">
        <is>
          <t>candidate</t>
        </is>
      </c>
      <c r="Z80" t="inlineStr">
        <is>
          <t>occupied</t>
        </is>
      </c>
      <c r="AA80" t="inlineStr"/>
      <c r="AB80" t="inlineStr">
        <is>
          <t>2026-10-23</t>
        </is>
      </c>
      <c r="AC80" s="3" t="inlineStr"/>
      <c r="AD80" t="inlineStr">
        <is>
          <t>leasing-press</t>
        </is>
      </c>
      <c r="AE80" t="inlineStr"/>
      <c r="AF80" t="inlineStr">
        <is>
          <t>no-coworking-in-building</t>
        </is>
      </c>
      <c r="AG80" t="inlineStr">
        <is>
          <t>1008230009</t>
        </is>
      </c>
      <c r="AH80" t="n">
        <v>0</v>
      </c>
      <c r="AI80" t="inlineStr"/>
      <c r="AJ80" t="inlineStr">
        <is>
          <t>S2</t>
        </is>
      </c>
    </row>
    <row r="81">
      <c r="A81" t="inlineStr">
        <is>
          <t>B-C-080</t>
        </is>
      </c>
      <c r="B81" t="inlineStr">
        <is>
          <t>Varley</t>
        </is>
      </c>
      <c r="C81" s="2" t="inlineStr">
        <is>
          <t>https://www.varley.com</t>
        </is>
      </c>
      <c r="D81" t="inlineStr">
        <is>
          <t>fashion brand (offices)</t>
        </is>
      </c>
      <c r="E81" t="inlineStr">
        <is>
          <t>B-B-037</t>
        </is>
      </c>
      <c r="F81" t="inlineStr">
        <is>
          <t>155 Fifth Avenue</t>
        </is>
      </c>
      <c r="G81" t="inlineStr"/>
      <c r="H81" t="inlineStr">
        <is>
          <t>10010</t>
        </is>
      </c>
      <c r="I81" t="n">
        <v>40.740438</v>
      </c>
      <c r="J81" t="n">
        <v>-73.99003399999999</v>
      </c>
      <c r="K81" t="inlineStr">
        <is>
          <t>Y</t>
        </is>
      </c>
      <c r="L81" t="inlineStr">
        <is>
          <t>unknown</t>
        </is>
      </c>
      <c r="M81" t="inlineStr">
        <is>
          <t>unknown</t>
        </is>
      </c>
      <c r="N81" t="inlineStr"/>
      <c r="O81" s="2" t="inlineStr">
        <is>
          <t>https://commercialobserver.com/2025/04/vitesse-psp-lease-155-fifth-avenue/</t>
        </is>
      </c>
      <c r="P81" t="inlineStr">
        <is>
          <t>2025-04-25</t>
        </is>
      </c>
      <c r="Q81" t="inlineStr"/>
      <c r="R81" t="inlineStr">
        <is>
          <t>medium</t>
        </is>
      </c>
      <c r="S81" t="inlineStr">
        <is>
          <t>N</t>
        </is>
      </c>
      <c r="T81" t="inlineStr"/>
      <c r="U81" t="inlineStr"/>
      <c r="V81" s="3" t="inlineStr">
        <is>
          <t>CO lists 'the offices of fashion retailer Varley' as the only other tenant at 155 Fifth. Contact page opened shows no address.</t>
        </is>
      </c>
      <c r="W81" t="inlineStr">
        <is>
          <t>2026-10-23</t>
        </is>
      </c>
      <c r="X81" t="inlineStr">
        <is>
          <t>unknown</t>
        </is>
      </c>
      <c r="Y81" t="inlineStr">
        <is>
          <t>candidate</t>
        </is>
      </c>
      <c r="Z81" t="inlineStr">
        <is>
          <t>occupied</t>
        </is>
      </c>
      <c r="AA81" t="inlineStr"/>
      <c r="AB81" t="inlineStr"/>
      <c r="AC81" s="3" t="inlineStr">
        <is>
          <t>No opened source gives a count: no Built In profile with a total, the company site publishes none, and LinkedIn was off-limits. Founder to confirm at intake.</t>
        </is>
      </c>
      <c r="AD81" t="inlineStr">
        <is>
          <t>leasing-press</t>
        </is>
      </c>
      <c r="AE81" t="inlineStr"/>
      <c r="AF81" t="inlineStr">
        <is>
          <t>no-coworking-in-building</t>
        </is>
      </c>
      <c r="AG81" t="inlineStr">
        <is>
          <t>1008500004</t>
        </is>
      </c>
      <c r="AH81" t="n">
        <v>0</v>
      </c>
      <c r="AI81" t="inlineStr"/>
      <c r="AJ81" t="inlineStr">
        <is>
          <t>S2</t>
        </is>
      </c>
    </row>
    <row r="82">
      <c r="A82" t="inlineStr">
        <is>
          <t>B-C-081</t>
        </is>
      </c>
      <c r="B82" t="inlineStr">
        <is>
          <t>Vitesse PSP</t>
        </is>
      </c>
      <c r="C82" s="2" t="inlineStr">
        <is>
          <t>https://www.vitesse.io</t>
        </is>
      </c>
      <c r="D82" t="inlineStr">
        <is>
          <t>fintech (payments and treasury)</t>
        </is>
      </c>
      <c r="E82" t="inlineStr">
        <is>
          <t>B-B-037</t>
        </is>
      </c>
      <c r="F82" t="inlineStr">
        <is>
          <t>155 Fifth Avenue</t>
        </is>
      </c>
      <c r="G82" t="inlineStr"/>
      <c r="H82" t="inlineStr">
        <is>
          <t>10010</t>
        </is>
      </c>
      <c r="I82" t="n">
        <v>40.740438</v>
      </c>
      <c r="J82" t="n">
        <v>-73.99003399999999</v>
      </c>
      <c r="K82" t="inlineStr">
        <is>
          <t>Y</t>
        </is>
      </c>
      <c r="L82" t="inlineStr">
        <is>
          <t>unknown</t>
        </is>
      </c>
      <c r="M82" t="inlineStr">
        <is>
          <t>unknown</t>
        </is>
      </c>
      <c r="N82" t="inlineStr"/>
      <c r="O82" s="2" t="inlineStr">
        <is>
          <t>https://commercialobserver.com/2025/04/vitesse-psp-lease-155-fifth-avenue/</t>
        </is>
      </c>
      <c r="P82" t="inlineStr">
        <is>
          <t>2025-04-25</t>
        </is>
      </c>
      <c r="Q82" t="inlineStr"/>
      <c r="R82" t="inlineStr">
        <is>
          <t>medium</t>
        </is>
      </c>
      <c r="S82" t="inlineStr">
        <is>
          <t>N</t>
        </is>
      </c>
      <c r="T82" t="inlineStr"/>
      <c r="U82" t="inlineStr"/>
      <c r="V82" s="3" t="inlineStr">
        <is>
          <t>5,200 sf lease (CO citing Crain's). London-based; NYC office size suggests a small team, headcount not sourced.</t>
        </is>
      </c>
      <c r="W82" t="inlineStr">
        <is>
          <t>2026-10-23</t>
        </is>
      </c>
      <c r="X82" t="inlineStr">
        <is>
          <t>unknown</t>
        </is>
      </c>
      <c r="Y82" t="inlineStr">
        <is>
          <t>candidate</t>
        </is>
      </c>
      <c r="Z82" t="inlineStr">
        <is>
          <t>occupancy-unconfirmed</t>
        </is>
      </c>
      <c r="AA82" t="inlineStr"/>
      <c r="AB82" t="inlineStr"/>
      <c r="AC82" s="3" t="inlineStr">
        <is>
          <t>No opened source gives a count: no Built In profile with a total, the company site publishes none, and LinkedIn was off-limits. Founder to confirm at intake.</t>
        </is>
      </c>
      <c r="AD82" t="inlineStr">
        <is>
          <t>leasing-press</t>
        </is>
      </c>
      <c r="AE82" t="inlineStr"/>
      <c r="AF82" t="inlineStr">
        <is>
          <t>no-coworking-in-building</t>
        </is>
      </c>
      <c r="AG82" t="inlineStr">
        <is>
          <t>1008500004</t>
        </is>
      </c>
      <c r="AH82" t="n">
        <v>0</v>
      </c>
      <c r="AI82" t="inlineStr">
        <is>
          <t>5,200 sf</t>
        </is>
      </c>
      <c r="AJ82" t="inlineStr">
        <is>
          <t>S2</t>
        </is>
      </c>
    </row>
    <row r="83">
      <c r="A83" t="inlineStr">
        <is>
          <t>B-C-082</t>
        </is>
      </c>
      <c r="B83" t="inlineStr">
        <is>
          <t>Candid Health</t>
        </is>
      </c>
      <c r="C83" s="2" t="inlineStr">
        <is>
          <t>https://www.candidhealth.com</t>
        </is>
      </c>
      <c r="D83" t="inlineStr">
        <is>
          <t>software (healthcare billing)</t>
        </is>
      </c>
      <c r="E83" t="inlineStr">
        <is>
          <t>B-B-038</t>
        </is>
      </c>
      <c r="F83" t="inlineStr">
        <is>
          <t>675 Avenue of the Americas</t>
        </is>
      </c>
      <c r="G83" t="inlineStr">
        <is>
          <t>3</t>
        </is>
      </c>
      <c r="H83" t="inlineStr">
        <is>
          <t>10010</t>
        </is>
      </c>
      <c r="I83" t="n">
        <v>40.742133</v>
      </c>
      <c r="J83" t="n">
        <v>-73.99399099999999</v>
      </c>
      <c r="K83" t="inlineStr">
        <is>
          <t>Y</t>
        </is>
      </c>
      <c r="L83" t="inlineStr">
        <is>
          <t>251-500</t>
        </is>
      </c>
      <c r="M83" t="inlineStr">
        <is>
          <t>whole-company</t>
        </is>
      </c>
      <c r="N83" s="2" t="inlineStr">
        <is>
          <t>https://www.builtinnyc.com/company/candid</t>
        </is>
      </c>
      <c r="O83" s="2" t="inlineStr">
        <is>
          <t>https://commercialobserver.com/2026/01/candid-health-lease-675-avenue-of-the-americas/</t>
        </is>
      </c>
      <c r="P83" t="inlineStr">
        <is>
          <t>2026-01-27</t>
        </is>
      </c>
      <c r="Q83" s="2" t="inlineStr">
        <is>
          <t>https://rebusinessonline.com/candid-health-signs-28687-sf-office-lease-in-midtown-manhattan/</t>
        </is>
      </c>
      <c r="R83" t="inlineStr">
        <is>
          <t>medium</t>
        </is>
      </c>
      <c r="S83" t="inlineStr">
        <is>
          <t>N</t>
        </is>
      </c>
      <c r="T83" t="inlineStr"/>
      <c r="U83" t="inlineStr"/>
      <c r="V83" s="3" t="inlineStr">
        <is>
          <t>Seven-year, 28,687 sf lease on the 3rd floor, relocating from 44 W 28th St. Built In (slug 'candid', 256 total employees) still lists 44 W 28th St and Columbus OH. CMO quoted on an intentional in-office culture.</t>
        </is>
      </c>
      <c r="W83" t="inlineStr">
        <is>
          <t>2026-10-23</t>
        </is>
      </c>
      <c r="X83" t="inlineStr">
        <is>
          <t>unknown</t>
        </is>
      </c>
      <c r="Y83" t="inlineStr">
        <is>
          <t>candidate</t>
        </is>
      </c>
      <c r="Z83" t="inlineStr">
        <is>
          <t>signed-not-occupied</t>
        </is>
      </c>
      <c r="AA83" t="inlineStr">
        <is>
          <t>unknown</t>
        </is>
      </c>
      <c r="AB83" t="inlineStr">
        <is>
          <t>2026-10-23</t>
        </is>
      </c>
      <c r="AC83" s="3" t="inlineStr"/>
      <c r="AD83" t="inlineStr">
        <is>
          <t>leasing-press</t>
        </is>
      </c>
      <c r="AE83" t="inlineStr">
        <is>
          <t>2026-04-13</t>
        </is>
      </c>
      <c r="AF83" t="inlineStr">
        <is>
          <t>no-coworking-in-building</t>
        </is>
      </c>
      <c r="AG83" t="inlineStr">
        <is>
          <t>1007970037</t>
        </is>
      </c>
      <c r="AH83" t="n">
        <v>0</v>
      </c>
      <c r="AI83" t="inlineStr">
        <is>
          <t>28,687 sf</t>
        </is>
      </c>
      <c r="AJ83" t="inlineStr">
        <is>
          <t>S2</t>
        </is>
      </c>
    </row>
    <row r="84">
      <c r="A84" t="inlineStr">
        <is>
          <t>B-C-083</t>
        </is>
      </c>
      <c r="B84" t="inlineStr">
        <is>
          <t>CompStak</t>
        </is>
      </c>
      <c r="C84" s="2" t="inlineStr">
        <is>
          <t>https://compstak.com</t>
        </is>
      </c>
      <c r="D84" t="inlineStr">
        <is>
          <t>software (commercial real estate data)</t>
        </is>
      </c>
      <c r="E84" t="inlineStr">
        <is>
          <t>B-B-038</t>
        </is>
      </c>
      <c r="F84" t="inlineStr">
        <is>
          <t>675 Avenue of the Americas</t>
        </is>
      </c>
      <c r="G84" t="inlineStr">
        <is>
          <t>4</t>
        </is>
      </c>
      <c r="H84" t="inlineStr">
        <is>
          <t>10010</t>
        </is>
      </c>
      <c r="I84" t="n">
        <v>40.742133</v>
      </c>
      <c r="J84" t="n">
        <v>-73.99399099999999</v>
      </c>
      <c r="K84" t="inlineStr">
        <is>
          <t>Y</t>
        </is>
      </c>
      <c r="L84" t="inlineStr">
        <is>
          <t>76-150</t>
        </is>
      </c>
      <c r="M84" t="inlineStr">
        <is>
          <t>whole-company</t>
        </is>
      </c>
      <c r="N84" s="2" t="inlineStr">
        <is>
          <t>https://www.builtinnyc.com/company/compstak</t>
        </is>
      </c>
      <c r="O84" s="2" t="inlineStr">
        <is>
          <t>https://www.builtinnyc.com/company/compstak/offices</t>
        </is>
      </c>
      <c r="P84" t="inlineStr">
        <is>
          <t>2026-10-23</t>
        </is>
      </c>
      <c r="Q84" s="2" t="inlineStr">
        <is>
          <t>https://commercialobserver.com/2022/12/compstak-leases-27k-sf-at-675-avenue-of-the-americas/</t>
        </is>
      </c>
      <c r="R84" t="inlineStr">
        <is>
          <t>high</t>
        </is>
      </c>
      <c r="S84" t="inlineStr">
        <is>
          <t>N</t>
        </is>
      </c>
      <c r="T84" t="inlineStr"/>
      <c r="U84" t="inlineStr"/>
      <c r="V84" s="3" t="inlineStr">
        <is>
          <t>Built In lists HQ at 675 6th Ave, 4th Floor; CO Dec 2022 reported the five-year, 25,644 sf HQ lease (term runs to about 2027). Built In shows 150 total employees.</t>
        </is>
      </c>
      <c r="W84" t="inlineStr">
        <is>
          <t>2026-10-23</t>
        </is>
      </c>
      <c r="X84" t="inlineStr">
        <is>
          <t>unknown</t>
        </is>
      </c>
      <c r="Y84" t="inlineStr">
        <is>
          <t>candidate</t>
        </is>
      </c>
      <c r="Z84" t="inlineStr">
        <is>
          <t>occupied</t>
        </is>
      </c>
      <c r="AA84" t="inlineStr"/>
      <c r="AB84" t="inlineStr">
        <is>
          <t>2026-10-23</t>
        </is>
      </c>
      <c r="AC84" s="3" t="inlineStr"/>
      <c r="AD84" t="inlineStr">
        <is>
          <t>builtin</t>
        </is>
      </c>
      <c r="AE84" t="inlineStr">
        <is>
          <t>2022-12-20</t>
        </is>
      </c>
      <c r="AF84" t="inlineStr">
        <is>
          <t>no-coworking-in-building</t>
        </is>
      </c>
      <c r="AG84" t="inlineStr">
        <is>
          <t>1007970037</t>
        </is>
      </c>
      <c r="AH84" t="n">
        <v>0</v>
      </c>
      <c r="AI84" t="inlineStr">
        <is>
          <t>25,644 sf</t>
        </is>
      </c>
      <c r="AJ84" t="inlineStr">
        <is>
          <t>S2</t>
        </is>
      </c>
    </row>
    <row r="85">
      <c r="A85" t="inlineStr">
        <is>
          <t>B-C-084</t>
        </is>
      </c>
      <c r="B85" t="inlineStr">
        <is>
          <t>Synthesia</t>
        </is>
      </c>
      <c r="C85" s="2" t="inlineStr">
        <is>
          <t>https://www.synthesia.io</t>
        </is>
      </c>
      <c r="D85" t="inlineStr">
        <is>
          <t>software (AI video)</t>
        </is>
      </c>
      <c r="E85" t="inlineStr">
        <is>
          <t>B-B-038</t>
        </is>
      </c>
      <c r="F85" t="inlineStr">
        <is>
          <t>675 Avenue of the Americas</t>
        </is>
      </c>
      <c r="G85" t="inlineStr"/>
      <c r="H85" t="inlineStr">
        <is>
          <t>10010</t>
        </is>
      </c>
      <c r="I85" t="n">
        <v>40.742133</v>
      </c>
      <c r="J85" t="n">
        <v>-73.99399099999999</v>
      </c>
      <c r="K85" t="inlineStr">
        <is>
          <t>Y</t>
        </is>
      </c>
      <c r="L85" t="inlineStr">
        <is>
          <t>251-500</t>
        </is>
      </c>
      <c r="M85" t="inlineStr">
        <is>
          <t>whole-company</t>
        </is>
      </c>
      <c r="N85" s="2" t="inlineStr">
        <is>
          <t>https://www.builtinnyc.com/company/synthesia</t>
        </is>
      </c>
      <c r="O85" s="2" t="inlineStr">
        <is>
          <t>https://commercialobserver.com/2026/10/synthesia-lease-gfp-675-avenue-of-the-americas/</t>
        </is>
      </c>
      <c r="P85" t="inlineStr">
        <is>
          <t>2026-10-08</t>
        </is>
      </c>
      <c r="Q85" t="inlineStr"/>
      <c r="R85" t="inlineStr">
        <is>
          <t>medium</t>
        </is>
      </c>
      <c r="S85" t="inlineStr">
        <is>
          <t>N</t>
        </is>
      </c>
      <c r="T85" t="inlineStr"/>
      <c r="U85" t="inlineStr"/>
      <c r="V85" s="3" t="inlineStr">
        <is>
          <t>50,000 sf lease for new U.S. HQ, signed Oct 2026; move date unknown. Current NYC office is 245 Fifth Avenue (NoMad, outside slice) per CO; Built In offices page lists 111 E 14th St (older). Built In shows 428 total employees; London-based company.</t>
        </is>
      </c>
      <c r="W85" t="inlineStr">
        <is>
          <t>2026-10-23</t>
        </is>
      </c>
      <c r="X85" t="inlineStr">
        <is>
          <t>unknown</t>
        </is>
      </c>
      <c r="Y85" t="inlineStr">
        <is>
          <t>candidate</t>
        </is>
      </c>
      <c r="Z85" t="inlineStr">
        <is>
          <t>signed-not-occupied</t>
        </is>
      </c>
      <c r="AA85" t="inlineStr">
        <is>
          <t>unknown</t>
        </is>
      </c>
      <c r="AB85" t="inlineStr">
        <is>
          <t>2026-10-23</t>
        </is>
      </c>
      <c r="AC85" s="3" t="inlineStr"/>
      <c r="AD85" t="inlineStr">
        <is>
          <t>leasing-press</t>
        </is>
      </c>
      <c r="AE85" t="inlineStr"/>
      <c r="AF85" t="inlineStr">
        <is>
          <t>no-coworking-in-building</t>
        </is>
      </c>
      <c r="AG85" t="inlineStr">
        <is>
          <t>1007970037</t>
        </is>
      </c>
      <c r="AH85" t="n">
        <v>0</v>
      </c>
      <c r="AI85" t="inlineStr">
        <is>
          <t>50,000 sf</t>
        </is>
      </c>
      <c r="AJ85" t="inlineStr">
        <is>
          <t>S2</t>
        </is>
      </c>
    </row>
    <row r="86">
      <c r="A86" t="inlineStr">
        <is>
          <t>B-C-085</t>
        </is>
      </c>
      <c r="B86" t="inlineStr">
        <is>
          <t>Empathy</t>
        </is>
      </c>
      <c r="C86" s="2" t="inlineStr">
        <is>
          <t>https://www.empathy.com</t>
        </is>
      </c>
      <c r="D86" t="inlineStr">
        <is>
          <t>software and services (bereavement support, insurtech)</t>
        </is>
      </c>
      <c r="E86" t="inlineStr">
        <is>
          <t>B-B-039</t>
        </is>
      </c>
      <c r="F86" t="inlineStr">
        <is>
          <t>56 West 22nd Street</t>
        </is>
      </c>
      <c r="G86" t="inlineStr">
        <is>
          <t>PH</t>
        </is>
      </c>
      <c r="H86" t="inlineStr">
        <is>
          <t>10010</t>
        </is>
      </c>
      <c r="I86" t="n">
        <v>40.741838</v>
      </c>
      <c r="J86" t="n">
        <v>-73.992892</v>
      </c>
      <c r="K86" t="inlineStr">
        <is>
          <t>Y</t>
        </is>
      </c>
      <c r="L86" t="inlineStr">
        <is>
          <t>151-250</t>
        </is>
      </c>
      <c r="M86" t="inlineStr">
        <is>
          <t>whole-company</t>
        </is>
      </c>
      <c r="N86" s="2" t="inlineStr">
        <is>
          <t>https://www.builtinnyc.com/company/empathy</t>
        </is>
      </c>
      <c r="O86" s="2" t="inlineStr">
        <is>
          <t>https://www.builtinnyc.com/company/empathy/offices</t>
        </is>
      </c>
      <c r="P86" t="inlineStr">
        <is>
          <t>2026-10-23</t>
        </is>
      </c>
      <c r="Q86" s="2" t="inlineStr">
        <is>
          <t>https://commercialobserver.com/2024/03/nyu-langones-empathy-project-takes-6k-sf-in-flatiron-district/</t>
        </is>
      </c>
      <c r="R86" t="inlineStr">
        <is>
          <t>high</t>
        </is>
      </c>
      <c r="S86" t="inlineStr">
        <is>
          <t>N</t>
        </is>
      </c>
      <c r="T86" t="inlineStr"/>
      <c r="U86" t="inlineStr"/>
      <c r="V86" s="3" t="inlineStr">
        <is>
          <t>Built In lists HQ at 56 W 22nd St; CO Mar 2024 reported the HQ move to the 5,508 sf penthouse. Built In shows 200 total employees.</t>
        </is>
      </c>
      <c r="W86" t="inlineStr">
        <is>
          <t>2026-10-23</t>
        </is>
      </c>
      <c r="X86" t="inlineStr">
        <is>
          <t>unknown</t>
        </is>
      </c>
      <c r="Y86" t="inlineStr">
        <is>
          <t>candidate</t>
        </is>
      </c>
      <c r="Z86" t="inlineStr">
        <is>
          <t>occupied</t>
        </is>
      </c>
      <c r="AA86" t="inlineStr"/>
      <c r="AB86" t="inlineStr">
        <is>
          <t>2026-10-23</t>
        </is>
      </c>
      <c r="AC86" s="3" t="inlineStr"/>
      <c r="AD86" t="inlineStr">
        <is>
          <t>builtin</t>
        </is>
      </c>
      <c r="AE86" t="inlineStr">
        <is>
          <t>2024-03-06</t>
        </is>
      </c>
      <c r="AF86" t="inlineStr">
        <is>
          <t>no-coworking-in-building</t>
        </is>
      </c>
      <c r="AG86" t="inlineStr">
        <is>
          <t>1008230073</t>
        </is>
      </c>
      <c r="AH86" t="n">
        <v>0</v>
      </c>
      <c r="AI86" t="inlineStr">
        <is>
          <t>5,508 sf</t>
        </is>
      </c>
      <c r="AJ86" t="inlineStr">
        <is>
          <t>S2</t>
        </is>
      </c>
    </row>
    <row r="87">
      <c r="A87" t="inlineStr">
        <is>
          <t>B-C-086</t>
        </is>
      </c>
      <c r="B87" t="inlineStr">
        <is>
          <t>Sharma Brands</t>
        </is>
      </c>
      <c r="C87" s="2" t="inlineStr">
        <is>
          <t>https://sharmabrands.com</t>
        </is>
      </c>
      <c r="D87" t="inlineStr">
        <is>
          <t>brand strategy agency / brand holding company</t>
        </is>
      </c>
      <c r="E87" t="inlineStr">
        <is>
          <t>B-B-039</t>
        </is>
      </c>
      <c r="F87" t="inlineStr">
        <is>
          <t>56 West 22nd Street</t>
        </is>
      </c>
      <c r="G87" t="inlineStr">
        <is>
          <t>11</t>
        </is>
      </c>
      <c r="H87" t="inlineStr">
        <is>
          <t>10010</t>
        </is>
      </c>
      <c r="I87" t="n">
        <v>40.741838</v>
      </c>
      <c r="J87" t="n">
        <v>-73.992892</v>
      </c>
      <c r="K87" t="inlineStr">
        <is>
          <t>Y</t>
        </is>
      </c>
      <c r="L87" t="inlineStr">
        <is>
          <t>unknown</t>
        </is>
      </c>
      <c r="M87" t="inlineStr">
        <is>
          <t>unknown</t>
        </is>
      </c>
      <c r="N87" t="inlineStr"/>
      <c r="O87" s="2" t="inlineStr">
        <is>
          <t>https://commercialobserver.com/2022/11/sharma-brands-leases-6k-sf-at-56-west-22nd-street/</t>
        </is>
      </c>
      <c r="P87" t="inlineStr">
        <is>
          <t>2022-11-29</t>
        </is>
      </c>
      <c r="Q87" t="inlineStr"/>
      <c r="R87" t="inlineStr">
        <is>
          <t>low</t>
        </is>
      </c>
      <c r="S87" t="inlineStr">
        <is>
          <t>N</t>
        </is>
      </c>
      <c r="T87" t="inlineStr"/>
      <c r="U87" t="inlineStr"/>
      <c r="V87" s="3" t="inlineStr">
        <is>
          <t>Five-year lease (2022) of the full 11th floor (5,508 sf), shared with portfolio company 1180 Media. Not re-confirmed; site shows no address.</t>
        </is>
      </c>
      <c r="W87" t="inlineStr">
        <is>
          <t>2026-10-23</t>
        </is>
      </c>
      <c r="X87" t="inlineStr">
        <is>
          <t>unknown</t>
        </is>
      </c>
      <c r="Y87" t="inlineStr">
        <is>
          <t>candidate</t>
        </is>
      </c>
      <c r="Z87" t="inlineStr">
        <is>
          <t>occupancy-unconfirmed</t>
        </is>
      </c>
      <c r="AA87" t="inlineStr"/>
      <c r="AB87" t="inlineStr"/>
      <c r="AC87" s="3" t="inlineStr">
        <is>
          <t>No opened source gives a count: no Built In profile with a total, the company site publishes none, and LinkedIn was off-limits. Founder to confirm at intake.</t>
        </is>
      </c>
      <c r="AD87" t="inlineStr">
        <is>
          <t>leasing-press</t>
        </is>
      </c>
      <c r="AE87" t="inlineStr"/>
      <c r="AF87" t="inlineStr">
        <is>
          <t>no-coworking-in-building</t>
        </is>
      </c>
      <c r="AG87" t="inlineStr">
        <is>
          <t>1008230073</t>
        </is>
      </c>
      <c r="AH87" t="n">
        <v>0</v>
      </c>
      <c r="AI87" t="inlineStr">
        <is>
          <t>5,508 sf</t>
        </is>
      </c>
      <c r="AJ87" t="inlineStr">
        <is>
          <t>S2</t>
        </is>
      </c>
    </row>
    <row r="88">
      <c r="A88" t="inlineStr">
        <is>
          <t>B-C-087</t>
        </is>
      </c>
      <c r="B88" t="inlineStr">
        <is>
          <t>The Information</t>
        </is>
      </c>
      <c r="C88" s="2" t="inlineStr">
        <is>
          <t>https://www.theinformation.com</t>
        </is>
      </c>
      <c r="D88" t="inlineStr">
        <is>
          <t>digital media (tech news)</t>
        </is>
      </c>
      <c r="E88" t="inlineStr">
        <is>
          <t>B-B-040</t>
        </is>
      </c>
      <c r="F88" t="inlineStr">
        <is>
          <t>20 West 22nd Street</t>
        </is>
      </c>
      <c r="G88" t="inlineStr">
        <is>
          <t>10 (Suite 1006)</t>
        </is>
      </c>
      <c r="H88" t="inlineStr">
        <is>
          <t>10010</t>
        </is>
      </c>
      <c r="I88" t="n">
        <v>40.74129</v>
      </c>
      <c r="J88" t="n">
        <v>-73.991589</v>
      </c>
      <c r="K88" t="inlineStr">
        <is>
          <t>Y</t>
        </is>
      </c>
      <c r="L88" t="inlineStr">
        <is>
          <t>unknown</t>
        </is>
      </c>
      <c r="M88" t="inlineStr">
        <is>
          <t>unknown</t>
        </is>
      </c>
      <c r="N88" t="inlineStr"/>
      <c r="O88" s="2" t="inlineStr">
        <is>
          <t>https://www.theinformation.com/about</t>
        </is>
      </c>
      <c r="P88" t="inlineStr">
        <is>
          <t>2026-10-23</t>
        </is>
      </c>
      <c r="Q88" s="2" t="inlineStr">
        <is>
          <t>https://commercialobserver.com/2022/06/the-information-20-west-22nd-street/</t>
        </is>
      </c>
      <c r="R88" t="inlineStr">
        <is>
          <t>medium</t>
        </is>
      </c>
      <c r="S88" t="inlineStr">
        <is>
          <t>N</t>
        </is>
      </c>
      <c r="T88" t="inlineStr"/>
      <c r="U88" t="inlineStr"/>
      <c r="V88" s="3" t="inlineStr">
        <is>
          <t>About page lists the East Coast Bureau at 20 West 22nd Street, Suite 1006. CO 2022: 5,830 sf on part of the 10th floor. San Francisco HQ; NYC bureau may be under 40 people (not sourced).</t>
        </is>
      </c>
      <c r="W88" t="inlineStr">
        <is>
          <t>2026-10-23</t>
        </is>
      </c>
      <c r="X88" t="inlineStr">
        <is>
          <t>security desk</t>
        </is>
      </c>
      <c r="Y88" t="inlineStr">
        <is>
          <t>candidate</t>
        </is>
      </c>
      <c r="Z88" t="inlineStr">
        <is>
          <t>occupied</t>
        </is>
      </c>
      <c r="AA88" t="inlineStr"/>
      <c r="AB88" t="inlineStr"/>
      <c r="AC88" s="3" t="inlineStr">
        <is>
          <t>No opened source gives a count: no Built In profile with a total, the company site publishes none, and LinkedIn was off-limits. Founder to confirm at intake.</t>
        </is>
      </c>
      <c r="AD88" t="inlineStr">
        <is>
          <t>company-site</t>
        </is>
      </c>
      <c r="AE88" t="inlineStr">
        <is>
          <t>2022-06-15</t>
        </is>
      </c>
      <c r="AF88" t="inlineStr">
        <is>
          <t>no-coworking-in-building</t>
        </is>
      </c>
      <c r="AG88" t="inlineStr">
        <is>
          <t>1008230055</t>
        </is>
      </c>
      <c r="AH88" t="n">
        <v>0</v>
      </c>
      <c r="AI88" t="inlineStr">
        <is>
          <t>5,830 sf</t>
        </is>
      </c>
      <c r="AJ88" t="inlineStr">
        <is>
          <t>S2</t>
        </is>
      </c>
    </row>
    <row r="89">
      <c r="A89" t="inlineStr">
        <is>
          <t>B-C-088</t>
        </is>
      </c>
      <c r="B89" t="inlineStr">
        <is>
          <t>Heard City</t>
        </is>
      </c>
      <c r="C89" s="2" t="inlineStr">
        <is>
          <t>https://www.heardcity.com</t>
        </is>
      </c>
      <c r="D89" t="inlineStr">
        <is>
          <t>audio post-production studio</t>
        </is>
      </c>
      <c r="E89" t="inlineStr">
        <is>
          <t>B-B-041</t>
        </is>
      </c>
      <c r="F89" t="inlineStr">
        <is>
          <t>16 West 22nd Street</t>
        </is>
      </c>
      <c r="G89" t="inlineStr">
        <is>
          <t>5</t>
        </is>
      </c>
      <c r="H89" t="inlineStr">
        <is>
          <t>10010</t>
        </is>
      </c>
      <c r="I89" t="n">
        <v>40.741269</v>
      </c>
      <c r="J89" t="n">
        <v>-73.991221</v>
      </c>
      <c r="K89" t="inlineStr">
        <is>
          <t>Y</t>
        </is>
      </c>
      <c r="L89" t="inlineStr">
        <is>
          <t>unknown</t>
        </is>
      </c>
      <c r="M89" t="inlineStr">
        <is>
          <t>unknown</t>
        </is>
      </c>
      <c r="N89" t="inlineStr"/>
      <c r="O89" s="2" t="inlineStr">
        <is>
          <t>https://www.heardcity.com/contact</t>
        </is>
      </c>
      <c r="P89" t="inlineStr">
        <is>
          <t>2026-10-23</t>
        </is>
      </c>
      <c r="Q89" s="2" t="inlineStr">
        <is>
          <t>https://commercialobserver.com/2022/02/recording-studio-heard-city-re-ups-13k-sf-lease-in-flatiron-district/</t>
        </is>
      </c>
      <c r="R89" t="inlineStr">
        <is>
          <t>medium</t>
        </is>
      </c>
      <c r="S89" t="inlineStr">
        <is>
          <t>N</t>
        </is>
      </c>
      <c r="T89" t="inlineStr"/>
      <c r="U89" t="inlineStr"/>
      <c r="V89" s="3" t="inlineStr">
        <is>
          <t>Contact page lists 16 West 22nd St., 5th Floor; CO 2022 reported a 10-year renewal of the full 5th floor (13,000 sf). Headcount not sourced; may be under 40. Pin moved at assembly from street index 21.30 to the south frontage of 22th St named by the address (tax lot unchanged; the geocoder had placed it on the far side of the lot).</t>
        </is>
      </c>
      <c r="W89" t="inlineStr">
        <is>
          <t>2026-10-23</t>
        </is>
      </c>
      <c r="X89" t="inlineStr">
        <is>
          <t>unknown</t>
        </is>
      </c>
      <c r="Y89" t="inlineStr">
        <is>
          <t>candidate</t>
        </is>
      </c>
      <c r="Z89" t="inlineStr">
        <is>
          <t>occupied</t>
        </is>
      </c>
      <c r="AA89" t="inlineStr"/>
      <c r="AB89" t="inlineStr"/>
      <c r="AC89" s="3" t="inlineStr">
        <is>
          <t>No opened source gives a count: no Built In profile with a total, the company site publishes none, and LinkedIn was off-limits. Founder to confirm at intake.</t>
        </is>
      </c>
      <c r="AD89" t="inlineStr">
        <is>
          <t>company-site</t>
        </is>
      </c>
      <c r="AE89" t="inlineStr">
        <is>
          <t>2022-02-25</t>
        </is>
      </c>
      <c r="AF89" t="inlineStr">
        <is>
          <t>no-coworking-in-building</t>
        </is>
      </c>
      <c r="AG89" t="inlineStr">
        <is>
          <t>1008230029</t>
        </is>
      </c>
      <c r="AH89" t="n">
        <v>0</v>
      </c>
      <c r="AI89" t="inlineStr">
        <is>
          <t>13,000 sf</t>
        </is>
      </c>
      <c r="AJ89" t="inlineStr">
        <is>
          <t>S2</t>
        </is>
      </c>
    </row>
    <row r="90">
      <c r="A90" t="inlineStr">
        <is>
          <t>B-C-089</t>
        </is>
      </c>
      <c r="B90" t="inlineStr">
        <is>
          <t>Sussex Publishers (Psychology Today)</t>
        </is>
      </c>
      <c r="C90" s="2" t="inlineStr">
        <is>
          <t>https://www.psychologytoday.com</t>
        </is>
      </c>
      <c r="D90" t="inlineStr">
        <is>
          <t>publishing / digital media</t>
        </is>
      </c>
      <c r="E90" t="inlineStr">
        <is>
          <t>B-B-041</t>
        </is>
      </c>
      <c r="F90" t="inlineStr">
        <is>
          <t>16 West 22nd Street</t>
        </is>
      </c>
      <c r="G90" t="inlineStr">
        <is>
          <t>2</t>
        </is>
      </c>
      <c r="H90" t="inlineStr">
        <is>
          <t>10010</t>
        </is>
      </c>
      <c r="I90" t="n">
        <v>40.741269</v>
      </c>
      <c r="J90" t="n">
        <v>-73.991221</v>
      </c>
      <c r="K90" t="inlineStr">
        <is>
          <t>Y</t>
        </is>
      </c>
      <c r="L90" t="inlineStr">
        <is>
          <t>unknown</t>
        </is>
      </c>
      <c r="M90" t="inlineStr">
        <is>
          <t>unknown</t>
        </is>
      </c>
      <c r="N90" t="inlineStr"/>
      <c r="O90" s="2" t="inlineStr">
        <is>
          <t>https://commercialobserver.com/2023/11/psychology-today-16-west-22nd-street-lease-relocation/</t>
        </is>
      </c>
      <c r="P90" t="inlineStr">
        <is>
          <t>2023-11-27</t>
        </is>
      </c>
      <c r="Q90" t="inlineStr"/>
      <c r="R90" t="inlineStr">
        <is>
          <t>low</t>
        </is>
      </c>
      <c r="S90" t="inlineStr">
        <is>
          <t>N</t>
        </is>
      </c>
      <c r="T90" t="inlineStr"/>
      <c r="U90" t="inlineStr"/>
      <c r="V90" s="3" t="inlineStr">
        <is>
          <t>Six-year, 3,285 sf lease on the 2nd floor (2023), relocating from 115 W 23rd St. Small space; headcount not sourced and may be under 40. Pin moved at assembly from street index 21.30 to the south frontage of 22th St named by the address (tax lot unchanged; the geocoder had placed it on the far side of the lot).</t>
        </is>
      </c>
      <c r="W90" t="inlineStr">
        <is>
          <t>2026-10-23</t>
        </is>
      </c>
      <c r="X90" t="inlineStr">
        <is>
          <t>unknown</t>
        </is>
      </c>
      <c r="Y90" t="inlineStr">
        <is>
          <t>candidate</t>
        </is>
      </c>
      <c r="Z90" t="inlineStr">
        <is>
          <t>occupancy-unconfirmed</t>
        </is>
      </c>
      <c r="AA90" t="inlineStr"/>
      <c r="AB90" t="inlineStr"/>
      <c r="AC90" s="3" t="inlineStr">
        <is>
          <t>No opened source gives a count: no Built In profile with a total, the company site publishes none, and LinkedIn was off-limits. Founder to confirm at intake.</t>
        </is>
      </c>
      <c r="AD90" t="inlineStr">
        <is>
          <t>leasing-press</t>
        </is>
      </c>
      <c r="AE90" t="inlineStr"/>
      <c r="AF90" t="inlineStr">
        <is>
          <t>no-coworking-in-building</t>
        </is>
      </c>
      <c r="AG90" t="inlineStr">
        <is>
          <t>1008230029</t>
        </is>
      </c>
      <c r="AH90" t="n">
        <v>0</v>
      </c>
      <c r="AI90" t="inlineStr">
        <is>
          <t>3,285 sf</t>
        </is>
      </c>
      <c r="AJ90" t="inlineStr">
        <is>
          <t>S2</t>
        </is>
      </c>
    </row>
    <row r="91">
      <c r="A91" t="inlineStr">
        <is>
          <t>B-C-090</t>
        </is>
      </c>
      <c r="B91" t="inlineStr">
        <is>
          <t>Hungryroot</t>
        </is>
      </c>
      <c r="C91" s="2" t="inlineStr">
        <is>
          <t>https://www.hungryroot.com</t>
        </is>
      </c>
      <c r="D91" t="inlineStr">
        <is>
          <t>food delivery (grocery and meal kits)</t>
        </is>
      </c>
      <c r="E91" t="inlineStr">
        <is>
          <t>B-B-043</t>
        </is>
      </c>
      <c r="F91" t="inlineStr">
        <is>
          <t>7 West 22nd Street</t>
        </is>
      </c>
      <c r="G91" t="inlineStr">
        <is>
          <t>6</t>
        </is>
      </c>
      <c r="H91" t="inlineStr">
        <is>
          <t>10010</t>
        </is>
      </c>
      <c r="I91" t="n">
        <v>40.741355</v>
      </c>
      <c r="J91" t="n">
        <v>-73.99059800000001</v>
      </c>
      <c r="K91" t="inlineStr">
        <is>
          <t>Y</t>
        </is>
      </c>
      <c r="L91" t="inlineStr">
        <is>
          <t>151-250</t>
        </is>
      </c>
      <c r="M91" t="inlineStr">
        <is>
          <t>whole-company</t>
        </is>
      </c>
      <c r="N91" s="2" t="inlineStr">
        <is>
          <t>https://www.builtinnyc.com/company/hungryroot</t>
        </is>
      </c>
      <c r="O91" s="2" t="inlineStr">
        <is>
          <t>https://commercialobserver.com/2019/11/hungryroot-lease-7-west-22nd-street/</t>
        </is>
      </c>
      <c r="P91" t="inlineStr">
        <is>
          <t>2019-11-25</t>
        </is>
      </c>
      <c r="Q91" t="inlineStr"/>
      <c r="R91" t="inlineStr">
        <is>
          <t>low</t>
        </is>
      </c>
      <c r="S91" t="inlineStr">
        <is>
          <t>N</t>
        </is>
      </c>
      <c r="T91" t="inlineStr"/>
      <c r="U91" t="inlineStr"/>
      <c r="V91" s="3" t="inlineStr">
        <is>
          <t>Five-year lease (2019) of 10,000 sf on the 6th floor; term likely ended around 2024 and no current confirmation found (Built In lists HQ New York without a street; site terms show no address). Built In shows 200 total employees. Food company: possible brand-side contact too.</t>
        </is>
      </c>
      <c r="W91" t="inlineStr">
        <is>
          <t>2026-10-23</t>
        </is>
      </c>
      <c r="X91" t="inlineStr">
        <is>
          <t>unknown</t>
        </is>
      </c>
      <c r="Y91" t="inlineStr">
        <is>
          <t>candidate</t>
        </is>
      </c>
      <c r="Z91" t="inlineStr">
        <is>
          <t>occupancy-unconfirmed</t>
        </is>
      </c>
      <c r="AA91" t="inlineStr"/>
      <c r="AB91" t="inlineStr">
        <is>
          <t>2026-10-23</t>
        </is>
      </c>
      <c r="AC91" s="3" t="inlineStr"/>
      <c r="AD91" t="inlineStr">
        <is>
          <t>leasing-press</t>
        </is>
      </c>
      <c r="AE91" t="inlineStr"/>
      <c r="AF91" t="inlineStr">
        <is>
          <t>no-coworking-in-building</t>
        </is>
      </c>
      <c r="AG91" t="inlineStr">
        <is>
          <t>1008240032</t>
        </is>
      </c>
      <c r="AH91" t="n">
        <v>0</v>
      </c>
      <c r="AI91" t="inlineStr">
        <is>
          <t>10,000 sf</t>
        </is>
      </c>
      <c r="AJ91" t="inlineStr">
        <is>
          <t>S2</t>
        </is>
      </c>
    </row>
    <row r="92">
      <c r="A92" t="inlineStr">
        <is>
          <t>B-C-091</t>
        </is>
      </c>
      <c r="B92" t="inlineStr">
        <is>
          <t>1stDibs</t>
        </is>
      </c>
      <c r="C92" s="2" t="inlineStr">
        <is>
          <t>https://www.1stdibs.com/</t>
        </is>
      </c>
      <c r="D92" t="inlineStr">
        <is>
          <t>Online marketplace (design, art, antiques)</t>
        </is>
      </c>
      <c r="E92" t="inlineStr">
        <is>
          <t>B-B-044</t>
        </is>
      </c>
      <c r="F92" t="inlineStr">
        <is>
          <t>300 Park Avenue South</t>
        </is>
      </c>
      <c r="G92" t="inlineStr">
        <is>
          <t>10</t>
        </is>
      </c>
      <c r="H92" t="inlineStr">
        <is>
          <t>10010</t>
        </is>
      </c>
      <c r="I92" t="n">
        <v>40.739848</v>
      </c>
      <c r="J92" t="n">
        <v>-73.987027</v>
      </c>
      <c r="K92" t="inlineStr">
        <is>
          <t>Y</t>
        </is>
      </c>
      <c r="L92" t="inlineStr">
        <is>
          <t>251-500</t>
        </is>
      </c>
      <c r="M92" t="inlineStr">
        <is>
          <t>whole-company</t>
        </is>
      </c>
      <c r="N92" s="2" t="inlineStr">
        <is>
          <t>https://www.builtinnyc.com/company/1stdibs/offices</t>
        </is>
      </c>
      <c r="O92" s="2" t="inlineStr">
        <is>
          <t>https://www.1stdibs.com/about/user-agreement/</t>
        </is>
      </c>
      <c r="P92" t="inlineStr">
        <is>
          <t>2026-10-23</t>
        </is>
      </c>
      <c r="Q92" s="2" t="inlineStr">
        <is>
          <t>https://commercialobserver.com/2025/08/flexible-finance-relocating-41k-sf-300-park-avenue-south/</t>
        </is>
      </c>
      <c r="R92" t="inlineStr">
        <is>
          <t>high</t>
        </is>
      </c>
      <c r="S92" t="inlineStr">
        <is>
          <t>N</t>
        </is>
      </c>
      <c r="T92" t="inlineStr"/>
      <c r="U92" t="inlineStr"/>
      <c r="V92" s="3" t="inlineStr">
        <is>
          <t>Company user agreement and privacy policy (live) give 300 Park Avenue South, 10th Floor. CO Mar 2024: HQ move from 51 Astor Place, 13,671 sf; CO Aug 2025 lists 1stDibs as a current tenant. Built In: 455 total employees (profile still shows 51 Astor Place).</t>
        </is>
      </c>
      <c r="W92" t="inlineStr">
        <is>
          <t>2026-10-23</t>
        </is>
      </c>
      <c r="X92" t="inlineStr">
        <is>
          <t>security desk</t>
        </is>
      </c>
      <c r="Y92" t="inlineStr">
        <is>
          <t>candidate</t>
        </is>
      </c>
      <c r="Z92" t="inlineStr">
        <is>
          <t>occupied</t>
        </is>
      </c>
      <c r="AA92" t="inlineStr"/>
      <c r="AB92" t="inlineStr">
        <is>
          <t>2026-10-23</t>
        </is>
      </c>
      <c r="AC92" s="3" t="inlineStr"/>
      <c r="AD92" t="inlineStr">
        <is>
          <t>company-site</t>
        </is>
      </c>
      <c r="AE92" t="inlineStr">
        <is>
          <t>2025-08-18</t>
        </is>
      </c>
      <c r="AF92" t="inlineStr">
        <is>
          <t>no-coworking-in-building</t>
        </is>
      </c>
      <c r="AG92" t="inlineStr">
        <is>
          <t>1008510035</t>
        </is>
      </c>
      <c r="AH92" t="n">
        <v>0</v>
      </c>
      <c r="AI92" t="inlineStr">
        <is>
          <t>13,671 sf</t>
        </is>
      </c>
      <c r="AJ92" t="inlineStr">
        <is>
          <t>S3</t>
        </is>
      </c>
    </row>
    <row r="93">
      <c r="A93" t="inlineStr">
        <is>
          <t>B-C-092</t>
        </is>
      </c>
      <c r="B93" t="inlineStr">
        <is>
          <t>Flexible Finance (Flex)</t>
        </is>
      </c>
      <c r="C93" t="inlineStr"/>
      <c r="D93" t="inlineStr">
        <is>
          <t>fintech (flexible rent payments)</t>
        </is>
      </c>
      <c r="E93" t="inlineStr">
        <is>
          <t>B-B-044</t>
        </is>
      </c>
      <c r="F93" t="inlineStr">
        <is>
          <t>300 Park Avenue South</t>
        </is>
      </c>
      <c r="G93" t="inlineStr">
        <is>
          <t>top three floors</t>
        </is>
      </c>
      <c r="H93" t="inlineStr">
        <is>
          <t>10010</t>
        </is>
      </c>
      <c r="I93" t="n">
        <v>40.739848</v>
      </c>
      <c r="J93" t="n">
        <v>-73.987027</v>
      </c>
      <c r="K93" t="inlineStr">
        <is>
          <t>Y</t>
        </is>
      </c>
      <c r="L93" t="inlineStr">
        <is>
          <t>unknown</t>
        </is>
      </c>
      <c r="M93" t="inlineStr">
        <is>
          <t>unknown</t>
        </is>
      </c>
      <c r="N93" t="inlineStr"/>
      <c r="O93" s="2" t="inlineStr">
        <is>
          <t>https://commercialobserver.com/2025/08/flexible-finance-relocating-41k-sf-300-park-avenue-south/</t>
        </is>
      </c>
      <c r="P93" t="inlineStr">
        <is>
          <t>2025-08-18</t>
        </is>
      </c>
      <c r="Q93" s="2" t="inlineStr">
        <is>
          <t>https://therealdeal.com/new-york/2025/09/02/top-office-leases-nyc-in-august-2025/</t>
        </is>
      </c>
      <c r="R93" t="inlineStr">
        <is>
          <t>medium</t>
        </is>
      </c>
      <c r="S93" t="inlineStr">
        <is>
          <t>N</t>
        </is>
      </c>
      <c r="T93" t="inlineStr"/>
      <c r="U93" t="inlineStr"/>
      <c r="V93" s="3" t="inlineStr">
        <is>
          <t>41,000 sf lease of the top three floors, relocating from 33 Irving Place (also margin). TRD's August 2025 top-leases list repeats the deal. 300 PAS is on the 22nd-23rd St block, so margin. Company website not confirmed; headcount not sourced (Built In 'flex' is a different LA company).</t>
        </is>
      </c>
      <c r="W93" t="inlineStr">
        <is>
          <t>2026-10-23</t>
        </is>
      </c>
      <c r="X93" t="inlineStr">
        <is>
          <t>security desk</t>
        </is>
      </c>
      <c r="Y93" t="inlineStr">
        <is>
          <t>candidate</t>
        </is>
      </c>
      <c r="Z93" t="inlineStr">
        <is>
          <t>occupancy-unconfirmed</t>
        </is>
      </c>
      <c r="AA93" t="inlineStr"/>
      <c r="AB93" t="inlineStr"/>
      <c r="AC93" s="3" t="inlineStr">
        <is>
          <t>The Built In 'flex' profile is a different LA company.</t>
        </is>
      </c>
      <c r="AD93" t="inlineStr">
        <is>
          <t>leasing-press</t>
        </is>
      </c>
      <c r="AE93" t="inlineStr">
        <is>
          <t>2025-09-02</t>
        </is>
      </c>
      <c r="AF93" t="inlineStr">
        <is>
          <t>no-coworking-in-building</t>
        </is>
      </c>
      <c r="AG93" t="inlineStr">
        <is>
          <t>1008510035</t>
        </is>
      </c>
      <c r="AH93" t="n">
        <v>0</v>
      </c>
      <c r="AI93" t="inlineStr">
        <is>
          <t>41,000 sf</t>
        </is>
      </c>
      <c r="AJ93" t="inlineStr">
        <is>
          <t>S2</t>
        </is>
      </c>
    </row>
    <row r="94">
      <c r="A94" t="inlineStr">
        <is>
          <t>B-C-093</t>
        </is>
      </c>
      <c r="B94" t="inlineStr">
        <is>
          <t>Kodansha USA</t>
        </is>
      </c>
      <c r="C94" s="2" t="inlineStr">
        <is>
          <t>https://kodansha.us/</t>
        </is>
      </c>
      <c r="D94" t="inlineStr">
        <is>
          <t>Publishing (manga and books)</t>
        </is>
      </c>
      <c r="E94" t="inlineStr">
        <is>
          <t>B-B-045</t>
        </is>
      </c>
      <c r="F94" t="inlineStr">
        <is>
          <t>25 East 22nd Street</t>
        </is>
      </c>
      <c r="G94" t="inlineStr">
        <is>
          <t>building owner-occupant</t>
        </is>
      </c>
      <c r="H94" t="inlineStr">
        <is>
          <t>10010</t>
        </is>
      </c>
      <c r="I94" t="n">
        <v>40.740287</v>
      </c>
      <c r="J94" t="n">
        <v>-73.98805</v>
      </c>
      <c r="K94" t="inlineStr">
        <is>
          <t>Y</t>
        </is>
      </c>
      <c r="L94" t="inlineStr">
        <is>
          <t>unknown</t>
        </is>
      </c>
      <c r="M94" t="inlineStr">
        <is>
          <t>unknown</t>
        </is>
      </c>
      <c r="N94" t="inlineStr"/>
      <c r="O94" s="2" t="inlineStr">
        <is>
          <t>https://kodansha.us/privacy-policy/</t>
        </is>
      </c>
      <c r="P94" t="inlineStr">
        <is>
          <t>2026-10-23</t>
        </is>
      </c>
      <c r="Q94" s="2" t="inlineStr">
        <is>
          <t>https://flatironnomad.nyc/2024/02/07/january-news-roundup-5/</t>
        </is>
      </c>
      <c r="R94" t="inlineStr">
        <is>
          <t>medium</t>
        </is>
      </c>
      <c r="S94" t="inlineStr">
        <is>
          <t>N</t>
        </is>
      </c>
      <c r="T94" t="inlineStr"/>
      <c r="U94" t="inlineStr"/>
      <c r="V94" s="3" t="inlineStr">
        <is>
          <t>Kodansha USA privacy policy (live) gives 25 East 22nd Street, New York, NY 10010. FNP Feb 2024 roundup (citing Crain's) reports Kodansha bought the six-story, 17,000 sf building. Headcount not found in an opened source.</t>
        </is>
      </c>
      <c r="W94" t="inlineStr">
        <is>
          <t>2026-10-23</t>
        </is>
      </c>
      <c r="X94" t="inlineStr">
        <is>
          <t>unknown</t>
        </is>
      </c>
      <c r="Y94" t="inlineStr">
        <is>
          <t>candidate</t>
        </is>
      </c>
      <c r="Z94" t="inlineStr">
        <is>
          <t>occupied</t>
        </is>
      </c>
      <c r="AA94" t="inlineStr"/>
      <c r="AB94" t="inlineStr"/>
      <c r="AC94" s="3" t="inlineStr">
        <is>
          <t>No opened source gives a count: no Built In profile with a total, the company site publishes none, and LinkedIn was off-limits. Founder to confirm at intake.</t>
        </is>
      </c>
      <c r="AD94" t="inlineStr">
        <is>
          <t>company-site</t>
        </is>
      </c>
      <c r="AE94" t="inlineStr">
        <is>
          <t>2024-02-07</t>
        </is>
      </c>
      <c r="AF94" t="inlineStr">
        <is>
          <t>no-coworking-in-building</t>
        </is>
      </c>
      <c r="AG94" t="inlineStr">
        <is>
          <t>1008510022</t>
        </is>
      </c>
      <c r="AH94" t="n">
        <v>0</v>
      </c>
      <c r="AI94" t="inlineStr">
        <is>
          <t>17,000 sf</t>
        </is>
      </c>
      <c r="AJ94" t="inlineStr">
        <is>
          <t>S3</t>
        </is>
      </c>
    </row>
    <row r="95">
      <c r="A95" t="inlineStr">
        <is>
          <t>B-C-094</t>
        </is>
      </c>
      <c r="B95" t="inlineStr">
        <is>
          <t>BMF (We Are BMF)</t>
        </is>
      </c>
      <c r="C95" s="2" t="inlineStr">
        <is>
          <t>https://wearebmf.com/</t>
        </is>
      </c>
      <c r="D95" t="inlineStr">
        <is>
          <t>Marketing / experiential agency</t>
        </is>
      </c>
      <c r="E95" t="inlineStr">
        <is>
          <t>B-B-046</t>
        </is>
      </c>
      <c r="F95" t="inlineStr">
        <is>
          <t>50 West 23rd Street</t>
        </is>
      </c>
      <c r="G95" t="inlineStr">
        <is>
          <t>unknown</t>
        </is>
      </c>
      <c r="H95" t="inlineStr">
        <is>
          <t>10010</t>
        </is>
      </c>
      <c r="I95" t="n">
        <v>40.742075</v>
      </c>
      <c r="J95" t="n">
        <v>-73.991811</v>
      </c>
      <c r="K95" t="inlineStr">
        <is>
          <t>Y</t>
        </is>
      </c>
      <c r="L95" t="inlineStr">
        <is>
          <t>40-75</t>
        </is>
      </c>
      <c r="M95" t="inlineStr">
        <is>
          <t>whole-company</t>
        </is>
      </c>
      <c r="N95" s="2" t="inlineStr">
        <is>
          <t>https://www.builtinnyc.com/company/bmf/offices</t>
        </is>
      </c>
      <c r="O95" s="2" t="inlineStr">
        <is>
          <t>https://commercialobserver.com/?p=544473</t>
        </is>
      </c>
      <c r="P95" t="inlineStr">
        <is>
          <t>2025-09-09</t>
        </is>
      </c>
      <c r="Q95" s="2" t="inlineStr">
        <is>
          <t>https://nyrej.com/index.php/two-new-leases-signed-at-50-west-23rd-st</t>
        </is>
      </c>
      <c r="R95" t="inlineStr">
        <is>
          <t>medium</t>
        </is>
      </c>
      <c r="S95" t="inlineStr">
        <is>
          <t>N</t>
        </is>
      </c>
      <c r="T95" t="inlineStr"/>
      <c r="U95" t="inlineStr"/>
      <c r="V95" s="3" t="inlineStr">
        <is>
          <t>CO and NYREJ both list 'marketing agency BMF' as a tenant; both derive from the same Two Trees announcement, so treated as one source. Company site shows no street address. Built In: 70 total employees, HQ New York (no street). Search snippets show '50 West 23rd Street, 7th Floor' in agency directories (not opened; floor unverified, founder to confirm).</t>
        </is>
      </c>
      <c r="W95" t="inlineStr">
        <is>
          <t>2026-10-23</t>
        </is>
      </c>
      <c r="X95" t="inlineStr">
        <is>
          <t>security desk</t>
        </is>
      </c>
      <c r="Y95" t="inlineStr">
        <is>
          <t>candidate</t>
        </is>
      </c>
      <c r="Z95" t="inlineStr">
        <is>
          <t>occupied</t>
        </is>
      </c>
      <c r="AA95" t="inlineStr"/>
      <c r="AB95" t="inlineStr">
        <is>
          <t>2026-10-23</t>
        </is>
      </c>
      <c r="AC95" s="3" t="inlineStr"/>
      <c r="AD95" t="inlineStr">
        <is>
          <t>leasing-press</t>
        </is>
      </c>
      <c r="AE95" t="inlineStr">
        <is>
          <t>2025-10-14</t>
        </is>
      </c>
      <c r="AF95" t="inlineStr">
        <is>
          <t>no-coworking-in-building</t>
        </is>
      </c>
      <c r="AG95" t="inlineStr">
        <is>
          <t>1008240015</t>
        </is>
      </c>
      <c r="AH95" t="n">
        <v>0</v>
      </c>
      <c r="AI95" t="inlineStr"/>
      <c r="AJ95" t="inlineStr">
        <is>
          <t>S3</t>
        </is>
      </c>
    </row>
    <row r="96">
      <c r="A96" t="inlineStr">
        <is>
          <t>B-C-095</t>
        </is>
      </c>
      <c r="B96" t="inlineStr">
        <is>
          <t>Foursquare</t>
        </is>
      </c>
      <c r="C96" s="2" t="inlineStr">
        <is>
          <t>https://foursquare.com/</t>
        </is>
      </c>
      <c r="D96" t="inlineStr">
        <is>
          <t>Location technology / software</t>
        </is>
      </c>
      <c r="E96" t="inlineStr">
        <is>
          <t>B-B-046</t>
        </is>
      </c>
      <c r="F96" t="inlineStr">
        <is>
          <t>50 West 23rd Street</t>
        </is>
      </c>
      <c r="G96" t="inlineStr">
        <is>
          <t>unknown</t>
        </is>
      </c>
      <c r="H96" t="inlineStr">
        <is>
          <t>10010</t>
        </is>
      </c>
      <c r="I96" t="n">
        <v>40.742075</v>
      </c>
      <c r="J96" t="n">
        <v>-73.991811</v>
      </c>
      <c r="K96" t="inlineStr">
        <is>
          <t>Y</t>
        </is>
      </c>
      <c r="L96" t="inlineStr">
        <is>
          <t>251-500</t>
        </is>
      </c>
      <c r="M96" t="inlineStr">
        <is>
          <t>whole-company</t>
        </is>
      </c>
      <c r="N96" s="2" t="inlineStr">
        <is>
          <t>https://www.builtinnyc.com/company/foursquare/offices</t>
        </is>
      </c>
      <c r="O96" s="2" t="inlineStr">
        <is>
          <t>https://www.builtinnyc.com/company/foursquare/offices</t>
        </is>
      </c>
      <c r="P96" t="inlineStr">
        <is>
          <t>2026-10-23</t>
        </is>
      </c>
      <c r="Q96" s="2" t="inlineStr">
        <is>
          <t>https://nyrej.com/index.php/two-new-leases-signed-at-50-west-23rd-st</t>
        </is>
      </c>
      <c r="R96" t="inlineStr">
        <is>
          <t>high</t>
        </is>
      </c>
      <c r="S96" t="inlineStr">
        <is>
          <t>N</t>
        </is>
      </c>
      <c r="T96" t="inlineStr"/>
      <c r="U96" t="inlineStr"/>
      <c r="V96" s="3" t="inlineStr">
        <is>
          <t>Built In lists HQ 50 West 23rd Street and 350 total employees (live profile, undated). NYREJ Oct 2025 (Two Trees release) names Foursquare as an existing tenant.</t>
        </is>
      </c>
      <c r="W96" t="inlineStr">
        <is>
          <t>2026-10-23</t>
        </is>
      </c>
      <c r="X96" t="inlineStr">
        <is>
          <t>security desk</t>
        </is>
      </c>
      <c r="Y96" t="inlineStr">
        <is>
          <t>candidate</t>
        </is>
      </c>
      <c r="Z96" t="inlineStr">
        <is>
          <t>occupied</t>
        </is>
      </c>
      <c r="AA96" t="inlineStr"/>
      <c r="AB96" t="inlineStr">
        <is>
          <t>2026-10-23</t>
        </is>
      </c>
      <c r="AC96" s="3" t="inlineStr"/>
      <c r="AD96" t="inlineStr">
        <is>
          <t>builtin</t>
        </is>
      </c>
      <c r="AE96" t="inlineStr">
        <is>
          <t>2025-10-14</t>
        </is>
      </c>
      <c r="AF96" t="inlineStr">
        <is>
          <t>no-coworking-in-building</t>
        </is>
      </c>
      <c r="AG96" t="inlineStr">
        <is>
          <t>1008240015</t>
        </is>
      </c>
      <c r="AH96" t="n">
        <v>0</v>
      </c>
      <c r="AI96" t="inlineStr"/>
      <c r="AJ96" t="inlineStr">
        <is>
          <t>S3</t>
        </is>
      </c>
    </row>
    <row r="97">
      <c r="A97" t="inlineStr">
        <is>
          <t>B-C-096</t>
        </is>
      </c>
      <c r="B97" t="inlineStr">
        <is>
          <t>Inspiren</t>
        </is>
      </c>
      <c r="C97" s="2" t="inlineStr">
        <is>
          <t>https://www.inspiren.com/</t>
        </is>
      </c>
      <c r="D97" t="inlineStr">
        <is>
          <t>Healthcare technology (AI for senior living)</t>
        </is>
      </c>
      <c r="E97" t="inlineStr">
        <is>
          <t>B-B-047</t>
        </is>
      </c>
      <c r="F97" t="inlineStr">
        <is>
          <t>61 West 23rd Street</t>
        </is>
      </c>
      <c r="G97" t="inlineStr">
        <is>
          <t>full floor (floor number not stated)</t>
        </is>
      </c>
      <c r="H97" t="inlineStr">
        <is>
          <t>10010</t>
        </is>
      </c>
      <c r="I97" t="n">
        <v>40.742771</v>
      </c>
      <c r="J97" t="n">
        <v>-73.991782</v>
      </c>
      <c r="K97" t="inlineStr">
        <is>
          <t>Y</t>
        </is>
      </c>
      <c r="L97" t="inlineStr">
        <is>
          <t>76-150</t>
        </is>
      </c>
      <c r="M97" t="inlineStr">
        <is>
          <t>whole-company</t>
        </is>
      </c>
      <c r="N97" s="2" t="inlineStr">
        <is>
          <t>https://www.builtinnyc.com/company/inspiren/offices</t>
        </is>
      </c>
      <c r="O97" s="2" t="inlineStr">
        <is>
          <t>https://commercialobserver.com/2026/09/normal-computing-inspiren-leases-61-west-23rd-street/</t>
        </is>
      </c>
      <c r="P97" t="inlineStr">
        <is>
          <t>2026-09-21</t>
        </is>
      </c>
      <c r="Q97" s="2" t="inlineStr">
        <is>
          <t>https://www.builtinnyc.com/company/inspiren/offices</t>
        </is>
      </c>
      <c r="R97" t="inlineStr">
        <is>
          <t>high</t>
        </is>
      </c>
      <c r="S97" t="inlineStr">
        <is>
          <t>N</t>
        </is>
      </c>
      <c r="T97" t="inlineStr"/>
      <c r="U97" t="inlineStr"/>
      <c r="V97" s="3" t="inlineStr">
        <is>
          <t>CO: moved into 8,367 sf in early Sept 2026, first permanent NYC office (previously Brooklyn Navy Yard). Built In lists HQ 61 W 23rd St and 150 total employees (live profile, undated).</t>
        </is>
      </c>
      <c r="W97" t="inlineStr">
        <is>
          <t>2026-10-23</t>
        </is>
      </c>
      <c r="X97" t="inlineStr">
        <is>
          <t>unknown</t>
        </is>
      </c>
      <c r="Y97" t="inlineStr">
        <is>
          <t>candidate</t>
        </is>
      </c>
      <c r="Z97" t="inlineStr">
        <is>
          <t>occupied</t>
        </is>
      </c>
      <c r="AA97" t="inlineStr"/>
      <c r="AB97" t="inlineStr">
        <is>
          <t>2026-10-23</t>
        </is>
      </c>
      <c r="AC97" s="3" t="inlineStr"/>
      <c r="AD97" t="inlineStr">
        <is>
          <t>leasing-press</t>
        </is>
      </c>
      <c r="AE97" t="inlineStr">
        <is>
          <t>2026-10-23</t>
        </is>
      </c>
      <c r="AF97" t="inlineStr">
        <is>
          <t>no-coworking-in-building</t>
        </is>
      </c>
      <c r="AG97" t="inlineStr">
        <is>
          <t>1008250009</t>
        </is>
      </c>
      <c r="AH97" t="n">
        <v>0</v>
      </c>
      <c r="AI97" t="inlineStr">
        <is>
          <t>8,367 sf</t>
        </is>
      </c>
      <c r="AJ97" t="inlineStr">
        <is>
          <t>S3</t>
        </is>
      </c>
    </row>
    <row r="98">
      <c r="A98" t="inlineStr">
        <is>
          <t>B-C-097</t>
        </is>
      </c>
      <c r="B98" t="inlineStr">
        <is>
          <t>Normal Computing</t>
        </is>
      </c>
      <c r="C98" s="2" t="inlineStr">
        <is>
          <t>https://normalcomputing.com/</t>
        </is>
      </c>
      <c r="D98" t="inlineStr">
        <is>
          <t>AI hardware / computing</t>
        </is>
      </c>
      <c r="E98" t="inlineStr">
        <is>
          <t>B-B-047</t>
        </is>
      </c>
      <c r="F98" t="inlineStr">
        <is>
          <t>61 West 23rd Street</t>
        </is>
      </c>
      <c r="G98" t="inlineStr">
        <is>
          <t>full floor (floor number not stated)</t>
        </is>
      </c>
      <c r="H98" t="inlineStr">
        <is>
          <t>10010</t>
        </is>
      </c>
      <c r="I98" t="n">
        <v>40.742771</v>
      </c>
      <c r="J98" t="n">
        <v>-73.991782</v>
      </c>
      <c r="K98" t="inlineStr">
        <is>
          <t>Y</t>
        </is>
      </c>
      <c r="L98" t="inlineStr">
        <is>
          <t>40-75</t>
        </is>
      </c>
      <c r="M98" t="inlineStr">
        <is>
          <t>whole-company</t>
        </is>
      </c>
      <c r="N98" s="2" t="inlineStr">
        <is>
          <t>https://www.builtinnyc.com/company/normal-computing/offices</t>
        </is>
      </c>
      <c r="O98" s="2" t="inlineStr">
        <is>
          <t>https://commercialobserver.com/2026/09/normal-computing-inspiren-leases-61-west-23rd-street/</t>
        </is>
      </c>
      <c r="P98" t="inlineStr">
        <is>
          <t>2026-09-21</t>
        </is>
      </c>
      <c r="Q98" s="2" t="inlineStr">
        <is>
          <t>https://flatironnomad.nyc/2026/10/07/september-news-roundup-7/</t>
        </is>
      </c>
      <c r="R98" t="inlineStr">
        <is>
          <t>medium</t>
        </is>
      </c>
      <c r="S98" t="inlineStr">
        <is>
          <t>N</t>
        </is>
      </c>
      <c r="T98" t="inlineStr"/>
      <c r="U98" t="inlineStr"/>
      <c r="V98" s="3" t="inlineStr">
        <is>
          <t>CO Sep 2026: 8,367 sf HQ relocation from 27 West 20th Street, moving in November 2026; a spokesperson said about 30 employees will work from the new HQ, with room to double NYC headcount over the next year. So the NYC office is in the 30-39 founder's-call zone today. Built In: 51 total employees (whole company), HQ New York. FNP Sept 2026 roundup repeats the CO report.</t>
        </is>
      </c>
      <c r="W98" t="inlineStr">
        <is>
          <t>2026-10-23</t>
        </is>
      </c>
      <c r="X98" t="inlineStr">
        <is>
          <t>unknown</t>
        </is>
      </c>
      <c r="Y98" t="inlineStr">
        <is>
          <t>candidate</t>
        </is>
      </c>
      <c r="Z98" t="inlineStr">
        <is>
          <t>signed-not-occupied</t>
        </is>
      </c>
      <c r="AA98" t="inlineStr">
        <is>
          <t>2026-11</t>
        </is>
      </c>
      <c r="AB98" t="inlineStr">
        <is>
          <t>2026-10-23</t>
        </is>
      </c>
      <c r="AC98" s="3" t="inlineStr"/>
      <c r="AD98" t="inlineStr">
        <is>
          <t>leasing-press</t>
        </is>
      </c>
      <c r="AE98" t="inlineStr">
        <is>
          <t>2026-10-07</t>
        </is>
      </c>
      <c r="AF98" t="inlineStr">
        <is>
          <t>no-coworking-in-building</t>
        </is>
      </c>
      <c r="AG98" t="inlineStr">
        <is>
          <t>1008250009</t>
        </is>
      </c>
      <c r="AH98" t="n">
        <v>0</v>
      </c>
      <c r="AI98" t="inlineStr">
        <is>
          <t>8,367 sf</t>
        </is>
      </c>
      <c r="AJ98" t="inlineStr">
        <is>
          <t>S3</t>
        </is>
      </c>
    </row>
    <row r="99">
      <c r="A99" t="inlineStr">
        <is>
          <t>B-C-098</t>
        </is>
      </c>
      <c r="B99" t="inlineStr">
        <is>
          <t>BrainPOP</t>
        </is>
      </c>
      <c r="C99" s="2" t="inlineStr">
        <is>
          <t>https://www.brainpop.com/</t>
        </is>
      </c>
      <c r="D99" t="inlineStr">
        <is>
          <t>Education technology</t>
        </is>
      </c>
      <c r="E99" t="inlineStr">
        <is>
          <t>B-B-048</t>
        </is>
      </c>
      <c r="F99" t="inlineStr">
        <is>
          <t>71 West 23rd Street</t>
        </is>
      </c>
      <c r="G99" t="inlineStr">
        <is>
          <t>17</t>
        </is>
      </c>
      <c r="H99" t="inlineStr">
        <is>
          <t>10010</t>
        </is>
      </c>
      <c r="I99" t="n">
        <v>40.743043</v>
      </c>
      <c r="J99" t="n">
        <v>-73.99233</v>
      </c>
      <c r="K99" t="inlineStr">
        <is>
          <t>Y</t>
        </is>
      </c>
      <c r="L99" t="inlineStr">
        <is>
          <t>151-250</t>
        </is>
      </c>
      <c r="M99" t="inlineStr">
        <is>
          <t>whole-company</t>
        </is>
      </c>
      <c r="N99" s="2" t="inlineStr">
        <is>
          <t>https://www.builtinnyc.com/company/brainpop/offices</t>
        </is>
      </c>
      <c r="O99" s="2" t="inlineStr">
        <is>
          <t>https://www.brainpop.com/discover/terms-of-use</t>
        </is>
      </c>
      <c r="P99" t="inlineStr">
        <is>
          <t>2026-10-24</t>
        </is>
      </c>
      <c r="Q99" s="2" t="inlineStr">
        <is>
          <t>https://www.builtinnyc.com/company/brainpop/offices</t>
        </is>
      </c>
      <c r="R99" t="inlineStr">
        <is>
          <t>high</t>
        </is>
      </c>
      <c r="S99" t="inlineStr">
        <is>
          <t>N</t>
        </is>
      </c>
      <c r="T99" t="inlineStr"/>
      <c r="U99" t="inlineStr"/>
      <c r="V99" s="3" t="inlineStr">
        <is>
          <t>Terms of use and privacy policy (live) give '71 W 23rd St., 17th Fl. New York, NY 10010'. Built In (independent): HQ New York, office in the Flatiron district 'down the street from the iconic landmark Flatiron Building and Madison Square Park'; 225 total employees.</t>
        </is>
      </c>
      <c r="W99" t="inlineStr">
        <is>
          <t>2026-10-23</t>
        </is>
      </c>
      <c r="X99" t="inlineStr">
        <is>
          <t>unknown</t>
        </is>
      </c>
      <c r="Y99" t="inlineStr">
        <is>
          <t>candidate</t>
        </is>
      </c>
      <c r="Z99" t="inlineStr">
        <is>
          <t>occupied</t>
        </is>
      </c>
      <c r="AA99" t="inlineStr"/>
      <c r="AB99" t="inlineStr">
        <is>
          <t>2026-10-24</t>
        </is>
      </c>
      <c r="AC99" s="3" t="inlineStr"/>
      <c r="AD99" t="inlineStr">
        <is>
          <t>company-site</t>
        </is>
      </c>
      <c r="AE99" t="inlineStr">
        <is>
          <t>2026-10-24</t>
        </is>
      </c>
      <c r="AF99" t="inlineStr">
        <is>
          <t>no-coworking-in-building</t>
        </is>
      </c>
      <c r="AG99" t="inlineStr">
        <is>
          <t>1008250001</t>
        </is>
      </c>
      <c r="AH99" t="n">
        <v>0</v>
      </c>
      <c r="AI99" t="inlineStr"/>
      <c r="AJ99" t="inlineStr">
        <is>
          <t>S3</t>
        </is>
      </c>
    </row>
    <row r="100">
      <c r="A100" t="inlineStr">
        <is>
          <t>B-C-099</t>
        </is>
      </c>
      <c r="B100" t="inlineStr">
        <is>
          <t>Chalk</t>
        </is>
      </c>
      <c r="C100" s="2" t="inlineStr">
        <is>
          <t>https://chalk.ai/</t>
        </is>
      </c>
      <c r="D100" t="inlineStr">
        <is>
          <t>Software (data platform for AI)</t>
        </is>
      </c>
      <c r="E100" t="inlineStr">
        <is>
          <t>B-B-049</t>
        </is>
      </c>
      <c r="F100" t="inlineStr">
        <is>
          <t>43 West 23rd Street</t>
        </is>
      </c>
      <c r="G100" t="inlineStr">
        <is>
          <t>unknown</t>
        </is>
      </c>
      <c r="H100" t="inlineStr">
        <is>
          <t>10010</t>
        </is>
      </c>
      <c r="I100" t="n">
        <v>40.742641</v>
      </c>
      <c r="J100" t="n">
        <v>-73.991083</v>
      </c>
      <c r="K100" t="inlineStr">
        <is>
          <t>Y</t>
        </is>
      </c>
      <c r="L100" t="inlineStr">
        <is>
          <t>40-75</t>
        </is>
      </c>
      <c r="M100" t="inlineStr">
        <is>
          <t>whole-company</t>
        </is>
      </c>
      <c r="N100" s="2" t="inlineStr">
        <is>
          <t>https://www.builtinnyc.com/company/chalk/offices</t>
        </is>
      </c>
      <c r="O100" s="2" t="inlineStr">
        <is>
          <t>https://commercialobserver.com/2026/07/chalk-ai-lease-flatiron-43-west-23rd-street/</t>
        </is>
      </c>
      <c r="P100" t="inlineStr">
        <is>
          <t>2026-07</t>
        </is>
      </c>
      <c r="Q100" t="inlineStr"/>
      <c r="R100" t="inlineStr">
        <is>
          <t>medium</t>
        </is>
      </c>
      <c r="S100" t="inlineStr">
        <is>
          <t>N</t>
        </is>
      </c>
      <c r="T100" t="inlineStr"/>
      <c r="U100" t="inlineStr"/>
      <c r="V100" s="3" t="inlineStr">
        <is>
          <t>CO: signed 26,607 sf at 43 W 23rd St; move-in date unclear. Current NYC office is 54 West 21st Street (CO). HQ San Francisco. Built In: 40 total employees (profile may predate the expansion). FNP roundup lists the address as 43 West 24th St; the CO article body says 43 West 23rd St.</t>
        </is>
      </c>
      <c r="W100" t="inlineStr">
        <is>
          <t>2026-10-23</t>
        </is>
      </c>
      <c r="X100" t="inlineStr">
        <is>
          <t>unknown</t>
        </is>
      </c>
      <c r="Y100" t="inlineStr">
        <is>
          <t>candidate</t>
        </is>
      </c>
      <c r="Z100" t="inlineStr">
        <is>
          <t>signed-not-occupied</t>
        </is>
      </c>
      <c r="AA100" t="inlineStr">
        <is>
          <t>unknown</t>
        </is>
      </c>
      <c r="AB100" t="inlineStr">
        <is>
          <t>2026-10-23</t>
        </is>
      </c>
      <c r="AC100" s="3" t="inlineStr"/>
      <c r="AD100" t="inlineStr">
        <is>
          <t>leasing-press</t>
        </is>
      </c>
      <c r="AE100" t="inlineStr"/>
      <c r="AF100" t="inlineStr">
        <is>
          <t>no-coworking-in-building</t>
        </is>
      </c>
      <c r="AG100" t="inlineStr">
        <is>
          <t>1008250017</t>
        </is>
      </c>
      <c r="AH100" t="n">
        <v>0</v>
      </c>
      <c r="AI100" t="inlineStr">
        <is>
          <t>26,607 sf</t>
        </is>
      </c>
      <c r="AJ100" t="inlineStr">
        <is>
          <t>S3</t>
        </is>
      </c>
    </row>
    <row r="101">
      <c r="A101" t="inlineStr">
        <is>
          <t>B-C-100</t>
        </is>
      </c>
      <c r="B101" t="inlineStr">
        <is>
          <t>LaForce</t>
        </is>
      </c>
      <c r="C101" s="2" t="inlineStr">
        <is>
          <t>https://www.laforce.com/</t>
        </is>
      </c>
      <c r="D101" t="inlineStr">
        <is>
          <t>Public relations / communications agency</t>
        </is>
      </c>
      <c r="E101" t="inlineStr">
        <is>
          <t>B-B-050</t>
        </is>
      </c>
      <c r="F101" t="inlineStr">
        <is>
          <t>53 West 23rd Street</t>
        </is>
      </c>
      <c r="G101" t="inlineStr">
        <is>
          <t>unknown</t>
        </is>
      </c>
      <c r="H101" t="inlineStr">
        <is>
          <t>10010</t>
        </is>
      </c>
      <c r="I101" t="n">
        <v>40.742807</v>
      </c>
      <c r="J101" t="n">
        <v>-73.99144699999999</v>
      </c>
      <c r="K101" t="inlineStr">
        <is>
          <t>Y</t>
        </is>
      </c>
      <c r="L101" t="inlineStr">
        <is>
          <t>unknown</t>
        </is>
      </c>
      <c r="M101" t="inlineStr">
        <is>
          <t>unknown</t>
        </is>
      </c>
      <c r="N101" t="inlineStr"/>
      <c r="O101" s="2" t="inlineStr">
        <is>
          <t>https://commercialobserver.com/2025/10/huge-lease-adams-53-west-23rd-street/</t>
        </is>
      </c>
      <c r="P101" t="inlineStr">
        <is>
          <t>2025-10-02</t>
        </is>
      </c>
      <c r="Q101" t="inlineStr"/>
      <c r="R101" t="inlineStr">
        <is>
          <t>medium</t>
        </is>
      </c>
      <c r="S101" t="inlineStr">
        <is>
          <t>N</t>
        </is>
      </c>
      <c r="T101" t="inlineStr"/>
      <c r="U101" t="inlineStr"/>
      <c r="V101" s="3" t="inlineStr">
        <is>
          <t>CO Oct 2025 names 'public relations firm LaForce' as a current tenant at 53 W 23rd St. Company site shows no street address. Headcount not found in an opened source.</t>
        </is>
      </c>
      <c r="W101" t="inlineStr">
        <is>
          <t>2026-10-23</t>
        </is>
      </c>
      <c r="X101" t="inlineStr">
        <is>
          <t>security desk</t>
        </is>
      </c>
      <c r="Y101" t="inlineStr">
        <is>
          <t>candidate</t>
        </is>
      </c>
      <c r="Z101" t="inlineStr">
        <is>
          <t>occupied</t>
        </is>
      </c>
      <c r="AA101" t="inlineStr"/>
      <c r="AB101" t="inlineStr"/>
      <c r="AC101" s="3" t="inlineStr">
        <is>
          <t>No opened source gives a count: no Built In profile with a total, the company site publishes none, and LinkedIn was off-limits. Founder to confirm at intake.</t>
        </is>
      </c>
      <c r="AD101" t="inlineStr">
        <is>
          <t>leasing-press</t>
        </is>
      </c>
      <c r="AE101" t="inlineStr"/>
      <c r="AF101" t="inlineStr">
        <is>
          <t>no-coworking-in-building</t>
        </is>
      </c>
      <c r="AG101" t="inlineStr">
        <is>
          <t>1008250012</t>
        </is>
      </c>
      <c r="AH101" t="n">
        <v>0</v>
      </c>
      <c r="AI101" t="inlineStr"/>
      <c r="AJ101" t="inlineStr">
        <is>
          <t>S3</t>
        </is>
      </c>
    </row>
    <row r="102">
      <c r="A102" t="inlineStr">
        <is>
          <t>B-C-101</t>
        </is>
      </c>
      <c r="B102" t="inlineStr">
        <is>
          <t>TripleLift</t>
        </is>
      </c>
      <c r="C102" s="2" t="inlineStr">
        <is>
          <t>https://triplelift.com/</t>
        </is>
      </c>
      <c r="D102" t="inlineStr">
        <is>
          <t>Advertising technology</t>
        </is>
      </c>
      <c r="E102" t="inlineStr">
        <is>
          <t>B-B-050</t>
        </is>
      </c>
      <c r="F102" t="inlineStr">
        <is>
          <t>53 West 23rd Street</t>
        </is>
      </c>
      <c r="G102" t="inlineStr">
        <is>
          <t>12</t>
        </is>
      </c>
      <c r="H102" t="inlineStr">
        <is>
          <t>10010</t>
        </is>
      </c>
      <c r="I102" t="n">
        <v>40.742807</v>
      </c>
      <c r="J102" t="n">
        <v>-73.99144699999999</v>
      </c>
      <c r="K102" t="inlineStr">
        <is>
          <t>Y</t>
        </is>
      </c>
      <c r="L102" t="inlineStr">
        <is>
          <t>251-500</t>
        </is>
      </c>
      <c r="M102" t="inlineStr">
        <is>
          <t>whole-company</t>
        </is>
      </c>
      <c r="N102" s="2" t="inlineStr">
        <is>
          <t>https://www.builtinnyc.com/company/triplelift/offices</t>
        </is>
      </c>
      <c r="O102" s="2" t="inlineStr">
        <is>
          <t>https://triplelift.com/contact-us/</t>
        </is>
      </c>
      <c r="P102" t="inlineStr">
        <is>
          <t>2026-10-24</t>
        </is>
      </c>
      <c r="Q102" s="2" t="inlineStr">
        <is>
          <t>https://www.builtinnyc.com/company/triplelift/offices</t>
        </is>
      </c>
      <c r="R102" t="inlineStr">
        <is>
          <t>high</t>
        </is>
      </c>
      <c r="S102" t="inlineStr">
        <is>
          <t>N</t>
        </is>
      </c>
      <c r="T102" t="inlineStr"/>
      <c r="U102" t="inlineStr"/>
      <c r="V102" s="3" t="inlineStr">
        <is>
          <t>Company site footer and contact page (live, (c) 2026): '53 W. 23rd St., 12th Floor New York, NY 10010'. Built In lists HQ 53 W 23rd St and 335 total employees; the contact page says '400+ Talented Workers' across 8+ locations, so the whole company may be near the top of the band. Building has 24/7 guard and turnstiles (Adams &amp; Co).</t>
        </is>
      </c>
      <c r="W102" t="inlineStr">
        <is>
          <t>2026-10-23</t>
        </is>
      </c>
      <c r="X102" t="inlineStr">
        <is>
          <t>security desk</t>
        </is>
      </c>
      <c r="Y102" t="inlineStr">
        <is>
          <t>candidate</t>
        </is>
      </c>
      <c r="Z102" t="inlineStr">
        <is>
          <t>occupied</t>
        </is>
      </c>
      <c r="AA102" t="inlineStr"/>
      <c r="AB102" t="inlineStr">
        <is>
          <t>2026-10-23</t>
        </is>
      </c>
      <c r="AC102" s="3" t="inlineStr"/>
      <c r="AD102" t="inlineStr">
        <is>
          <t>company-site</t>
        </is>
      </c>
      <c r="AE102" t="inlineStr">
        <is>
          <t>2026-10-23</t>
        </is>
      </c>
      <c r="AF102" t="inlineStr">
        <is>
          <t>no-coworking-in-building</t>
        </is>
      </c>
      <c r="AG102" t="inlineStr">
        <is>
          <t>1008250012</t>
        </is>
      </c>
      <c r="AH102" t="n">
        <v>0</v>
      </c>
      <c r="AI102" t="inlineStr"/>
      <c r="AJ102" t="inlineStr">
        <is>
          <t>S3</t>
        </is>
      </c>
    </row>
    <row r="103">
      <c r="A103" t="inlineStr">
        <is>
          <t>B-C-102</t>
        </is>
      </c>
      <c r="B103" t="inlineStr">
        <is>
          <t>Harvey</t>
        </is>
      </c>
      <c r="C103" s="2" t="inlineStr">
        <is>
          <t>https://www.harvey.ai/</t>
        </is>
      </c>
      <c r="D103" t="inlineStr">
        <is>
          <t>Legal AI software</t>
        </is>
      </c>
      <c r="E103" t="inlineStr">
        <is>
          <t>B-B-051</t>
        </is>
      </c>
      <c r="F103" t="inlineStr">
        <is>
          <t>1 Madison Avenue</t>
        </is>
      </c>
      <c r="G103" t="inlineStr">
        <is>
          <t>6 plus expansion (185,326 sf total)</t>
        </is>
      </c>
      <c r="H103" t="inlineStr">
        <is>
          <t>10010</t>
        </is>
      </c>
      <c r="I103" t="n">
        <v>40.740847</v>
      </c>
      <c r="J103" t="n">
        <v>-73.986756</v>
      </c>
      <c r="K103" t="inlineStr">
        <is>
          <t>Y</t>
        </is>
      </c>
      <c r="L103" t="inlineStr">
        <is>
          <t>251-500</t>
        </is>
      </c>
      <c r="M103" t="inlineStr">
        <is>
          <t>whole-company</t>
        </is>
      </c>
      <c r="N103" s="2" t="inlineStr">
        <is>
          <t>https://www.builtinnyc.com/company/harvey/offices</t>
        </is>
      </c>
      <c r="O103" s="2" t="inlineStr">
        <is>
          <t>https://commercialobserver.com/2026/03/harvey-ai-expansion-lease-sl-green-one-madison-avenue/</t>
        </is>
      </c>
      <c r="P103" t="inlineStr">
        <is>
          <t>2026-03-09</t>
        </is>
      </c>
      <c r="Q103" s="2" t="inlineStr">
        <is>
          <t>https://flatironnomad.nyc/newsletter/april-23-2026-flatiron-nomad-economic-development-snapshot-q1-2026/</t>
        </is>
      </c>
      <c r="R103" t="inlineStr">
        <is>
          <t>high</t>
        </is>
      </c>
      <c r="S103" t="inlineStr">
        <is>
          <t>N</t>
        </is>
      </c>
      <c r="T103" t="inlineStr"/>
      <c r="U103" t="inlineStr"/>
      <c r="V103" s="3" t="inlineStr">
        <is>
          <t>CO Oct 2025: 10-yr lease, entire 6th floor (92,663 sf); CO Mar 2026: doubled to 185,326 sf at One Madison. Flatiron NoMad Partnership Q1 2026 snapshot confirms. Harvey also had 34,100 sf at 315 Park Ave S (CO, Oct 2024); unclear if kept. Built In: 373 total employees, NY office zip 10010 (live profile, undated; count may predate recent growth). HQ San Francisco.</t>
        </is>
      </c>
      <c r="W103" t="inlineStr">
        <is>
          <t>2026-10-23</t>
        </is>
      </c>
      <c r="X103" t="inlineStr">
        <is>
          <t>unknown</t>
        </is>
      </c>
      <c r="Y103" t="inlineStr">
        <is>
          <t>candidate</t>
        </is>
      </c>
      <c r="Z103" t="inlineStr">
        <is>
          <t>occupancy-unconfirmed</t>
        </is>
      </c>
      <c r="AA103" t="inlineStr"/>
      <c r="AB103" t="inlineStr">
        <is>
          <t>2026-10-23</t>
        </is>
      </c>
      <c r="AC103" s="3" t="inlineStr"/>
      <c r="AD103" t="inlineStr">
        <is>
          <t>leasing-press</t>
        </is>
      </c>
      <c r="AE103" t="inlineStr">
        <is>
          <t>2026-04-23</t>
        </is>
      </c>
      <c r="AF103" t="inlineStr">
        <is>
          <t>no-coworking-in-building</t>
        </is>
      </c>
      <c r="AG103" t="inlineStr">
        <is>
          <t>1008530002</t>
        </is>
      </c>
      <c r="AH103" t="n">
        <v>0</v>
      </c>
      <c r="AI103" t="inlineStr">
        <is>
          <t>92,663 sf; 185,326 sf; 34,100 sf</t>
        </is>
      </c>
      <c r="AJ103" t="inlineStr">
        <is>
          <t>S3</t>
        </is>
      </c>
    </row>
    <row r="104">
      <c r="A104" t="inlineStr">
        <is>
          <t>B-C-103</t>
        </is>
      </c>
      <c r="B104" t="inlineStr">
        <is>
          <t>Clay</t>
        </is>
      </c>
      <c r="C104" s="2" t="inlineStr">
        <is>
          <t>https://www.clay.com/</t>
        </is>
      </c>
      <c r="D104" t="inlineStr">
        <is>
          <t>Software (AI sales / go-to-market)</t>
        </is>
      </c>
      <c r="E104" t="inlineStr">
        <is>
          <t>B-B-052</t>
        </is>
      </c>
      <c r="F104" t="inlineStr">
        <is>
          <t>11 Madison Avenue</t>
        </is>
      </c>
      <c r="G104" t="inlineStr">
        <is>
          <t>14, 16 and part of 15</t>
        </is>
      </c>
      <c r="H104" t="inlineStr">
        <is>
          <t>10010</t>
        </is>
      </c>
      <c r="I104" t="n">
        <v>40.741518</v>
      </c>
      <c r="J104" t="n">
        <v>-73.986485</v>
      </c>
      <c r="K104" t="inlineStr">
        <is>
          <t>Y</t>
        </is>
      </c>
      <c r="L104" t="inlineStr">
        <is>
          <t>76-150</t>
        </is>
      </c>
      <c r="M104" t="inlineStr">
        <is>
          <t>whole-company</t>
        </is>
      </c>
      <c r="N104" s="2" t="inlineStr">
        <is>
          <t>https://www.builtinnyc.com/company/clay/offices</t>
        </is>
      </c>
      <c r="O104" s="2" t="inlineStr">
        <is>
          <t>https://commercialobserver.com/2026/03/clay-ai-lease-sl-green-11-madison-avenue/</t>
        </is>
      </c>
      <c r="P104" t="inlineStr">
        <is>
          <t>2026-03-09</t>
        </is>
      </c>
      <c r="Q104" s="2" t="inlineStr">
        <is>
          <t>https://www.metro-manhattan.com/neighborhoods/midtown-south/flatiron/</t>
        </is>
      </c>
      <c r="R104" t="inlineStr">
        <is>
          <t>medium</t>
        </is>
      </c>
      <c r="S104" t="inlineStr">
        <is>
          <t>N</t>
        </is>
      </c>
      <c r="T104" t="inlineStr"/>
      <c r="U104" t="inlineStr"/>
      <c r="V104" s="3" t="inlineStr">
        <is>
          <t>CO Mar 2026: 10-yr, 163,095 sf lease (14th, 16th and part of 15th floors); relocating from 111 W 19th St (Built In still lists 111 W 19 St). CO Apr 2026 (Colliers Q1 data) puts 'Clay Labs' deal at 202,875 sf, so the footprint may have grown. Move-in date unknown; founder to confirm which office staff use now. Built In shows 93 total employees (profile date unknown; CO quotes the CEO saying the team is growing fast, so the count may be stale). Metro Manhattan broker page (Jun 2026) repeats the CO report.</t>
        </is>
      </c>
      <c r="W104" t="inlineStr">
        <is>
          <t>2026-10-23</t>
        </is>
      </c>
      <c r="X104" t="inlineStr">
        <is>
          <t>loading dock</t>
        </is>
      </c>
      <c r="Y104" t="inlineStr">
        <is>
          <t>candidate</t>
        </is>
      </c>
      <c r="Z104" t="inlineStr">
        <is>
          <t>signed-not-occupied</t>
        </is>
      </c>
      <c r="AA104" t="inlineStr">
        <is>
          <t>unknown</t>
        </is>
      </c>
      <c r="AB104" t="inlineStr">
        <is>
          <t>2026-10-23</t>
        </is>
      </c>
      <c r="AC104" s="3" t="inlineStr"/>
      <c r="AD104" t="inlineStr">
        <is>
          <t>leasing-press</t>
        </is>
      </c>
      <c r="AE104" t="inlineStr">
        <is>
          <t>2026-06</t>
        </is>
      </c>
      <c r="AF104" t="inlineStr">
        <is>
          <t>no-coworking-in-building</t>
        </is>
      </c>
      <c r="AG104" t="inlineStr">
        <is>
          <t>1008547501</t>
        </is>
      </c>
      <c r="AH104" t="n">
        <v>0</v>
      </c>
      <c r="AI104" t="inlineStr">
        <is>
          <t>163,095 sf; 202,875 sf</t>
        </is>
      </c>
      <c r="AJ104" t="inlineStr">
        <is>
          <t>S3</t>
        </is>
      </c>
    </row>
    <row r="105">
      <c r="A105" t="inlineStr">
        <is>
          <t>B-C-104</t>
        </is>
      </c>
      <c r="B105" t="inlineStr">
        <is>
          <t>Madison Square Park Conservancy</t>
        </is>
      </c>
      <c r="C105" s="2" t="inlineStr">
        <is>
          <t>https://madisonsquarepark.org/</t>
        </is>
      </c>
      <c r="D105" t="inlineStr">
        <is>
          <t>Nonprofit (public park conservancy)</t>
        </is>
      </c>
      <c r="E105" t="inlineStr">
        <is>
          <t>B-B-052</t>
        </is>
      </c>
      <c r="F105" t="inlineStr">
        <is>
          <t>11 Madison Avenue</t>
        </is>
      </c>
      <c r="G105" t="inlineStr">
        <is>
          <t>15</t>
        </is>
      </c>
      <c r="H105" t="inlineStr">
        <is>
          <t>10010</t>
        </is>
      </c>
      <c r="I105" t="n">
        <v>40.741518</v>
      </c>
      <c r="J105" t="n">
        <v>-73.986485</v>
      </c>
      <c r="K105" t="inlineStr">
        <is>
          <t>Y</t>
        </is>
      </c>
      <c r="L105" t="inlineStr">
        <is>
          <t>unknown</t>
        </is>
      </c>
      <c r="M105" t="inlineStr">
        <is>
          <t>unknown</t>
        </is>
      </c>
      <c r="N105" t="inlineStr"/>
      <c r="O105" s="2" t="inlineStr">
        <is>
          <t>https://madisonsquarepark.org/park/contact/</t>
        </is>
      </c>
      <c r="P105" t="inlineStr">
        <is>
          <t>2026-10-24</t>
        </is>
      </c>
      <c r="Q105" t="inlineStr"/>
      <c r="R105" t="inlineStr">
        <is>
          <t>medium</t>
        </is>
      </c>
      <c r="S105" t="inlineStr">
        <is>
          <t>N</t>
        </is>
      </c>
      <c r="T105" t="inlineStr"/>
      <c r="U105" t="inlineStr"/>
      <c r="V105" s="3" t="inlineStr">
        <is>
          <t>Contact page (live): '11 Madison Avenue 15th Floor New York, NY 10010'. Headcount not stated; may be under 40, founder to confirm. Useful neighborhood partner even if too small to host.</t>
        </is>
      </c>
      <c r="W105" t="inlineStr">
        <is>
          <t>2026-10-23</t>
        </is>
      </c>
      <c r="X105" t="inlineStr">
        <is>
          <t>loading dock</t>
        </is>
      </c>
      <c r="Y105" t="inlineStr">
        <is>
          <t>candidate</t>
        </is>
      </c>
      <c r="Z105" t="inlineStr">
        <is>
          <t>occupied</t>
        </is>
      </c>
      <c r="AA105" t="inlineStr"/>
      <c r="AB105" t="inlineStr"/>
      <c r="AC105" s="3" t="inlineStr">
        <is>
          <t>No opened source gives a count: no Built In profile with a total, the company site publishes none, and LinkedIn was off-limits. Founder to confirm at intake.</t>
        </is>
      </c>
      <c r="AD105" t="inlineStr">
        <is>
          <t>company-site</t>
        </is>
      </c>
      <c r="AE105" t="inlineStr"/>
      <c r="AF105" t="inlineStr">
        <is>
          <t>no-coworking-in-building</t>
        </is>
      </c>
      <c r="AG105" t="inlineStr">
        <is>
          <t>1008547501</t>
        </is>
      </c>
      <c r="AH105" t="n">
        <v>0</v>
      </c>
      <c r="AI105" t="inlineStr"/>
      <c r="AJ105" t="inlineStr">
        <is>
          <t>S3</t>
        </is>
      </c>
    </row>
    <row r="106">
      <c r="A106" t="inlineStr">
        <is>
          <t>B-C-105</t>
        </is>
      </c>
      <c r="B106" t="inlineStr">
        <is>
          <t>Orbital</t>
        </is>
      </c>
      <c r="C106" s="2" t="inlineStr">
        <is>
          <t>https://www.orbital.tech/</t>
        </is>
      </c>
      <c r="D106" t="inlineStr">
        <is>
          <t>Software (AI for real estate legal due diligence)</t>
        </is>
      </c>
      <c r="E106" t="inlineStr">
        <is>
          <t>B-B-053</t>
        </is>
      </c>
      <c r="F106" t="inlineStr">
        <is>
          <t>40 West 25th Street</t>
        </is>
      </c>
      <c r="G106" t="inlineStr">
        <is>
          <t>6</t>
        </is>
      </c>
      <c r="H106" t="inlineStr">
        <is>
          <t>10010</t>
        </is>
      </c>
      <c r="I106" t="n">
        <v>40.743613</v>
      </c>
      <c r="J106" t="n">
        <v>-73.991062</v>
      </c>
      <c r="K106" t="inlineStr">
        <is>
          <t>Y</t>
        </is>
      </c>
      <c r="L106" t="inlineStr">
        <is>
          <t>76-150</t>
        </is>
      </c>
      <c r="M106" t="inlineStr">
        <is>
          <t>whole-company</t>
        </is>
      </c>
      <c r="N106" s="2" t="inlineStr">
        <is>
          <t>https://www.builtinnyc.com/company/orbital</t>
        </is>
      </c>
      <c r="O106" s="2" t="inlineStr">
        <is>
          <t>https://commercialobserver.com/2026/09/orbital-ai-lease-kaufman-organization-40-west-25th-street/</t>
        </is>
      </c>
      <c r="P106" t="inlineStr">
        <is>
          <t>2026-09-09</t>
        </is>
      </c>
      <c r="Q106" t="inlineStr"/>
      <c r="R106" t="inlineStr">
        <is>
          <t>medium</t>
        </is>
      </c>
      <c r="S106" t="inlineStr">
        <is>
          <t>N</t>
        </is>
      </c>
      <c r="T106" t="inlineStr"/>
      <c r="U106" t="inlineStr"/>
      <c r="V106" s="3" t="inlineStr">
        <is>
          <t>CO Sep 2026: 11,185 sf, entire 6th floor, moving from a temporary office at 18 West 18th Street; offices also in LA and London; CEO calls New York its headquarters. Move-in date not stated. Built In 'orbital' profile (AI real estate software, founded 2018): 96 total employees; NY office still listed at 33 Irving Place.</t>
        </is>
      </c>
      <c r="W106" t="inlineStr">
        <is>
          <t>2026-10-23</t>
        </is>
      </c>
      <c r="X106" t="inlineStr">
        <is>
          <t>unknown</t>
        </is>
      </c>
      <c r="Y106" t="inlineStr">
        <is>
          <t>candidate</t>
        </is>
      </c>
      <c r="Z106" t="inlineStr">
        <is>
          <t>signed-not-occupied</t>
        </is>
      </c>
      <c r="AA106" t="inlineStr">
        <is>
          <t>unknown</t>
        </is>
      </c>
      <c r="AB106" t="inlineStr">
        <is>
          <t>2026-10-24</t>
        </is>
      </c>
      <c r="AC106" s="3" t="inlineStr"/>
      <c r="AD106" t="inlineStr">
        <is>
          <t>leasing-press</t>
        </is>
      </c>
      <c r="AE106" t="inlineStr"/>
      <c r="AF106" t="inlineStr">
        <is>
          <t>no-coworking-in-building</t>
        </is>
      </c>
      <c r="AG106" t="inlineStr">
        <is>
          <t>1008260065</t>
        </is>
      </c>
      <c r="AH106" t="n">
        <v>0</v>
      </c>
      <c r="AI106" t="inlineStr">
        <is>
          <t>11,185 sf</t>
        </is>
      </c>
      <c r="AJ106" t="inlineStr">
        <is>
          <t>S3</t>
        </is>
      </c>
    </row>
    <row r="107">
      <c r="A107" t="inlineStr">
        <is>
          <t>B-C-106</t>
        </is>
      </c>
      <c r="B107" t="inlineStr">
        <is>
          <t>Ellevest</t>
        </is>
      </c>
      <c r="C107" s="2" t="inlineStr">
        <is>
          <t>https://www.ellevest.com/</t>
        </is>
      </c>
      <c r="D107" t="inlineStr">
        <is>
          <t>Fintech / wealth management</t>
        </is>
      </c>
      <c r="E107" t="inlineStr">
        <is>
          <t>B-B-054</t>
        </is>
      </c>
      <c r="F107" t="inlineStr">
        <is>
          <t>48 West 25th Street</t>
        </is>
      </c>
      <c r="G107" t="inlineStr">
        <is>
          <t>unknown</t>
        </is>
      </c>
      <c r="H107" t="inlineStr">
        <is>
          <t>10010</t>
        </is>
      </c>
      <c r="I107" t="n">
        <v>40.743751</v>
      </c>
      <c r="J107" t="n">
        <v>-73.99137399999999</v>
      </c>
      <c r="K107" t="inlineStr">
        <is>
          <t>Y</t>
        </is>
      </c>
      <c r="L107" t="inlineStr">
        <is>
          <t>76-150</t>
        </is>
      </c>
      <c r="M107" t="inlineStr">
        <is>
          <t>whole-company</t>
        </is>
      </c>
      <c r="N107" s="2" t="inlineStr">
        <is>
          <t>https://www.builtinnyc.com/company/ellevest/offices</t>
        </is>
      </c>
      <c r="O107" s="2" t="inlineStr">
        <is>
          <t>https://www.builtinnyc.com/company/ellevest/offices</t>
        </is>
      </c>
      <c r="P107" t="inlineStr">
        <is>
          <t>2026-10-24</t>
        </is>
      </c>
      <c r="Q107" t="inlineStr"/>
      <c r="R107" t="inlineStr">
        <is>
          <t>medium</t>
        </is>
      </c>
      <c r="S107" t="inlineStr">
        <is>
          <t>N</t>
        </is>
      </c>
      <c r="T107" t="inlineStr"/>
      <c r="U107" t="inlineStr"/>
      <c r="V107" s="3" t="inlineStr">
        <is>
          <t>Built In only: HQ 48 West 25th Street; 129 total employees. Company disclosures page shows no street address; not named in the 2026 CO articles about 48 W 25th. Built In addresses are sometimes stale (see notes_S3.md), so founder to confirm.</t>
        </is>
      </c>
      <c r="W107" t="inlineStr">
        <is>
          <t>2026-10-23</t>
        </is>
      </c>
      <c r="X107" t="inlineStr">
        <is>
          <t>unknown</t>
        </is>
      </c>
      <c r="Y107" t="inlineStr">
        <is>
          <t>candidate</t>
        </is>
      </c>
      <c r="Z107" t="inlineStr">
        <is>
          <t>occupancy-unconfirmed</t>
        </is>
      </c>
      <c r="AA107" t="inlineStr"/>
      <c r="AB107" t="inlineStr">
        <is>
          <t>2026-10-24</t>
        </is>
      </c>
      <c r="AC107" s="3" t="inlineStr"/>
      <c r="AD107" t="inlineStr">
        <is>
          <t>builtin</t>
        </is>
      </c>
      <c r="AE107" t="inlineStr"/>
      <c r="AF107" t="inlineStr">
        <is>
          <t>no-coworking-in-building</t>
        </is>
      </c>
      <c r="AG107" t="inlineStr">
        <is>
          <t>1008260069</t>
        </is>
      </c>
      <c r="AH107" t="n">
        <v>0</v>
      </c>
      <c r="AI107" t="inlineStr"/>
      <c r="AJ107" t="inlineStr">
        <is>
          <t>S3</t>
        </is>
      </c>
    </row>
    <row r="108">
      <c r="A108" t="inlineStr">
        <is>
          <t>B-C-107</t>
        </is>
      </c>
      <c r="B108" t="inlineStr">
        <is>
          <t>MediaCo Holding (HOT 97, WBLS)</t>
        </is>
      </c>
      <c r="C108" s="2" t="inlineStr">
        <is>
          <t>https://www.mediacoholding.com/</t>
        </is>
      </c>
      <c r="D108" t="inlineStr">
        <is>
          <t>Media (radio and digital)</t>
        </is>
      </c>
      <c r="E108" t="inlineStr">
        <is>
          <t>B-B-054</t>
        </is>
      </c>
      <c r="F108" t="inlineStr">
        <is>
          <t>48 West 25th Street</t>
        </is>
      </c>
      <c r="G108" t="inlineStr">
        <is>
          <t>unknown</t>
        </is>
      </c>
      <c r="H108" t="inlineStr">
        <is>
          <t>10010</t>
        </is>
      </c>
      <c r="I108" t="n">
        <v>40.743751</v>
      </c>
      <c r="J108" t="n">
        <v>-73.99137399999999</v>
      </c>
      <c r="K108" t="inlineStr">
        <is>
          <t>Y</t>
        </is>
      </c>
      <c r="L108" t="inlineStr">
        <is>
          <t>unknown</t>
        </is>
      </c>
      <c r="M108" t="inlineStr">
        <is>
          <t>unknown</t>
        </is>
      </c>
      <c r="N108" t="inlineStr"/>
      <c r="O108" s="2" t="inlineStr">
        <is>
          <t>https://commercialobserver.com/2026/08/sapien-ai-lease-kaufman-organization-48-west-25th-street/</t>
        </is>
      </c>
      <c r="P108" t="inlineStr">
        <is>
          <t>2026-08-03</t>
        </is>
      </c>
      <c r="Q108" t="inlineStr"/>
      <c r="R108" t="inlineStr">
        <is>
          <t>medium</t>
        </is>
      </c>
      <c r="S108" t="inlineStr">
        <is>
          <t>N</t>
        </is>
      </c>
      <c r="T108" t="inlineStr"/>
      <c r="U108" t="inlineStr"/>
      <c r="V108" s="3" t="inlineStr">
        <is>
          <t>CO Aug 2026: MediaCo Holding, parent of HOT 97 and WBLS, signed a 16-year, 25,000 sf lease at 48 W 25th St in 2023 (one of the most recent tenants before the Kaufman purchase). CO Jan 2023 headline (seen on CO tag page) reported the relocation. Headcount not found in an opened source.</t>
        </is>
      </c>
      <c r="W108" t="inlineStr">
        <is>
          <t>2026-10-23</t>
        </is>
      </c>
      <c r="X108" t="inlineStr">
        <is>
          <t>unknown</t>
        </is>
      </c>
      <c r="Y108" t="inlineStr">
        <is>
          <t>candidate</t>
        </is>
      </c>
      <c r="Z108" t="inlineStr">
        <is>
          <t>occupied</t>
        </is>
      </c>
      <c r="AA108" t="inlineStr"/>
      <c r="AB108" t="inlineStr"/>
      <c r="AC108" s="3" t="inlineStr">
        <is>
          <t>No opened source gives a count: no Built In profile with a total, the company site publishes none, and LinkedIn was off-limits. Founder to confirm at intake.</t>
        </is>
      </c>
      <c r="AD108" t="inlineStr">
        <is>
          <t>leasing-press</t>
        </is>
      </c>
      <c r="AE108" t="inlineStr"/>
      <c r="AF108" t="inlineStr">
        <is>
          <t>no-coworking-in-building</t>
        </is>
      </c>
      <c r="AG108" t="inlineStr">
        <is>
          <t>1008260069</t>
        </is>
      </c>
      <c r="AH108" t="n">
        <v>0</v>
      </c>
      <c r="AI108" t="inlineStr">
        <is>
          <t>25,000 sf</t>
        </is>
      </c>
      <c r="AJ108" t="inlineStr">
        <is>
          <t>S3</t>
        </is>
      </c>
    </row>
    <row r="109">
      <c r="A109" t="inlineStr">
        <is>
          <t>B-C-108</t>
        </is>
      </c>
      <c r="B109" t="inlineStr">
        <is>
          <t>Sapien AI</t>
        </is>
      </c>
      <c r="C109" t="inlineStr"/>
      <c r="D109" t="inlineStr">
        <is>
          <t>Software (AI financial and operations analytics)</t>
        </is>
      </c>
      <c r="E109" t="inlineStr">
        <is>
          <t>B-B-054</t>
        </is>
      </c>
      <c r="F109" t="inlineStr">
        <is>
          <t>48 West 25th Street</t>
        </is>
      </c>
      <c r="G109" t="inlineStr">
        <is>
          <t>5</t>
        </is>
      </c>
      <c r="H109" t="inlineStr">
        <is>
          <t>10010</t>
        </is>
      </c>
      <c r="I109" t="n">
        <v>40.743751</v>
      </c>
      <c r="J109" t="n">
        <v>-73.99137399999999</v>
      </c>
      <c r="K109" t="inlineStr">
        <is>
          <t>Y</t>
        </is>
      </c>
      <c r="L109" t="inlineStr">
        <is>
          <t>unknown</t>
        </is>
      </c>
      <c r="M109" t="inlineStr">
        <is>
          <t>unknown</t>
        </is>
      </c>
      <c r="N109" t="inlineStr"/>
      <c r="O109" s="2" t="inlineStr">
        <is>
          <t>https://commercialobserver.com/2026/08/sapien-ai-lease-kaufman-organization-48-west-25th-street/</t>
        </is>
      </c>
      <c r="P109" t="inlineStr">
        <is>
          <t>2026-08-03</t>
        </is>
      </c>
      <c r="Q109" s="2" t="inlineStr">
        <is>
          <t>https://flatironnomad.nyc/2026/09/02/august-news-roundup-7/</t>
        </is>
      </c>
      <c r="R109" t="inlineStr">
        <is>
          <t>medium</t>
        </is>
      </c>
      <c r="S109" t="inlineStr">
        <is>
          <t>N</t>
        </is>
      </c>
      <c r="T109" t="inlineStr"/>
      <c r="U109" t="inlineStr"/>
      <c r="V109" s="3" t="inlineStr">
        <is>
          <t>CO Aug 2026: about 10,500 sf, entire 5th floor, relocating from 184 Fifth Avenue. FNP roundup repeats the CO report. Website and headcount not confirmed (Built In 'sapien' profile is a 5-person Berkeley firm, likely a different company).</t>
        </is>
      </c>
      <c r="W109" t="inlineStr">
        <is>
          <t>2026-10-23</t>
        </is>
      </c>
      <c r="X109" t="inlineStr">
        <is>
          <t>unknown</t>
        </is>
      </c>
      <c r="Y109" t="inlineStr">
        <is>
          <t>candidate</t>
        </is>
      </c>
      <c r="Z109" t="inlineStr">
        <is>
          <t>signed-not-occupied</t>
        </is>
      </c>
      <c r="AA109" t="inlineStr">
        <is>
          <t>unknown</t>
        </is>
      </c>
      <c r="AB109" t="inlineStr"/>
      <c r="AC109" s="3" t="inlineStr">
        <is>
          <t>The Built In 'sapien' profile is a different 5-person Berkeley firm.</t>
        </is>
      </c>
      <c r="AD109" t="inlineStr">
        <is>
          <t>leasing-press</t>
        </is>
      </c>
      <c r="AE109" t="inlineStr">
        <is>
          <t>2026-09-02</t>
        </is>
      </c>
      <c r="AF109" t="inlineStr">
        <is>
          <t>no-coworking-in-building</t>
        </is>
      </c>
      <c r="AG109" t="inlineStr">
        <is>
          <t>1008260069</t>
        </is>
      </c>
      <c r="AH109" t="n">
        <v>0</v>
      </c>
      <c r="AI109" t="inlineStr">
        <is>
          <t>10,500 sf</t>
        </is>
      </c>
      <c r="AJ109" t="inlineStr">
        <is>
          <t>S3</t>
        </is>
      </c>
    </row>
    <row r="110">
      <c r="A110" t="inlineStr">
        <is>
          <t>B-C-109</t>
        </is>
      </c>
      <c r="B110" t="inlineStr">
        <is>
          <t>Green Mountain Energy</t>
        </is>
      </c>
      <c r="C110" s="2" t="inlineStr">
        <is>
          <t>https://www.greenmountainenergy.com/</t>
        </is>
      </c>
      <c r="D110" t="inlineStr">
        <is>
          <t>Energy retailer (renewable electricity)</t>
        </is>
      </c>
      <c r="E110" t="inlineStr">
        <is>
          <t>B-B-056</t>
        </is>
      </c>
      <c r="F110" t="inlineStr">
        <is>
          <t>16 Madison Square West</t>
        </is>
      </c>
      <c r="G110" t="inlineStr">
        <is>
          <t>unknown</t>
        </is>
      </c>
      <c r="H110" t="inlineStr">
        <is>
          <t>10010</t>
        </is>
      </c>
      <c r="I110" t="n">
        <v>40.743006</v>
      </c>
      <c r="J110" t="n">
        <v>-73.98947</v>
      </c>
      <c r="K110" t="inlineStr">
        <is>
          <t>Y</t>
        </is>
      </c>
      <c r="L110" t="inlineStr">
        <is>
          <t>251-500</t>
        </is>
      </c>
      <c r="M110" t="inlineStr">
        <is>
          <t>whole-company</t>
        </is>
      </c>
      <c r="N110" s="2" t="inlineStr">
        <is>
          <t>https://www.builtinnyc.com/company/green-mountain-energy/offices</t>
        </is>
      </c>
      <c r="O110" s="2" t="inlineStr">
        <is>
          <t>https://commercialobserver.com/2026/01/purple-lease-16-madison-square-west/</t>
        </is>
      </c>
      <c r="P110" t="inlineStr">
        <is>
          <t>2026-01-08</t>
        </is>
      </c>
      <c r="Q110" t="inlineStr"/>
      <c r="R110" t="inlineStr">
        <is>
          <t>medium</t>
        </is>
      </c>
      <c r="S110" t="inlineStr">
        <is>
          <t>N</t>
        </is>
      </c>
      <c r="T110" t="inlineStr"/>
      <c r="U110" t="inlineStr"/>
      <c r="V110" s="3" t="inlineStr">
        <is>
          <t>CO Jan 2026 lists 'the New York City offices of Green Mountain Energy' as a current tenant. HQ Houston; Built In shows 334 total employees for Green Mountain (it is part of NRG Energy, which is much larger). NYC office size unknown.</t>
        </is>
      </c>
      <c r="W110" t="inlineStr">
        <is>
          <t>2026-10-23</t>
        </is>
      </c>
      <c r="X110" t="inlineStr">
        <is>
          <t>security desk</t>
        </is>
      </c>
      <c r="Y110" t="inlineStr">
        <is>
          <t>candidate</t>
        </is>
      </c>
      <c r="Z110" t="inlineStr">
        <is>
          <t>occupied</t>
        </is>
      </c>
      <c r="AA110" t="inlineStr"/>
      <c r="AB110" t="inlineStr">
        <is>
          <t>2026-10-23</t>
        </is>
      </c>
      <c r="AC110" s="3" t="inlineStr"/>
      <c r="AD110" t="inlineStr">
        <is>
          <t>leasing-press</t>
        </is>
      </c>
      <c r="AE110" t="inlineStr"/>
      <c r="AF110" t="inlineStr">
        <is>
          <t>direct-lease-documented</t>
        </is>
      </c>
      <c r="AG110" t="inlineStr">
        <is>
          <t>1008260046</t>
        </is>
      </c>
      <c r="AH110" t="n">
        <v>0</v>
      </c>
      <c r="AI110" t="inlineStr"/>
      <c r="AJ110" t="inlineStr">
        <is>
          <t>S3</t>
        </is>
      </c>
    </row>
    <row r="111">
      <c r="A111" t="inlineStr">
        <is>
          <t>B-C-110</t>
        </is>
      </c>
      <c r="B111" t="inlineStr">
        <is>
          <t>Purple (PR)</t>
        </is>
      </c>
      <c r="C111" s="2" t="inlineStr">
        <is>
          <t>https://purplepr.com/</t>
        </is>
      </c>
      <c r="D111" t="inlineStr">
        <is>
          <t>Public relations / lifestyle communications</t>
        </is>
      </c>
      <c r="E111" t="inlineStr">
        <is>
          <t>B-B-056</t>
        </is>
      </c>
      <c r="F111" t="inlineStr">
        <is>
          <t>16 Madison Square West</t>
        </is>
      </c>
      <c r="G111" t="inlineStr">
        <is>
          <t>full floor (number not stated)</t>
        </is>
      </c>
      <c r="H111" t="inlineStr">
        <is>
          <t>10010</t>
        </is>
      </c>
      <c r="I111" t="n">
        <v>40.743006</v>
      </c>
      <c r="J111" t="n">
        <v>-73.98947</v>
      </c>
      <c r="K111" t="inlineStr">
        <is>
          <t>Y</t>
        </is>
      </c>
      <c r="L111" t="inlineStr">
        <is>
          <t>unknown</t>
        </is>
      </c>
      <c r="M111" t="inlineStr">
        <is>
          <t>unknown</t>
        </is>
      </c>
      <c r="N111" t="inlineStr"/>
      <c r="O111" s="2" t="inlineStr">
        <is>
          <t>https://commercialobserver.com/2026/01/purple-lease-16-madison-square-west/</t>
        </is>
      </c>
      <c r="P111" t="inlineStr">
        <is>
          <t>2026-01-08</t>
        </is>
      </c>
      <c r="Q111" s="2" t="inlineStr">
        <is>
          <t>https://flatironnomad.nyc/2026/02/18/january-news-roundup-7/</t>
        </is>
      </c>
      <c r="R111" t="inlineStr">
        <is>
          <t>medium</t>
        </is>
      </c>
      <c r="S111" t="inlineStr">
        <is>
          <t>N</t>
        </is>
      </c>
      <c r="T111" t="inlineStr"/>
      <c r="U111" t="inlineStr"/>
      <c r="V111" s="3" t="inlineStr">
        <is>
          <t>CO Jan 2026: 10-yr lease, about 24,000 sf full floor, relocating from 322 Eighth Ave. London-based with offices in LA, Miami, Hong Kong. Move-in date not stated. FNP roundup repeats the CO report. Not the mattress company Purple.</t>
        </is>
      </c>
      <c r="W111" t="inlineStr">
        <is>
          <t>2026-10-23</t>
        </is>
      </c>
      <c r="X111" t="inlineStr">
        <is>
          <t>security desk</t>
        </is>
      </c>
      <c r="Y111" t="inlineStr">
        <is>
          <t>candidate</t>
        </is>
      </c>
      <c r="Z111" t="inlineStr">
        <is>
          <t>occupancy-unconfirmed</t>
        </is>
      </c>
      <c r="AA111" t="inlineStr"/>
      <c r="AB111" t="inlineStr"/>
      <c r="AC111" s="3" t="inlineStr">
        <is>
          <t>No opened source gives a count: no Built In profile with a total, the company site publishes none, and LinkedIn was off-limits. Founder to confirm at intake.</t>
        </is>
      </c>
      <c r="AD111" t="inlineStr">
        <is>
          <t>leasing-press</t>
        </is>
      </c>
      <c r="AE111" t="inlineStr">
        <is>
          <t>2026-02-18</t>
        </is>
      </c>
      <c r="AF111" t="inlineStr">
        <is>
          <t>direct-lease-documented</t>
        </is>
      </c>
      <c r="AG111" t="inlineStr">
        <is>
          <t>1008260046</t>
        </is>
      </c>
      <c r="AH111" t="n">
        <v>0</v>
      </c>
      <c r="AI111" t="inlineStr">
        <is>
          <t>24,000 sf</t>
        </is>
      </c>
      <c r="AJ111" t="inlineStr">
        <is>
          <t>S3</t>
        </is>
      </c>
    </row>
    <row r="112">
      <c r="A112" t="inlineStr">
        <is>
          <t>B-C-111</t>
        </is>
      </c>
      <c r="B112" t="inlineStr">
        <is>
          <t>Wellcom Worldwide</t>
        </is>
      </c>
      <c r="C112" s="2" t="inlineStr">
        <is>
          <t>https://www.wellcomworldwide.com/</t>
        </is>
      </c>
      <c r="D112" t="inlineStr">
        <is>
          <t>Creative production agency</t>
        </is>
      </c>
      <c r="E112" t="inlineStr">
        <is>
          <t>B-B-056</t>
        </is>
      </c>
      <c r="F112" t="inlineStr">
        <is>
          <t>16 Madison Square West</t>
        </is>
      </c>
      <c r="G112" t="inlineStr">
        <is>
          <t>unknown</t>
        </is>
      </c>
      <c r="H112" t="inlineStr">
        <is>
          <t>10010</t>
        </is>
      </c>
      <c r="I112" t="n">
        <v>40.743006</v>
      </c>
      <c r="J112" t="n">
        <v>-73.98947</v>
      </c>
      <c r="K112" t="inlineStr">
        <is>
          <t>Y</t>
        </is>
      </c>
      <c r="L112" t="inlineStr">
        <is>
          <t>251-500</t>
        </is>
      </c>
      <c r="M112" t="inlineStr">
        <is>
          <t>whole-company</t>
        </is>
      </c>
      <c r="N112" s="2" t="inlineStr">
        <is>
          <t>https://www.builtinnyc.com/company/wellcom-worldwide/offices</t>
        </is>
      </c>
      <c r="O112" s="2" t="inlineStr">
        <is>
          <t>https://commercialobserver.com/2024/08/wellcom-worldwide-signs-24k-sf-lease-16-madison-square-west-manhattan/</t>
        </is>
      </c>
      <c r="P112" t="inlineStr">
        <is>
          <t>2024-08-27</t>
        </is>
      </c>
      <c r="Q112" s="2" t="inlineStr">
        <is>
          <t>https://www.builtinnyc.com/company/wellcom-worldwide/offices</t>
        </is>
      </c>
      <c r="R112" t="inlineStr">
        <is>
          <t>medium</t>
        </is>
      </c>
      <c r="S112" t="inlineStr">
        <is>
          <t>N</t>
        </is>
      </c>
      <c r="T112" t="inlineStr"/>
      <c r="U112" t="inlineStr"/>
      <c r="V112" s="3" t="inlineStr">
        <is>
          <t>CO Aug 2024: 10-yr, 24,005 sf lease at 16 Madison Square West (1115 Broadway), moving from 175 Pearl St, Dumbo; owned by Innocean Worldwide since 2019. Lease article is older than 24 months, so current confirmation is the live Built In profile (HQ 1115 Broadway; 336 total employees). Company site showed no street address.</t>
        </is>
      </c>
      <c r="W112" t="inlineStr">
        <is>
          <t>2026-10-23</t>
        </is>
      </c>
      <c r="X112" t="inlineStr">
        <is>
          <t>security desk</t>
        </is>
      </c>
      <c r="Y112" t="inlineStr">
        <is>
          <t>candidate</t>
        </is>
      </c>
      <c r="Z112" t="inlineStr">
        <is>
          <t>occupied</t>
        </is>
      </c>
      <c r="AA112" t="inlineStr"/>
      <c r="AB112" t="inlineStr">
        <is>
          <t>2026-10-23</t>
        </is>
      </c>
      <c r="AC112" s="3" t="inlineStr"/>
      <c r="AD112" t="inlineStr">
        <is>
          <t>leasing-press</t>
        </is>
      </c>
      <c r="AE112" t="inlineStr">
        <is>
          <t>2026-10-23</t>
        </is>
      </c>
      <c r="AF112" t="inlineStr">
        <is>
          <t>direct-lease-documented</t>
        </is>
      </c>
      <c r="AG112" t="inlineStr">
        <is>
          <t>1008260046</t>
        </is>
      </c>
      <c r="AH112" t="n">
        <v>0</v>
      </c>
      <c r="AI112" t="inlineStr">
        <is>
          <t>24,005 sf</t>
        </is>
      </c>
      <c r="AJ112" t="inlineStr">
        <is>
          <t>S3</t>
        </is>
      </c>
    </row>
    <row r="113">
      <c r="A113" t="inlineStr">
        <is>
          <t>B-C-112</t>
        </is>
      </c>
      <c r="B113" t="inlineStr">
        <is>
          <t>BrightTower</t>
        </is>
      </c>
      <c r="C113" s="2" t="inlineStr">
        <is>
          <t>https://brighttower.com</t>
        </is>
      </c>
      <c r="D113" t="inlineStr">
        <is>
          <t>investment banking (M&amp;A advisory)</t>
        </is>
      </c>
      <c r="E113" t="inlineStr">
        <is>
          <t>B-B-057</t>
        </is>
      </c>
      <c r="F113" t="inlineStr">
        <is>
          <t>41 Madison Avenue</t>
        </is>
      </c>
      <c r="G113" t="inlineStr">
        <is>
          <t>32</t>
        </is>
      </c>
      <c r="H113" t="inlineStr">
        <is>
          <t>10010</t>
        </is>
      </c>
      <c r="I113" t="n">
        <v>40.742351</v>
      </c>
      <c r="J113" t="n">
        <v>-73.98630900000001</v>
      </c>
      <c r="K113" t="inlineStr">
        <is>
          <t>Y</t>
        </is>
      </c>
      <c r="L113" t="inlineStr">
        <is>
          <t>unknown</t>
        </is>
      </c>
      <c r="M113" t="inlineStr">
        <is>
          <t>unknown</t>
        </is>
      </c>
      <c r="N113" t="inlineStr"/>
      <c r="O113" s="2" t="inlineStr">
        <is>
          <t>https://commercialobserver.com/2026/03/brighttower-lease-rudin-41-madison-avenue/</t>
        </is>
      </c>
      <c r="P113" t="inlineStr">
        <is>
          <t>2026-03-09</t>
        </is>
      </c>
      <c r="Q113" t="inlineStr"/>
      <c r="R113" t="inlineStr">
        <is>
          <t>medium</t>
        </is>
      </c>
      <c r="S113" t="inlineStr">
        <is>
          <t>N</t>
        </is>
      </c>
      <c r="T113" t="inlineStr"/>
      <c r="U113" t="inlineStr"/>
      <c r="V113" s="3" t="inlineStr">
        <is>
          <t>13,857 SF full 32nd floor; HQ move from 110 East 25th Street planned for Q2 2026 (not confirmed complete). Company site has no address text. Headcount not found.</t>
        </is>
      </c>
      <c r="W113" t="inlineStr">
        <is>
          <t>2026-10-23</t>
        </is>
      </c>
      <c r="X113" t="inlineStr">
        <is>
          <t>security desk</t>
        </is>
      </c>
      <c r="Y113" t="inlineStr">
        <is>
          <t>candidate</t>
        </is>
      </c>
      <c r="Z113" t="inlineStr">
        <is>
          <t>signed-not-occupied</t>
        </is>
      </c>
      <c r="AA113" t="inlineStr">
        <is>
          <t>2026-Q2 (planned, not confirmed)</t>
        </is>
      </c>
      <c r="AB113" t="inlineStr"/>
      <c r="AC113" s="3" t="inlineStr">
        <is>
          <t>No opened source gives a count: no Built In profile with a total, the company site publishes none, and LinkedIn was off-limits. Founder to confirm at intake.</t>
        </is>
      </c>
      <c r="AD113" t="inlineStr">
        <is>
          <t>leasing-press</t>
        </is>
      </c>
      <c r="AE113" t="inlineStr"/>
      <c r="AF113" t="inlineStr">
        <is>
          <t>different-floor</t>
        </is>
      </c>
      <c r="AG113" t="inlineStr">
        <is>
          <t>1008550037</t>
        </is>
      </c>
      <c r="AH113" t="n">
        <v>0</v>
      </c>
      <c r="AI113" t="inlineStr">
        <is>
          <t>13,857 sf</t>
        </is>
      </c>
      <c r="AJ113" t="inlineStr">
        <is>
          <t>S4</t>
        </is>
      </c>
    </row>
    <row r="114">
      <c r="A114" t="inlineStr">
        <is>
          <t>B-C-113</t>
        </is>
      </c>
      <c r="B114" t="inlineStr">
        <is>
          <t>Clarick Gueron Reisbaum</t>
        </is>
      </c>
      <c r="C114" t="inlineStr">
        <is>
          <t>unknown</t>
        </is>
      </c>
      <c r="D114" t="inlineStr">
        <is>
          <t>law firm (commercial litigation)</t>
        </is>
      </c>
      <c r="E114" t="inlineStr">
        <is>
          <t>B-B-057</t>
        </is>
      </c>
      <c r="F114" t="inlineStr">
        <is>
          <t>41 Madison Avenue</t>
        </is>
      </c>
      <c r="G114" t="inlineStr">
        <is>
          <t>23</t>
        </is>
      </c>
      <c r="H114" t="inlineStr">
        <is>
          <t>10010</t>
        </is>
      </c>
      <c r="I114" t="n">
        <v>40.742351</v>
      </c>
      <c r="J114" t="n">
        <v>-73.98630900000001</v>
      </c>
      <c r="K114" t="inlineStr">
        <is>
          <t>Y</t>
        </is>
      </c>
      <c r="L114" t="inlineStr">
        <is>
          <t>unknown</t>
        </is>
      </c>
      <c r="M114" t="inlineStr">
        <is>
          <t>unknown</t>
        </is>
      </c>
      <c r="N114" t="inlineStr"/>
      <c r="O114" s="2" t="inlineStr">
        <is>
          <t>https://commercialobserver.com/2024/06/law-firm-clarick-gueron-reisbaum-signs-13k-sf-lease-at-rudins-41-madison-avenue/</t>
        </is>
      </c>
      <c r="P114" t="inlineStr">
        <is>
          <t>2024-06-24</t>
        </is>
      </c>
      <c r="Q114" t="inlineStr"/>
      <c r="R114" t="inlineStr">
        <is>
          <t>low</t>
        </is>
      </c>
      <c r="S114" t="inlineStr">
        <is>
          <t>N</t>
        </is>
      </c>
      <c r="T114" t="inlineStr"/>
      <c r="U114" t="inlineStr"/>
      <c r="V114" s="3" t="inlineStr">
        <is>
          <t>11-year 13,394 SF lease on floor 23, moving from 220 Fifth Ave. Source is just over 24 months old and the firm site could not be opened (TLS error), so low until confirmed.</t>
        </is>
      </c>
      <c r="W114" t="inlineStr">
        <is>
          <t>2026-10-23</t>
        </is>
      </c>
      <c r="X114" t="inlineStr">
        <is>
          <t>security desk</t>
        </is>
      </c>
      <c r="Y114" t="inlineStr">
        <is>
          <t>candidate</t>
        </is>
      </c>
      <c r="Z114" t="inlineStr">
        <is>
          <t>occupancy-unconfirmed</t>
        </is>
      </c>
      <c r="AA114" t="inlineStr"/>
      <c r="AB114" t="inlineStr"/>
      <c r="AC114" s="3" t="inlineStr">
        <is>
          <t>No opened source gives a count: no Built In profile with a total, the company site publishes none, and LinkedIn was off-limits. Founder to confirm at intake.</t>
        </is>
      </c>
      <c r="AD114" t="inlineStr">
        <is>
          <t>leasing-press</t>
        </is>
      </c>
      <c r="AE114" t="inlineStr"/>
      <c r="AF114" t="inlineStr">
        <is>
          <t>different-floor</t>
        </is>
      </c>
      <c r="AG114" t="inlineStr">
        <is>
          <t>1008550037</t>
        </is>
      </c>
      <c r="AH114" t="n">
        <v>0</v>
      </c>
      <c r="AI114" t="inlineStr">
        <is>
          <t>13,394 sf</t>
        </is>
      </c>
      <c r="AJ114" t="inlineStr">
        <is>
          <t>S4</t>
        </is>
      </c>
    </row>
    <row r="115">
      <c r="A115" t="inlineStr">
        <is>
          <t>B-C-114</t>
        </is>
      </c>
      <c r="B115" t="inlineStr">
        <is>
          <t>Kensington Vanguard National Land Services</t>
        </is>
      </c>
      <c r="C115" s="2" t="inlineStr">
        <is>
          <t>https://www.kvnational.com</t>
        </is>
      </c>
      <c r="D115" t="inlineStr">
        <is>
          <t>title insurance</t>
        </is>
      </c>
      <c r="E115" t="inlineStr">
        <is>
          <t>B-B-057</t>
        </is>
      </c>
      <c r="F115" t="inlineStr">
        <is>
          <t>41 Madison Avenue</t>
        </is>
      </c>
      <c r="G115" t="inlineStr">
        <is>
          <t>21</t>
        </is>
      </c>
      <c r="H115" t="inlineStr">
        <is>
          <t>10010</t>
        </is>
      </c>
      <c r="I115" t="n">
        <v>40.742351</v>
      </c>
      <c r="J115" t="n">
        <v>-73.98630900000001</v>
      </c>
      <c r="K115" t="inlineStr">
        <is>
          <t>Y</t>
        </is>
      </c>
      <c r="L115" t="inlineStr">
        <is>
          <t>unknown</t>
        </is>
      </c>
      <c r="M115" t="inlineStr">
        <is>
          <t>unknown</t>
        </is>
      </c>
      <c r="N115" t="inlineStr"/>
      <c r="O115" s="2" t="inlineStr">
        <is>
          <t>https://commercialobserver.com/2023/11/law-firm-kensington-vanguard-signs-13k-sf-lease-at-41-madison/</t>
        </is>
      </c>
      <c r="P115" t="inlineStr">
        <is>
          <t>2023-11-01</t>
        </is>
      </c>
      <c r="Q115" t="inlineStr"/>
      <c r="R115" t="inlineStr">
        <is>
          <t>low</t>
        </is>
      </c>
      <c r="S115" t="inlineStr">
        <is>
          <t>N</t>
        </is>
      </c>
      <c r="T115" t="inlineStr"/>
      <c r="U115" t="inlineStr"/>
      <c r="V115" s="3" t="inlineStr">
        <is>
          <t>10-year 13,394 SF lease on full 21st floor (NYC office), moving from 39 W 37th St. Older source; company homepage opened but shows no address.</t>
        </is>
      </c>
      <c r="W115" t="inlineStr">
        <is>
          <t>2026-10-23</t>
        </is>
      </c>
      <c r="X115" t="inlineStr">
        <is>
          <t>security desk</t>
        </is>
      </c>
      <c r="Y115" t="inlineStr">
        <is>
          <t>candidate</t>
        </is>
      </c>
      <c r="Z115" t="inlineStr">
        <is>
          <t>occupancy-unconfirmed</t>
        </is>
      </c>
      <c r="AA115" t="inlineStr"/>
      <c r="AB115" t="inlineStr"/>
      <c r="AC115" s="3" t="inlineStr">
        <is>
          <t>No opened source gives a count: no Built In profile with a total, the company site publishes none, and LinkedIn was off-limits. Founder to confirm at intake.</t>
        </is>
      </c>
      <c r="AD115" t="inlineStr">
        <is>
          <t>leasing-press</t>
        </is>
      </c>
      <c r="AE115" t="inlineStr"/>
      <c r="AF115" t="inlineStr">
        <is>
          <t>different-floor</t>
        </is>
      </c>
      <c r="AG115" t="inlineStr">
        <is>
          <t>1008550037</t>
        </is>
      </c>
      <c r="AH115" t="n">
        <v>0</v>
      </c>
      <c r="AI115" t="inlineStr">
        <is>
          <t>13,394 sf</t>
        </is>
      </c>
      <c r="AJ115" t="inlineStr">
        <is>
          <t>S4</t>
        </is>
      </c>
    </row>
    <row r="116">
      <c r="A116" t="inlineStr">
        <is>
          <t>B-C-115</t>
        </is>
      </c>
      <c r="B116" t="inlineStr">
        <is>
          <t>Polar Asset Management Partners</t>
        </is>
      </c>
      <c r="C116" s="2" t="inlineStr">
        <is>
          <t>https://polaramp.com</t>
        </is>
      </c>
      <c r="D116" t="inlineStr">
        <is>
          <t>alternative asset management</t>
        </is>
      </c>
      <c r="E116" t="inlineStr">
        <is>
          <t>B-B-057</t>
        </is>
      </c>
      <c r="F116" t="inlineStr">
        <is>
          <t>41 Madison Avenue</t>
        </is>
      </c>
      <c r="G116" t="inlineStr">
        <is>
          <t>36 (per site); moving to 33</t>
        </is>
      </c>
      <c r="H116" t="inlineStr">
        <is>
          <t>10010</t>
        </is>
      </c>
      <c r="I116" t="n">
        <v>40.742351</v>
      </c>
      <c r="J116" t="n">
        <v>-73.98630900000001</v>
      </c>
      <c r="K116" t="inlineStr">
        <is>
          <t>Y</t>
        </is>
      </c>
      <c r="L116" t="inlineStr">
        <is>
          <t>unknown</t>
        </is>
      </c>
      <c r="M116" t="inlineStr">
        <is>
          <t>unknown</t>
        </is>
      </c>
      <c r="N116" t="inlineStr"/>
      <c r="O116" s="2" t="inlineStr">
        <is>
          <t>https://commercialobserver.com/2026/05/polar-asset-management-partners-lease-rudin-41-madison-avenue/</t>
        </is>
      </c>
      <c r="P116" t="inlineStr">
        <is>
          <t>2026-05-04</t>
        </is>
      </c>
      <c r="Q116" s="2" t="inlineStr">
        <is>
          <t>https://polaramp.com/contact</t>
        </is>
      </c>
      <c r="R116" t="inlineStr">
        <is>
          <t>high</t>
        </is>
      </c>
      <c r="S116" t="inlineStr">
        <is>
          <t>N</t>
        </is>
      </c>
      <c r="T116" t="inlineStr"/>
      <c r="U116" t="inlineStr"/>
      <c r="V116" s="3" t="inlineStr">
        <is>
          <t>Toronto-based; CO 2026-05: occupies 9,848 SF across two floors and renewing for 11 years into the full 33rd floor (13,357 SF). Contact page lists New York at 41 Madison Avenue 36th Floor. NYC headcount not found.</t>
        </is>
      </c>
      <c r="W116" t="inlineStr">
        <is>
          <t>2026-10-23</t>
        </is>
      </c>
      <c r="X116" t="inlineStr">
        <is>
          <t>security desk</t>
        </is>
      </c>
      <c r="Y116" t="inlineStr">
        <is>
          <t>candidate</t>
        </is>
      </c>
      <c r="Z116" t="inlineStr">
        <is>
          <t>occupied</t>
        </is>
      </c>
      <c r="AA116" t="inlineStr"/>
      <c r="AB116" t="inlineStr"/>
      <c r="AC116" s="3" t="inlineStr">
        <is>
          <t>No opened source gives a count: no Built In profile with a total, the company site publishes none, and LinkedIn was off-limits. Founder to confirm at intake.</t>
        </is>
      </c>
      <c r="AD116" t="inlineStr">
        <is>
          <t>leasing-press</t>
        </is>
      </c>
      <c r="AE116" t="inlineStr">
        <is>
          <t>2026-10-23</t>
        </is>
      </c>
      <c r="AF116" t="inlineStr">
        <is>
          <t>different-floor</t>
        </is>
      </c>
      <c r="AG116" t="inlineStr">
        <is>
          <t>1008550037</t>
        </is>
      </c>
      <c r="AH116" t="n">
        <v>0</v>
      </c>
      <c r="AI116" t="inlineStr">
        <is>
          <t>9,848 sf; 13,357 sf</t>
        </is>
      </c>
      <c r="AJ116" t="inlineStr">
        <is>
          <t>S4</t>
        </is>
      </c>
    </row>
    <row r="117">
      <c r="A117" t="inlineStr">
        <is>
          <t>B-C-116</t>
        </is>
      </c>
      <c r="B117" t="inlineStr">
        <is>
          <t>TenBerke (formerly Deborah Berke Partners)</t>
        </is>
      </c>
      <c r="C117" s="2" t="inlineStr">
        <is>
          <t>https://tenberke.com</t>
        </is>
      </c>
      <c r="D117" t="inlineStr">
        <is>
          <t>architecture</t>
        </is>
      </c>
      <c r="E117" t="inlineStr">
        <is>
          <t>B-B-057</t>
        </is>
      </c>
      <c r="F117" t="inlineStr">
        <is>
          <t>41 Madison Avenue</t>
        </is>
      </c>
      <c r="G117" t="inlineStr">
        <is>
          <t>17</t>
        </is>
      </c>
      <c r="H117" t="inlineStr">
        <is>
          <t>10010</t>
        </is>
      </c>
      <c r="I117" t="n">
        <v>40.742351</v>
      </c>
      <c r="J117" t="n">
        <v>-73.98630900000001</v>
      </c>
      <c r="K117" t="inlineStr">
        <is>
          <t>Y</t>
        </is>
      </c>
      <c r="L117" t="inlineStr">
        <is>
          <t>unknown</t>
        </is>
      </c>
      <c r="M117" t="inlineStr">
        <is>
          <t>unknown</t>
        </is>
      </c>
      <c r="N117" t="inlineStr"/>
      <c r="O117" s="2" t="inlineStr">
        <is>
          <t>https://tenberke.com/contact/</t>
        </is>
      </c>
      <c r="P117" t="inlineStr">
        <is>
          <t>2026-10-23</t>
        </is>
      </c>
      <c r="Q117" s="2" t="inlineStr">
        <is>
          <t>https://commercialobserver.com/2022/12/deborah-berke-takes-13k-sf-at-41-madison-avenue/</t>
        </is>
      </c>
      <c r="R117" t="inlineStr">
        <is>
          <t>high</t>
        </is>
      </c>
      <c r="S117" t="inlineStr">
        <is>
          <t>N</t>
        </is>
      </c>
      <c r="T117" t="inlineStr"/>
      <c r="U117" t="inlineStr"/>
      <c r="V117" s="3" t="inlineStr">
        <is>
          <t>Contact page lists 41 Madison Avenue, 17th Floor. CO 2022: 10-year 13,331 SF lease on full 17th floor. Headcount not found.</t>
        </is>
      </c>
      <c r="W117" t="inlineStr">
        <is>
          <t>2026-10-23</t>
        </is>
      </c>
      <c r="X117" t="inlineStr">
        <is>
          <t>security desk</t>
        </is>
      </c>
      <c r="Y117" t="inlineStr">
        <is>
          <t>candidate</t>
        </is>
      </c>
      <c r="Z117" t="inlineStr">
        <is>
          <t>occupied</t>
        </is>
      </c>
      <c r="AA117" t="inlineStr"/>
      <c r="AB117" t="inlineStr"/>
      <c r="AC117" s="3" t="inlineStr">
        <is>
          <t>No opened source gives a count: no Built In profile with a total, the company site publishes none, and LinkedIn was off-limits. Founder to confirm at intake.</t>
        </is>
      </c>
      <c r="AD117" t="inlineStr">
        <is>
          <t>company-site</t>
        </is>
      </c>
      <c r="AE117" t="inlineStr">
        <is>
          <t>2022-12-20</t>
        </is>
      </c>
      <c r="AF117" t="inlineStr">
        <is>
          <t>different-floor</t>
        </is>
      </c>
      <c r="AG117" t="inlineStr">
        <is>
          <t>1008550037</t>
        </is>
      </c>
      <c r="AH117" t="n">
        <v>0</v>
      </c>
      <c r="AI117" t="inlineStr">
        <is>
          <t>13,331 sf</t>
        </is>
      </c>
      <c r="AJ117" t="inlineStr">
        <is>
          <t>S4</t>
        </is>
      </c>
    </row>
    <row r="118">
      <c r="A118" t="inlineStr">
        <is>
          <t>B-C-117</t>
        </is>
      </c>
      <c r="B118" t="inlineStr">
        <is>
          <t>Urban Atelier Group</t>
        </is>
      </c>
      <c r="C118" t="inlineStr">
        <is>
          <t>unknown</t>
        </is>
      </c>
      <c r="D118" t="inlineStr">
        <is>
          <t>construction management and design-build</t>
        </is>
      </c>
      <c r="E118" t="inlineStr">
        <is>
          <t>B-B-057</t>
        </is>
      </c>
      <c r="F118" t="inlineStr">
        <is>
          <t>41 Madison Avenue</t>
        </is>
      </c>
      <c r="G118" t="inlineStr">
        <is>
          <t>12-13</t>
        </is>
      </c>
      <c r="H118" t="inlineStr">
        <is>
          <t>10010</t>
        </is>
      </c>
      <c r="I118" t="n">
        <v>40.742351</v>
      </c>
      <c r="J118" t="n">
        <v>-73.98630900000001</v>
      </c>
      <c r="K118" t="inlineStr">
        <is>
          <t>Y</t>
        </is>
      </c>
      <c r="L118" t="inlineStr">
        <is>
          <t>unknown</t>
        </is>
      </c>
      <c r="M118" t="inlineStr">
        <is>
          <t>unknown</t>
        </is>
      </c>
      <c r="N118" t="inlineStr"/>
      <c r="O118" s="2" t="inlineStr">
        <is>
          <t>https://commercialobserver.com/2024/11/urban-atelier-group-lease-41-madison-avenue/</t>
        </is>
      </c>
      <c r="P118" t="inlineStr">
        <is>
          <t>2024-11-04</t>
        </is>
      </c>
      <c r="Q118" t="inlineStr"/>
      <c r="R118" t="inlineStr">
        <is>
          <t>medium</t>
        </is>
      </c>
      <c r="S118" t="inlineStr">
        <is>
          <t>N</t>
        </is>
      </c>
      <c r="T118" t="inlineStr"/>
      <c r="U118" t="inlineStr"/>
      <c r="V118" s="3" t="inlineStr">
        <is>
          <t>15-year 25,268 SF lease on floors 12-13 for its new HQ (relocation and expansion). Headcount not found.</t>
        </is>
      </c>
      <c r="W118" t="inlineStr">
        <is>
          <t>2026-10-23</t>
        </is>
      </c>
      <c r="X118" t="inlineStr">
        <is>
          <t>security desk</t>
        </is>
      </c>
      <c r="Y118" t="inlineStr">
        <is>
          <t>candidate</t>
        </is>
      </c>
      <c r="Z118" t="inlineStr">
        <is>
          <t>occupancy-unconfirmed</t>
        </is>
      </c>
      <c r="AA118" t="inlineStr"/>
      <c r="AB118" t="inlineStr"/>
      <c r="AC118" s="3" t="inlineStr">
        <is>
          <t>No opened source gives a count: no Built In profile with a total, the company site publishes none, and LinkedIn was off-limits. Founder to confirm at intake.</t>
        </is>
      </c>
      <c r="AD118" t="inlineStr">
        <is>
          <t>leasing-press</t>
        </is>
      </c>
      <c r="AE118" t="inlineStr"/>
      <c r="AF118" t="inlineStr">
        <is>
          <t>different-floor</t>
        </is>
      </c>
      <c r="AG118" t="inlineStr">
        <is>
          <t>1008550037</t>
        </is>
      </c>
      <c r="AH118" t="n">
        <v>0</v>
      </c>
      <c r="AI118" t="inlineStr">
        <is>
          <t>25,268 sf</t>
        </is>
      </c>
      <c r="AJ118" t="inlineStr">
        <is>
          <t>S4</t>
        </is>
      </c>
    </row>
    <row r="119">
      <c r="A119" t="inlineStr">
        <is>
          <t>B-C-118</t>
        </is>
      </c>
      <c r="B119" t="inlineStr">
        <is>
          <t>Zip (digital banking)</t>
        </is>
      </c>
      <c r="C119" t="inlineStr">
        <is>
          <t>unknown</t>
        </is>
      </c>
      <c r="D119" t="inlineStr">
        <is>
          <t>fintech (credit and payments)</t>
        </is>
      </c>
      <c r="E119" t="inlineStr">
        <is>
          <t>B-B-057</t>
        </is>
      </c>
      <c r="F119" t="inlineStr">
        <is>
          <t>41 Madison Avenue</t>
        </is>
      </c>
      <c r="G119" t="inlineStr">
        <is>
          <t>18 (from April 2027)</t>
        </is>
      </c>
      <c r="H119" t="inlineStr">
        <is>
          <t>10010</t>
        </is>
      </c>
      <c r="I119" t="n">
        <v>40.742351</v>
      </c>
      <c r="J119" t="n">
        <v>-73.98630900000001</v>
      </c>
      <c r="K119" t="inlineStr">
        <is>
          <t>Y</t>
        </is>
      </c>
      <c r="L119" t="inlineStr">
        <is>
          <t>unknown</t>
        </is>
      </c>
      <c r="M119" t="inlineStr">
        <is>
          <t>unknown</t>
        </is>
      </c>
      <c r="N119" t="inlineStr"/>
      <c r="O119" s="2" t="inlineStr">
        <is>
          <t>https://commercialobserver.com/2026/09/zip-lease-rudin-41-madison-avenue/</t>
        </is>
      </c>
      <c r="P119" t="inlineStr">
        <is>
          <t>2026-09-17</t>
        </is>
      </c>
      <c r="Q119" t="inlineStr"/>
      <c r="R119" t="inlineStr">
        <is>
          <t>low</t>
        </is>
      </c>
      <c r="S119" t="inlineStr">
        <is>
          <t>N</t>
        </is>
      </c>
      <c r="T119" t="inlineStr"/>
      <c r="U119" t="inlineStr"/>
      <c r="V119" s="3" t="inlineStr">
        <is>
          <t>Will move in April 2027 to the full 18th floor (13,394 SF); CO describes Zip as a digital banking company specializing in credit and payment services. Not in the building yet, so low. The Built In profile named zip (ziphq.com, procurement software) is a different company, so no headcount is recorded. Near-miss on timing.</t>
        </is>
      </c>
      <c r="W119" t="inlineStr">
        <is>
          <t>2026-10-23</t>
        </is>
      </c>
      <c r="X119" t="inlineStr">
        <is>
          <t>security desk</t>
        </is>
      </c>
      <c r="Y119" t="inlineStr">
        <is>
          <t>candidate</t>
        </is>
      </c>
      <c r="Z119" t="inlineStr">
        <is>
          <t>signed-not-occupied</t>
        </is>
      </c>
      <c r="AA119" t="inlineStr">
        <is>
          <t>2027-04</t>
        </is>
      </c>
      <c r="AB119" t="inlineStr"/>
      <c r="AC119" s="3" t="inlineStr">
        <is>
          <t>The Built In 'zip' profile is a different company (ZipHQ).</t>
        </is>
      </c>
      <c r="AD119" t="inlineStr">
        <is>
          <t>leasing-press</t>
        </is>
      </c>
      <c r="AE119" t="inlineStr"/>
      <c r="AF119" t="inlineStr">
        <is>
          <t>different-floor</t>
        </is>
      </c>
      <c r="AG119" t="inlineStr">
        <is>
          <t>1008550037</t>
        </is>
      </c>
      <c r="AH119" t="n">
        <v>0</v>
      </c>
      <c r="AI119" t="inlineStr">
        <is>
          <t>13,394 sf</t>
        </is>
      </c>
      <c r="AJ119" t="inlineStr">
        <is>
          <t>S4</t>
        </is>
      </c>
    </row>
    <row r="120">
      <c r="A120" t="inlineStr">
        <is>
          <t>B-C-119</t>
        </is>
      </c>
      <c r="B120" t="inlineStr">
        <is>
          <t>Betches Media</t>
        </is>
      </c>
      <c r="C120" s="2" t="inlineStr">
        <is>
          <t>https://betches.com/</t>
        </is>
      </c>
      <c r="D120" t="inlineStr">
        <is>
          <t>Digital media (women's humor and lifestyle brand)</t>
        </is>
      </c>
      <c r="E120" t="inlineStr">
        <is>
          <t>B-B-059</t>
        </is>
      </c>
      <c r="F120" t="inlineStr">
        <is>
          <t>360 Park Avenue South</t>
        </is>
      </c>
      <c r="G120" t="inlineStr">
        <is>
          <t>6</t>
        </is>
      </c>
      <c r="H120" t="inlineStr">
        <is>
          <t>10010</t>
        </is>
      </c>
      <c r="I120" t="n">
        <v>40.742105</v>
      </c>
      <c r="J120" t="n">
        <v>-73.985534</v>
      </c>
      <c r="K120" t="inlineStr">
        <is>
          <t>Y</t>
        </is>
      </c>
      <c r="L120" t="inlineStr">
        <is>
          <t>unknown</t>
        </is>
      </c>
      <c r="M120" t="inlineStr">
        <is>
          <t>unknown</t>
        </is>
      </c>
      <c r="N120" t="inlineStr"/>
      <c r="O120" s="2" t="inlineStr">
        <is>
          <t>https://commercialobserver.com/2026/01/betches-coming-360-park-avenue-south/</t>
        </is>
      </c>
      <c r="P120" t="inlineStr">
        <is>
          <t>2026-01-22</t>
        </is>
      </c>
      <c r="Q120" s="2" t="inlineStr">
        <is>
          <t>https://www.connectcre.com/stories/bxp-secures-230k-sf-of-leases-at-360-park-ave-south/</t>
        </is>
      </c>
      <c r="R120" t="inlineStr">
        <is>
          <t>high</t>
        </is>
      </c>
      <c r="S120" t="inlineStr">
        <is>
          <t>N</t>
        </is>
      </c>
      <c r="T120" t="inlineStr"/>
      <c r="U120" t="inlineStr"/>
      <c r="V120" s="3" t="inlineStr">
        <is>
          <t>CO Jan 2026: 10-yr lease, entire 23,000 sf 6th floor, leaving 43 West 24th Street (also in this slice). ConnectCRE Mar 2026 (BXP release) confirms. Move-in date not stated; founder to confirm which address is current. Headcount not found in an opened source (Built In betches-media profile shows no count and an old 401 PAS address).</t>
        </is>
      </c>
      <c r="W120" t="inlineStr">
        <is>
          <t>2026-10-23</t>
        </is>
      </c>
      <c r="X120" t="inlineStr">
        <is>
          <t>unknown</t>
        </is>
      </c>
      <c r="Y120" t="inlineStr">
        <is>
          <t>candidate</t>
        </is>
      </c>
      <c r="Z120" t="inlineStr">
        <is>
          <t>signed-not-occupied</t>
        </is>
      </c>
      <c r="AA120" t="inlineStr">
        <is>
          <t>unknown</t>
        </is>
      </c>
      <c r="AB120" t="inlineStr"/>
      <c r="AC120" s="3" t="inlineStr">
        <is>
          <t>No opened source gives a count: no Built In profile with a total, the company site publishes none, and LinkedIn was off-limits. Founder to confirm at intake.</t>
        </is>
      </c>
      <c r="AD120" t="inlineStr">
        <is>
          <t>leasing-press</t>
        </is>
      </c>
      <c r="AE120" t="inlineStr">
        <is>
          <t>2026-03-16</t>
        </is>
      </c>
      <c r="AF120" t="inlineStr">
        <is>
          <t>no-coworking-in-building</t>
        </is>
      </c>
      <c r="AG120" t="inlineStr">
        <is>
          <t>1008550024</t>
        </is>
      </c>
      <c r="AH120" t="n">
        <v>0</v>
      </c>
      <c r="AI120" t="inlineStr">
        <is>
          <t>23,000 sf</t>
        </is>
      </c>
      <c r="AJ120" t="inlineStr">
        <is>
          <t>S3</t>
        </is>
      </c>
    </row>
    <row r="121">
      <c r="A121" t="inlineStr">
        <is>
          <t>B-C-120</t>
        </is>
      </c>
      <c r="B121" t="inlineStr">
        <is>
          <t>Hunter Point Capital</t>
        </is>
      </c>
      <c r="C121" s="2" t="inlineStr">
        <is>
          <t>https://www.hunterpointcapital.com/</t>
        </is>
      </c>
      <c r="D121" t="inlineStr">
        <is>
          <t>Investment firm (GP stakes / asset management)</t>
        </is>
      </c>
      <c r="E121" t="inlineStr">
        <is>
          <t>B-B-059</t>
        </is>
      </c>
      <c r="F121" t="inlineStr">
        <is>
          <t>360 Park Avenue South</t>
        </is>
      </c>
      <c r="G121" t="inlineStr">
        <is>
          <t>unknown</t>
        </is>
      </c>
      <c r="H121" t="inlineStr">
        <is>
          <t>10010</t>
        </is>
      </c>
      <c r="I121" t="n">
        <v>40.742105</v>
      </c>
      <c r="J121" t="n">
        <v>-73.985534</v>
      </c>
      <c r="K121" t="inlineStr">
        <is>
          <t>Y</t>
        </is>
      </c>
      <c r="L121" t="inlineStr">
        <is>
          <t>unknown</t>
        </is>
      </c>
      <c r="M121" t="inlineStr">
        <is>
          <t>unknown</t>
        </is>
      </c>
      <c r="N121" t="inlineStr"/>
      <c r="O121" s="2" t="inlineStr">
        <is>
          <t>https://www.connectcre.com/stories/bxp-secures-230k-sf-of-leases-at-360-park-ave-south/</t>
        </is>
      </c>
      <c r="P121" t="inlineStr">
        <is>
          <t>2026-03-16</t>
        </is>
      </c>
      <c r="Q121" s="2" t="inlineStr">
        <is>
          <t>https://commercialobserver.com/?p=563472</t>
        </is>
      </c>
      <c r="R121" t="inlineStr">
        <is>
          <t>medium</t>
        </is>
      </c>
      <c r="S121" t="inlineStr">
        <is>
          <t>N</t>
        </is>
      </c>
      <c r="T121" t="inlineStr"/>
      <c r="U121" t="inlineStr"/>
      <c r="V121" s="3" t="inlineStr">
        <is>
          <t>ConnectCRE and CO Mar 2026: about 46,000 sf at 360 PAS. The firm's website (live, opened 2026-10-24) still gives '610 Broadway 4th Floor, New York, NY 10012', so it has probably not moved yet; CO also said it was unclear whether this is a relocation or added space. Downgraded to medium. Headcount not stated on its site.</t>
        </is>
      </c>
      <c r="W121" t="inlineStr">
        <is>
          <t>2026-10-23</t>
        </is>
      </c>
      <c r="X121" t="inlineStr">
        <is>
          <t>unknown</t>
        </is>
      </c>
      <c r="Y121" t="inlineStr">
        <is>
          <t>candidate</t>
        </is>
      </c>
      <c r="Z121" t="inlineStr">
        <is>
          <t>signed-not-occupied</t>
        </is>
      </c>
      <c r="AA121" t="inlineStr">
        <is>
          <t>unknown</t>
        </is>
      </c>
      <c r="AB121" t="inlineStr"/>
      <c r="AC121" s="3" t="inlineStr">
        <is>
          <t>No opened source gives a count: no Built In profile with a total, the company site publishes none, and LinkedIn was off-limits. Founder to confirm at intake.</t>
        </is>
      </c>
      <c r="AD121" t="inlineStr">
        <is>
          <t>leasing-press</t>
        </is>
      </c>
      <c r="AE121" t="inlineStr">
        <is>
          <t>2026-03-16</t>
        </is>
      </c>
      <c r="AF121" t="inlineStr">
        <is>
          <t>no-coworking-in-building</t>
        </is>
      </c>
      <c r="AG121" t="inlineStr">
        <is>
          <t>1008550024</t>
        </is>
      </c>
      <c r="AH121" t="n">
        <v>0</v>
      </c>
      <c r="AI121" t="inlineStr">
        <is>
          <t>46,000 sf</t>
        </is>
      </c>
      <c r="AJ121" t="inlineStr">
        <is>
          <t>S3</t>
        </is>
      </c>
    </row>
    <row r="122">
      <c r="A122" t="inlineStr">
        <is>
          <t>B-C-121</t>
        </is>
      </c>
      <c r="B122" t="inlineStr">
        <is>
          <t>ICONIQ Capital</t>
        </is>
      </c>
      <c r="C122" s="2" t="inlineStr">
        <is>
          <t>https://www.iconiq.com</t>
        </is>
      </c>
      <c r="D122" t="inlineStr">
        <is>
          <t>wealth management and venture capital</t>
        </is>
      </c>
      <c r="E122" t="inlineStr">
        <is>
          <t>B-B-059</t>
        </is>
      </c>
      <c r="F122" t="inlineStr">
        <is>
          <t>360 Park Avenue South</t>
        </is>
      </c>
      <c r="G122" t="inlineStr">
        <is>
          <t>unknown</t>
        </is>
      </c>
      <c r="H122" t="inlineStr">
        <is>
          <t>10010</t>
        </is>
      </c>
      <c r="I122" t="n">
        <v>40.742105</v>
      </c>
      <c r="J122" t="n">
        <v>-73.985534</v>
      </c>
      <c r="K122" t="inlineStr">
        <is>
          <t>Y</t>
        </is>
      </c>
      <c r="L122" t="inlineStr">
        <is>
          <t>unknown</t>
        </is>
      </c>
      <c r="M122" t="inlineStr">
        <is>
          <t>unknown</t>
        </is>
      </c>
      <c r="N122" t="inlineStr"/>
      <c r="O122" s="2" t="inlineStr">
        <is>
          <t>https://commercialobserver.com/2025/05/optiver-lease-360-park-avenue-south/</t>
        </is>
      </c>
      <c r="P122" t="inlineStr">
        <is>
          <t>2025-05-20</t>
        </is>
      </c>
      <c r="Q122" t="inlineStr"/>
      <c r="R122" t="inlineStr">
        <is>
          <t>medium</t>
        </is>
      </c>
      <c r="S122" t="inlineStr">
        <is>
          <t>N</t>
        </is>
      </c>
      <c r="T122" t="inlineStr"/>
      <c r="U122" t="inlineStr"/>
      <c r="V122" s="3" t="inlineStr">
        <is>
          <t>Listed by CO as a tenant at 360 PAS. Floor and headcount not found (HQ San Francisco).</t>
        </is>
      </c>
      <c r="W122" t="inlineStr">
        <is>
          <t>2026-10-23</t>
        </is>
      </c>
      <c r="X122" t="inlineStr">
        <is>
          <t>unknown</t>
        </is>
      </c>
      <c r="Y122" t="inlineStr">
        <is>
          <t>candidate</t>
        </is>
      </c>
      <c r="Z122" t="inlineStr">
        <is>
          <t>occupied</t>
        </is>
      </c>
      <c r="AA122" t="inlineStr"/>
      <c r="AB122" t="inlineStr"/>
      <c r="AC122" s="3" t="inlineStr">
        <is>
          <t>No opened source gives a count: no Built In profile with a total, the company site publishes none, and LinkedIn was off-limits. Founder to confirm at intake.</t>
        </is>
      </c>
      <c r="AD122" t="inlineStr">
        <is>
          <t>leasing-press</t>
        </is>
      </c>
      <c r="AE122" t="inlineStr"/>
      <c r="AF122" t="inlineStr">
        <is>
          <t>no-coworking-in-building</t>
        </is>
      </c>
      <c r="AG122" t="inlineStr">
        <is>
          <t>1008550024</t>
        </is>
      </c>
      <c r="AH122" t="n">
        <v>0</v>
      </c>
      <c r="AI122" t="inlineStr"/>
      <c r="AJ122" t="inlineStr">
        <is>
          <t>S4</t>
        </is>
      </c>
    </row>
    <row r="123">
      <c r="A123" t="inlineStr">
        <is>
          <t>B-C-122</t>
        </is>
      </c>
      <c r="B123" t="inlineStr">
        <is>
          <t>Rogo</t>
        </is>
      </c>
      <c r="C123" s="2" t="inlineStr">
        <is>
          <t>https://rogo.com/</t>
        </is>
      </c>
      <c r="D123" t="inlineStr">
        <is>
          <t>Software (AI for financial services)</t>
        </is>
      </c>
      <c r="E123" t="inlineStr">
        <is>
          <t>B-B-059</t>
        </is>
      </c>
      <c r="F123" t="inlineStr">
        <is>
          <t>360 Park Avenue South</t>
        </is>
      </c>
      <c r="G123" t="inlineStr">
        <is>
          <t>7 plus second full floor (46,000 sf)</t>
        </is>
      </c>
      <c r="H123" t="inlineStr">
        <is>
          <t>10010</t>
        </is>
      </c>
      <c r="I123" t="n">
        <v>40.742105</v>
      </c>
      <c r="J123" t="n">
        <v>-73.985534</v>
      </c>
      <c r="K123" t="inlineStr">
        <is>
          <t>Y</t>
        </is>
      </c>
      <c r="L123" t="inlineStr">
        <is>
          <t>unknown</t>
        </is>
      </c>
      <c r="M123" t="inlineStr">
        <is>
          <t>unknown</t>
        </is>
      </c>
      <c r="N123" t="inlineStr"/>
      <c r="O123" s="2" t="inlineStr">
        <is>
          <t>https://rogo.com/legal/privacy-policy</t>
        </is>
      </c>
      <c r="P123" t="inlineStr">
        <is>
          <t>2026-10-23</t>
        </is>
      </c>
      <c r="Q123" s="2" t="inlineStr">
        <is>
          <t>https://commercialobserver.com/2026/09/rogo-technologies-360-park-avenue-south-lease-expansion/</t>
        </is>
      </c>
      <c r="R123" t="inlineStr">
        <is>
          <t>high</t>
        </is>
      </c>
      <c r="S123" t="inlineStr">
        <is>
          <t>N</t>
        </is>
      </c>
      <c r="T123" t="inlineStr"/>
      <c r="U123" t="inlineStr"/>
      <c r="V123" s="3" t="inlineStr">
        <is>
          <t>Company privacy policy and terms (live) give 360 Park Avenue South, Floor 7. CO Sep 2026: doubled HQ to 46,000 sf; Empire State Development announcement (June 2026, cited by CO) ties the expansion to 422 new jobs, which is a hiring plan, not a headcount. Built In 'rogo' is a different company (Indiana), not used.</t>
        </is>
      </c>
      <c r="W123" t="inlineStr">
        <is>
          <t>2026-10-23</t>
        </is>
      </c>
      <c r="X123" t="inlineStr">
        <is>
          <t>unknown</t>
        </is>
      </c>
      <c r="Y123" t="inlineStr">
        <is>
          <t>candidate</t>
        </is>
      </c>
      <c r="Z123" t="inlineStr">
        <is>
          <t>occupied</t>
        </is>
      </c>
      <c r="AA123" t="inlineStr"/>
      <c r="AB123" t="inlineStr"/>
      <c r="AC123" s="3" t="inlineStr">
        <is>
          <t>The Built In 'rogo' profile is a different company in Indiana; Empire State Development's 422 jobs is a hiring plan, not a headcount.</t>
        </is>
      </c>
      <c r="AD123" t="inlineStr">
        <is>
          <t>company-site</t>
        </is>
      </c>
      <c r="AE123" t="inlineStr">
        <is>
          <t>2026-09-22</t>
        </is>
      </c>
      <c r="AF123" t="inlineStr">
        <is>
          <t>no-coworking-in-building</t>
        </is>
      </c>
      <c r="AG123" t="inlineStr">
        <is>
          <t>1008550024</t>
        </is>
      </c>
      <c r="AH123" t="n">
        <v>0</v>
      </c>
      <c r="AI123" t="inlineStr">
        <is>
          <t>46,000 sf</t>
        </is>
      </c>
      <c r="AJ123" t="inlineStr">
        <is>
          <t>S3</t>
        </is>
      </c>
    </row>
    <row r="124">
      <c r="A124" t="inlineStr">
        <is>
          <t>B-C-123</t>
        </is>
      </c>
      <c r="B124" t="inlineStr">
        <is>
          <t>Trexquant</t>
        </is>
      </c>
      <c r="C124" s="2" t="inlineStr">
        <is>
          <t>https://www.trexquant.com/</t>
        </is>
      </c>
      <c r="D124" t="inlineStr">
        <is>
          <t>Quantitative investment manager</t>
        </is>
      </c>
      <c r="E124" t="inlineStr">
        <is>
          <t>B-B-059</t>
        </is>
      </c>
      <c r="F124" t="inlineStr">
        <is>
          <t>360 Park Avenue South</t>
        </is>
      </c>
      <c r="G124" t="inlineStr">
        <is>
          <t>unknown</t>
        </is>
      </c>
      <c r="H124" t="inlineStr">
        <is>
          <t>10010</t>
        </is>
      </c>
      <c r="I124" t="n">
        <v>40.742105</v>
      </c>
      <c r="J124" t="n">
        <v>-73.985534</v>
      </c>
      <c r="K124" t="inlineStr">
        <is>
          <t>Y</t>
        </is>
      </c>
      <c r="L124" t="inlineStr">
        <is>
          <t>40-75</t>
        </is>
      </c>
      <c r="M124" t="inlineStr">
        <is>
          <t>whole-company</t>
        </is>
      </c>
      <c r="N124" s="2" t="inlineStr">
        <is>
          <t>https://www.builtinnyc.com/company/trexquant-investment/offices</t>
        </is>
      </c>
      <c r="O124" s="2" t="inlineStr">
        <is>
          <t>https://www.connectcre.com/stories/bxp-secures-230k-sf-of-leases-at-360-park-ave-south/</t>
        </is>
      </c>
      <c r="P124" t="inlineStr">
        <is>
          <t>2026-03-16</t>
        </is>
      </c>
      <c r="Q124" s="2" t="inlineStr">
        <is>
          <t>https://commercialobserver.com/?p=563472</t>
        </is>
      </c>
      <c r="R124" t="inlineStr">
        <is>
          <t>high</t>
        </is>
      </c>
      <c r="S124" t="inlineStr">
        <is>
          <t>N</t>
        </is>
      </c>
      <c r="T124" t="inlineStr"/>
      <c r="U124" t="inlineStr"/>
      <c r="V124" s="3" t="inlineStr">
        <is>
          <t>ConnectCRE and CO Mar 2026: about 23,000 sf, its first New York City presence; HQ Stamford CT. Built In: 67 total employees (HQ Stamford). Move-in date not stated.</t>
        </is>
      </c>
      <c r="W124" t="inlineStr">
        <is>
          <t>2026-10-23</t>
        </is>
      </c>
      <c r="X124" t="inlineStr">
        <is>
          <t>unknown</t>
        </is>
      </c>
      <c r="Y124" t="inlineStr">
        <is>
          <t>candidate</t>
        </is>
      </c>
      <c r="Z124" t="inlineStr">
        <is>
          <t>signed-not-occupied</t>
        </is>
      </c>
      <c r="AA124" t="inlineStr">
        <is>
          <t>unknown</t>
        </is>
      </c>
      <c r="AB124" t="inlineStr">
        <is>
          <t>2026-10-23</t>
        </is>
      </c>
      <c r="AC124" s="3" t="inlineStr"/>
      <c r="AD124" t="inlineStr">
        <is>
          <t>leasing-press</t>
        </is>
      </c>
      <c r="AE124" t="inlineStr">
        <is>
          <t>2026-03-16</t>
        </is>
      </c>
      <c r="AF124" t="inlineStr">
        <is>
          <t>no-coworking-in-building</t>
        </is>
      </c>
      <c r="AG124" t="inlineStr">
        <is>
          <t>1008550024</t>
        </is>
      </c>
      <c r="AH124" t="n">
        <v>0</v>
      </c>
      <c r="AI124" t="inlineStr">
        <is>
          <t>23,000 sf</t>
        </is>
      </c>
      <c r="AJ124" t="inlineStr">
        <is>
          <t>S3</t>
        </is>
      </c>
    </row>
    <row r="125">
      <c r="A125" t="inlineStr">
        <is>
          <t>B-C-124</t>
        </is>
      </c>
      <c r="B125" t="inlineStr">
        <is>
          <t>At-Bay</t>
        </is>
      </c>
      <c r="C125" s="2" t="inlineStr">
        <is>
          <t>https://www.at-bay.com/</t>
        </is>
      </c>
      <c r="D125" t="inlineStr">
        <is>
          <t>Cyber insurance / insurtech</t>
        </is>
      </c>
      <c r="E125" t="inlineStr">
        <is>
          <t>B-B-060</t>
        </is>
      </c>
      <c r="F125" t="inlineStr">
        <is>
          <t>220 Fifth Avenue</t>
        </is>
      </c>
      <c r="G125" t="inlineStr">
        <is>
          <t>8</t>
        </is>
      </c>
      <c r="H125" t="inlineStr">
        <is>
          <t>10001</t>
        </is>
      </c>
      <c r="I125" t="n">
        <v>40.743737</v>
      </c>
      <c r="J125" t="n">
        <v>-73.988438</v>
      </c>
      <c r="K125" t="inlineStr">
        <is>
          <t>Y</t>
        </is>
      </c>
      <c r="L125" t="inlineStr">
        <is>
          <t>151-250</t>
        </is>
      </c>
      <c r="M125" t="inlineStr">
        <is>
          <t>whole-company</t>
        </is>
      </c>
      <c r="N125" s="2" t="inlineStr">
        <is>
          <t>https://www.builtinnyc.com/company/at-bay/offices</t>
        </is>
      </c>
      <c r="O125" s="2" t="inlineStr">
        <is>
          <t>https://www.at-bay.com/about/</t>
        </is>
      </c>
      <c r="P125" t="inlineStr">
        <is>
          <t>2026-10-24</t>
        </is>
      </c>
      <c r="Q125" t="inlineStr"/>
      <c r="R125" t="inlineStr">
        <is>
          <t>medium</t>
        </is>
      </c>
      <c r="S125" t="inlineStr">
        <is>
          <t>N</t>
        </is>
      </c>
      <c r="T125" t="inlineStr"/>
      <c r="U125" t="inlineStr"/>
      <c r="V125" s="3" t="inlineStr">
        <is>
          <t>Company About page (live) gives '220 5th Ave, 8th Floor New York, NY 10001' (Fifth Ave at 26th St, the block just north of the slice). Built In still lists the NY office at 19 West 24th Street (CO Mar 2022 lease there) and 230 total employees; HQ Mountain View. One current source, so medium.</t>
        </is>
      </c>
      <c r="W125" t="inlineStr">
        <is>
          <t>2026-10-23</t>
        </is>
      </c>
      <c r="X125" t="inlineStr">
        <is>
          <t>unknown</t>
        </is>
      </c>
      <c r="Y125" t="inlineStr">
        <is>
          <t>candidate</t>
        </is>
      </c>
      <c r="Z125" t="inlineStr">
        <is>
          <t>occupied</t>
        </is>
      </c>
      <c r="AA125" t="inlineStr"/>
      <c r="AB125" t="inlineStr">
        <is>
          <t>2026-10-24</t>
        </is>
      </c>
      <c r="AC125" s="3" t="inlineStr"/>
      <c r="AD125" t="inlineStr">
        <is>
          <t>company-site</t>
        </is>
      </c>
      <c r="AE125" t="inlineStr"/>
      <c r="AF125" t="inlineStr">
        <is>
          <t>no-coworking-in-building</t>
        </is>
      </c>
      <c r="AG125" t="inlineStr">
        <is>
          <t>1008280035</t>
        </is>
      </c>
      <c r="AH125" t="n">
        <v>0</v>
      </c>
      <c r="AI125" t="inlineStr"/>
      <c r="AJ125" t="inlineStr">
        <is>
          <t>S3</t>
        </is>
      </c>
    </row>
    <row r="126">
      <c r="A126" t="inlineStr">
        <is>
          <t>B-C-125</t>
        </is>
      </c>
      <c r="B126" t="inlineStr">
        <is>
          <t>OTTO Brand Lab</t>
        </is>
      </c>
      <c r="C126" s="2" t="inlineStr">
        <is>
          <t>https://ottobrandlab.com</t>
        </is>
      </c>
      <c r="D126" t="inlineStr">
        <is>
          <t>brand strategy agency</t>
        </is>
      </c>
      <c r="E126" t="inlineStr">
        <is>
          <t>B-B-061</t>
        </is>
      </c>
      <c r="F126" t="inlineStr">
        <is>
          <t>25 West 26th Street</t>
        </is>
      </c>
      <c r="G126" t="inlineStr">
        <is>
          <t>7</t>
        </is>
      </c>
      <c r="H126" t="inlineStr">
        <is>
          <t>10010</t>
        </is>
      </c>
      <c r="I126" t="n">
        <v>40.744387</v>
      </c>
      <c r="J126" t="n">
        <v>-73.98987099999999</v>
      </c>
      <c r="K126" t="inlineStr">
        <is>
          <t>Y</t>
        </is>
      </c>
      <c r="L126" t="inlineStr">
        <is>
          <t>unknown</t>
        </is>
      </c>
      <c r="M126" t="inlineStr">
        <is>
          <t>unknown</t>
        </is>
      </c>
      <c r="N126" t="inlineStr"/>
      <c r="O126" s="2" t="inlineStr">
        <is>
          <t>https://ottobrandlab.com/contact</t>
        </is>
      </c>
      <c r="P126" t="inlineStr">
        <is>
          <t>2026-10-23</t>
        </is>
      </c>
      <c r="Q126" s="2" t="inlineStr">
        <is>
          <t>https://commercialobserver.com/2022/10/otto-brand-labs-takes-5k-sf-at-25-west-26th-street/</t>
        </is>
      </c>
      <c r="R126" t="inlineStr">
        <is>
          <t>high</t>
        </is>
      </c>
      <c r="S126" t="inlineStr">
        <is>
          <t>N</t>
        </is>
      </c>
      <c r="T126" t="inlineStr"/>
      <c r="U126" t="inlineStr"/>
      <c r="V126" s="3" t="inlineStr">
        <is>
          <t>Contact page lists main location 25 W 26th St, 7th Fl. CO 2022: 5,000 SF top floor. Headcount not found; office size suggests it may be under 40, founder to confirm.</t>
        </is>
      </c>
      <c r="W126" t="inlineStr">
        <is>
          <t>2026-10-23</t>
        </is>
      </c>
      <c r="X126" t="inlineStr">
        <is>
          <t>unknown</t>
        </is>
      </c>
      <c r="Y126" t="inlineStr">
        <is>
          <t>candidate</t>
        </is>
      </c>
      <c r="Z126" t="inlineStr">
        <is>
          <t>occupied</t>
        </is>
      </c>
      <c r="AA126" t="inlineStr"/>
      <c r="AB126" t="inlineStr"/>
      <c r="AC126" s="3" t="inlineStr">
        <is>
          <t>No opened source gives a count: no Built In profile with a total, the company site publishes none, and LinkedIn was off-limits. Founder to confirm at intake.</t>
        </is>
      </c>
      <c r="AD126" t="inlineStr">
        <is>
          <t>company-site</t>
        </is>
      </c>
      <c r="AE126" t="inlineStr">
        <is>
          <t>2022-10-02</t>
        </is>
      </c>
      <c r="AF126" t="inlineStr">
        <is>
          <t>no-coworking-in-building</t>
        </is>
      </c>
      <c r="AG126" t="inlineStr">
        <is>
          <t>1008280017</t>
        </is>
      </c>
      <c r="AH126" t="n">
        <v>0</v>
      </c>
      <c r="AI126" t="inlineStr">
        <is>
          <t>5,000 sf</t>
        </is>
      </c>
      <c r="AJ126" t="inlineStr">
        <is>
          <t>S4</t>
        </is>
      </c>
    </row>
    <row r="127">
      <c r="A127" t="inlineStr">
        <is>
          <t>B-C-126</t>
        </is>
      </c>
      <c r="B127" t="inlineStr">
        <is>
          <t>Idesco</t>
        </is>
      </c>
      <c r="C127" t="inlineStr">
        <is>
          <t>unknown</t>
        </is>
      </c>
      <c r="D127" t="inlineStr">
        <is>
          <t>ID card and security systems</t>
        </is>
      </c>
      <c r="E127" t="inlineStr">
        <is>
          <t>B-B-062</t>
        </is>
      </c>
      <c r="F127" t="inlineStr">
        <is>
          <t>37 West 26th Street</t>
        </is>
      </c>
      <c r="G127" t="inlineStr">
        <is>
          <t>10</t>
        </is>
      </c>
      <c r="H127" t="inlineStr">
        <is>
          <t>10010</t>
        </is>
      </c>
      <c r="I127" t="n">
        <v>40.744624</v>
      </c>
      <c r="J127" t="n">
        <v>-73.99041800000001</v>
      </c>
      <c r="K127" t="inlineStr">
        <is>
          <t>Y</t>
        </is>
      </c>
      <c r="L127" t="inlineStr">
        <is>
          <t>unknown</t>
        </is>
      </c>
      <c r="M127" t="inlineStr">
        <is>
          <t>unknown</t>
        </is>
      </c>
      <c r="N127" t="inlineStr"/>
      <c r="O127" s="2" t="inlineStr">
        <is>
          <t>https://commercialobserver.com/2023/10/idesco-renewal-37-west-26th-street/</t>
        </is>
      </c>
      <c r="P127" t="inlineStr">
        <is>
          <t>2023-10-12</t>
        </is>
      </c>
      <c r="Q127" t="inlineStr"/>
      <c r="R127" t="inlineStr">
        <is>
          <t>low</t>
        </is>
      </c>
      <c r="S127" t="inlineStr">
        <is>
          <t>N</t>
        </is>
      </c>
      <c r="T127" t="inlineStr"/>
      <c r="U127" t="inlineStr"/>
      <c r="V127" s="3" t="inlineStr">
        <is>
          <t>Seven-year renewal of 7,260 SF on floor 10 (at the building since at least 1987). Older source, not reconfirmed; size unknown.</t>
        </is>
      </c>
      <c r="W127" t="inlineStr">
        <is>
          <t>2026-10-23</t>
        </is>
      </c>
      <c r="X127" t="inlineStr">
        <is>
          <t>unknown</t>
        </is>
      </c>
      <c r="Y127" t="inlineStr">
        <is>
          <t>candidate</t>
        </is>
      </c>
      <c r="Z127" t="inlineStr">
        <is>
          <t>occupancy-unconfirmed</t>
        </is>
      </c>
      <c r="AA127" t="inlineStr"/>
      <c r="AB127" t="inlineStr"/>
      <c r="AC127" s="3" t="inlineStr">
        <is>
          <t>No opened source gives a count: no Built In profile with a total, the company site publishes none, and LinkedIn was off-limits. Founder to confirm at intake.</t>
        </is>
      </c>
      <c r="AD127" t="inlineStr">
        <is>
          <t>leasing-press</t>
        </is>
      </c>
      <c r="AE127" t="inlineStr"/>
      <c r="AF127" t="inlineStr">
        <is>
          <t>no-coworking-in-building</t>
        </is>
      </c>
      <c r="AG127" t="inlineStr">
        <is>
          <t>1008280009</t>
        </is>
      </c>
      <c r="AH127" t="n">
        <v>0</v>
      </c>
      <c r="AI127" t="inlineStr">
        <is>
          <t>7,260 sf</t>
        </is>
      </c>
      <c r="AJ127" t="inlineStr">
        <is>
          <t>S4</t>
        </is>
      </c>
    </row>
    <row r="128">
      <c r="A128" t="inlineStr">
        <is>
          <t>B-C-127</t>
        </is>
      </c>
      <c r="B128" t="inlineStr">
        <is>
          <t>accessiBe</t>
        </is>
      </c>
      <c r="C128" s="2" t="inlineStr">
        <is>
          <t>https://accessibe.com</t>
        </is>
      </c>
      <c r="D128" t="inlineStr">
        <is>
          <t>software (web accessibility)</t>
        </is>
      </c>
      <c r="E128" t="inlineStr">
        <is>
          <t>B-B-063</t>
        </is>
      </c>
      <c r="F128" t="inlineStr">
        <is>
          <t>1140 Broadway</t>
        </is>
      </c>
      <c r="G128" t="inlineStr">
        <is>
          <t>unknown</t>
        </is>
      </c>
      <c r="H128" t="inlineStr">
        <is>
          <t>10001</t>
        </is>
      </c>
      <c r="I128" t="n">
        <v>40.743939</v>
      </c>
      <c r="J128" t="n">
        <v>-73.988677</v>
      </c>
      <c r="K128" t="inlineStr">
        <is>
          <t>Y</t>
        </is>
      </c>
      <c r="L128" t="inlineStr">
        <is>
          <t>151-250</t>
        </is>
      </c>
      <c r="M128" t="inlineStr">
        <is>
          <t>whole-company</t>
        </is>
      </c>
      <c r="N128" s="2" t="inlineStr">
        <is>
          <t>https://www.builtinnyc.com/company/accessibe/offices</t>
        </is>
      </c>
      <c r="O128" s="2" t="inlineStr">
        <is>
          <t>https://www.builtinnyc.com/company/accessibe/offices</t>
        </is>
      </c>
      <c r="P128" t="inlineStr">
        <is>
          <t>2026-10-23</t>
        </is>
      </c>
      <c r="Q128" s="2" t="inlineStr">
        <is>
          <t>https://commercialobserver.com/2022/07/acessibe-1140-broadway/</t>
        </is>
      </c>
      <c r="R128" t="inlineStr">
        <is>
          <t>high</t>
        </is>
      </c>
      <c r="S128" t="inlineStr">
        <is>
          <t>N</t>
        </is>
      </c>
      <c r="T128" t="inlineStr"/>
      <c r="U128" t="inlineStr"/>
      <c r="V128" s="3" t="inlineStr">
        <is>
          <t>Built In lists New York HQ at 1140 Broadway (zip shown as 11106 on Built In, a typo); 210 total employees, also Israel. CO 2022: seven-year 8,700 SF deal at corner of W 26th St.</t>
        </is>
      </c>
      <c r="W128" t="inlineStr">
        <is>
          <t>2026-10-23</t>
        </is>
      </c>
      <c r="X128" t="inlineStr">
        <is>
          <t>security desk</t>
        </is>
      </c>
      <c r="Y128" t="inlineStr">
        <is>
          <t>candidate</t>
        </is>
      </c>
      <c r="Z128" t="inlineStr">
        <is>
          <t>occupied</t>
        </is>
      </c>
      <c r="AA128" t="inlineStr"/>
      <c r="AB128" t="inlineStr">
        <is>
          <t>2026-10-23</t>
        </is>
      </c>
      <c r="AC128" s="3" t="inlineStr"/>
      <c r="AD128" t="inlineStr">
        <is>
          <t>builtin</t>
        </is>
      </c>
      <c r="AE128" t="inlineStr">
        <is>
          <t>2022-07-07</t>
        </is>
      </c>
      <c r="AF128" t="inlineStr">
        <is>
          <t>no-coworking-in-building</t>
        </is>
      </c>
      <c r="AG128" t="inlineStr">
        <is>
          <t>1008280033</t>
        </is>
      </c>
      <c r="AH128" t="n">
        <v>0</v>
      </c>
      <c r="AI128" t="inlineStr">
        <is>
          <t>8,700 sf</t>
        </is>
      </c>
      <c r="AJ128" t="inlineStr">
        <is>
          <t>S4</t>
        </is>
      </c>
    </row>
    <row r="129">
      <c r="A129" t="inlineStr">
        <is>
          <t>B-C-128</t>
        </is>
      </c>
      <c r="B129" t="inlineStr">
        <is>
          <t>Simplebet</t>
        </is>
      </c>
      <c r="C129" s="2" t="inlineStr">
        <is>
          <t>https://simplebet.io</t>
        </is>
      </c>
      <c r="D129" t="inlineStr">
        <is>
          <t>sports betting technology</t>
        </is>
      </c>
      <c r="E129" t="inlineStr">
        <is>
          <t>B-B-064</t>
        </is>
      </c>
      <c r="F129" t="inlineStr">
        <is>
          <t>373 Park Avenue South</t>
        </is>
      </c>
      <c r="G129" t="inlineStr">
        <is>
          <t>9</t>
        </is>
      </c>
      <c r="H129" t="inlineStr">
        <is>
          <t>10016</t>
        </is>
      </c>
      <c r="I129" t="n">
        <v>40.742142</v>
      </c>
      <c r="J129" t="n">
        <v>-73.98437</v>
      </c>
      <c r="K129" t="inlineStr">
        <is>
          <t>Y</t>
        </is>
      </c>
      <c r="L129" t="inlineStr">
        <is>
          <t>76-150</t>
        </is>
      </c>
      <c r="M129" t="inlineStr">
        <is>
          <t>whole-company</t>
        </is>
      </c>
      <c r="N129" s="2" t="inlineStr">
        <is>
          <t>https://www.builtinnyc.com/company/simplebet/offices</t>
        </is>
      </c>
      <c r="O129" s="2" t="inlineStr">
        <is>
          <t>https://www.builtinnyc.com/company/simplebet/offices</t>
        </is>
      </c>
      <c r="P129" t="inlineStr">
        <is>
          <t>2026-10-23</t>
        </is>
      </c>
      <c r="Q129" s="2" t="inlineStr">
        <is>
          <t>https://commercialobserver.com/2023/03/simplebet-373-park-avenue-south/</t>
        </is>
      </c>
      <c r="R129" t="inlineStr">
        <is>
          <t>high</t>
        </is>
      </c>
      <c r="S129" t="inlineStr">
        <is>
          <t>N</t>
        </is>
      </c>
      <c r="T129" t="inlineStr"/>
      <c r="U129" t="inlineStr"/>
      <c r="V129" s="3" t="inlineStr">
        <is>
          <t>Built In lists HQ at 373 Park Ave S, FL 9; 95 total employees. CO 2023: renewal of 8,732 SF on floor 9, in the building since July 2021.</t>
        </is>
      </c>
      <c r="W129" t="inlineStr">
        <is>
          <t>2026-10-23</t>
        </is>
      </c>
      <c r="X129" t="inlineStr">
        <is>
          <t>unknown</t>
        </is>
      </c>
      <c r="Y129" t="inlineStr">
        <is>
          <t>candidate</t>
        </is>
      </c>
      <c r="Z129" t="inlineStr">
        <is>
          <t>occupied</t>
        </is>
      </c>
      <c r="AA129" t="inlineStr"/>
      <c r="AB129" t="inlineStr">
        <is>
          <t>2026-10-23</t>
        </is>
      </c>
      <c r="AC129" s="3" t="inlineStr"/>
      <c r="AD129" t="inlineStr">
        <is>
          <t>builtin</t>
        </is>
      </c>
      <c r="AE129" t="inlineStr">
        <is>
          <t>2023-03-06</t>
        </is>
      </c>
      <c r="AF129" t="inlineStr">
        <is>
          <t>no-coworking-in-building</t>
        </is>
      </c>
      <c r="AG129" t="inlineStr">
        <is>
          <t>1008820003</t>
        </is>
      </c>
      <c r="AH129" t="n">
        <v>0</v>
      </c>
      <c r="AI129" t="inlineStr">
        <is>
          <t>8,732 sf</t>
        </is>
      </c>
      <c r="AJ129" t="inlineStr">
        <is>
          <t>S4</t>
        </is>
      </c>
    </row>
    <row r="130">
      <c r="A130" t="inlineStr">
        <is>
          <t>B-C-129</t>
        </is>
      </c>
      <c r="B130" t="inlineStr">
        <is>
          <t>Activate Consulting</t>
        </is>
      </c>
      <c r="C130" s="2" t="inlineStr">
        <is>
          <t>https://www.activate.com</t>
        </is>
      </c>
      <c r="D130" t="inlineStr">
        <is>
          <t>management consulting (tech, media, telecom)</t>
        </is>
      </c>
      <c r="E130" t="inlineStr">
        <is>
          <t>B-B-065</t>
        </is>
      </c>
      <c r="F130" t="inlineStr">
        <is>
          <t>11 East 26th Street</t>
        </is>
      </c>
      <c r="G130" t="inlineStr">
        <is>
          <t>17-18</t>
        </is>
      </c>
      <c r="H130" t="inlineStr">
        <is>
          <t>10010</t>
        </is>
      </c>
      <c r="I130" t="n">
        <v>40.743449</v>
      </c>
      <c r="J130" t="n">
        <v>-73.987225</v>
      </c>
      <c r="K130" t="inlineStr">
        <is>
          <t>Y</t>
        </is>
      </c>
      <c r="L130" t="inlineStr">
        <is>
          <t>76-150</t>
        </is>
      </c>
      <c r="M130" t="inlineStr">
        <is>
          <t>whole-company</t>
        </is>
      </c>
      <c r="N130" s="2" t="inlineStr">
        <is>
          <t>https://www.builtinnyc.com/company/activate-consulting/offices</t>
        </is>
      </c>
      <c r="O130" s="2" t="inlineStr">
        <is>
          <t>https://commercialobserver.com/2025/09/activate-consulting-doubles-its-nomad-footprint/</t>
        </is>
      </c>
      <c r="P130" t="inlineStr">
        <is>
          <t>2025-09-30</t>
        </is>
      </c>
      <c r="Q130" s="2" t="inlineStr">
        <is>
          <t>https://www.builtinnyc.com/company/activate-consulting/offices</t>
        </is>
      </c>
      <c r="R130" t="inlineStr">
        <is>
          <t>high</t>
        </is>
      </c>
      <c r="S130" t="inlineStr">
        <is>
          <t>N</t>
        </is>
      </c>
      <c r="T130" t="inlineStr"/>
      <c r="U130" t="inlineStr"/>
      <c r="V130" s="3" t="inlineStr">
        <is>
          <t>11-year early renewal of 18th floor plus equal space on 17th, 24,144 SF total. Built In lists HQ at '11 Madison Square North, 18th floor' (vanity address of 11 E 26th St, same building), 76 total employees, on-site 5 days a week. Sublet half the added space to Order.co (CO 2026-02-05).</t>
        </is>
      </c>
      <c r="W130" t="inlineStr">
        <is>
          <t>2026-10-23</t>
        </is>
      </c>
      <c r="X130" t="inlineStr">
        <is>
          <t>unknown</t>
        </is>
      </c>
      <c r="Y130" t="inlineStr">
        <is>
          <t>candidate</t>
        </is>
      </c>
      <c r="Z130" t="inlineStr">
        <is>
          <t>occupied</t>
        </is>
      </c>
      <c r="AA130" t="inlineStr"/>
      <c r="AB130" t="inlineStr">
        <is>
          <t>2026-10-23</t>
        </is>
      </c>
      <c r="AC130" s="3" t="inlineStr"/>
      <c r="AD130" t="inlineStr">
        <is>
          <t>leasing-press</t>
        </is>
      </c>
      <c r="AE130" t="inlineStr">
        <is>
          <t>2026-10-23</t>
        </is>
      </c>
      <c r="AF130" t="inlineStr">
        <is>
          <t>no-coworking-in-building</t>
        </is>
      </c>
      <c r="AG130" t="inlineStr">
        <is>
          <t>1008560009</t>
        </is>
      </c>
      <c r="AH130" t="n">
        <v>0</v>
      </c>
      <c r="AI130" t="inlineStr">
        <is>
          <t>24,144 sf</t>
        </is>
      </c>
      <c r="AJ130" t="inlineStr">
        <is>
          <t>S4</t>
        </is>
      </c>
    </row>
    <row r="131">
      <c r="A131" t="inlineStr">
        <is>
          <t>B-C-130</t>
        </is>
      </c>
      <c r="B131" t="inlineStr">
        <is>
          <t>Butterfly Network</t>
        </is>
      </c>
      <c r="C131" s="2" t="inlineStr">
        <is>
          <t>https://www.butterflynetwork.com</t>
        </is>
      </c>
      <c r="D131" t="inlineStr">
        <is>
          <t>medical devices (handheld ultrasound)</t>
        </is>
      </c>
      <c r="E131" t="inlineStr">
        <is>
          <t>B-B-065</t>
        </is>
      </c>
      <c r="F131" t="inlineStr">
        <is>
          <t>11 East 26th Street</t>
        </is>
      </c>
      <c r="G131" t="inlineStr">
        <is>
          <t>7-8</t>
        </is>
      </c>
      <c r="H131" t="inlineStr">
        <is>
          <t>10010</t>
        </is>
      </c>
      <c r="I131" t="n">
        <v>40.743449</v>
      </c>
      <c r="J131" t="n">
        <v>-73.987225</v>
      </c>
      <c r="K131" t="inlineStr">
        <is>
          <t>Y</t>
        </is>
      </c>
      <c r="L131" t="inlineStr">
        <is>
          <t>251-500</t>
        </is>
      </c>
      <c r="M131" t="inlineStr">
        <is>
          <t>whole-company</t>
        </is>
      </c>
      <c r="N131" s="2" t="inlineStr">
        <is>
          <t>https://www.builtinnyc.com/company/butterfly-network-inc/offices</t>
        </is>
      </c>
      <c r="O131" s="2" t="inlineStr">
        <is>
          <t>https://commercialobserver.com/2025/09/activate-consulting-doubles-its-nomad-footprint/</t>
        </is>
      </c>
      <c r="P131" t="inlineStr">
        <is>
          <t>2025-09-30</t>
        </is>
      </c>
      <c r="Q131" s="2" t="inlineStr">
        <is>
          <t>https://www.builtinnyc.com/company/butterfly-network-inc/offices</t>
        </is>
      </c>
      <c r="R131" t="inlineStr">
        <is>
          <t>high</t>
        </is>
      </c>
      <c r="S131" t="inlineStr">
        <is>
          <t>N</t>
        </is>
      </c>
      <c r="T131" t="inlineStr"/>
      <c r="U131" t="inlineStr"/>
      <c r="V131" s="3" t="inlineStr">
        <is>
          <t>Built In lists New York office at '11 E 26th Street, Floor 7 &amp; 8' (HQ Burlington MA), 443 total employees, on-site 5 days a week. CO lists it among building tenants.</t>
        </is>
      </c>
      <c r="W131" t="inlineStr">
        <is>
          <t>2026-10-23</t>
        </is>
      </c>
      <c r="X131" t="inlineStr">
        <is>
          <t>unknown</t>
        </is>
      </c>
      <c r="Y131" t="inlineStr">
        <is>
          <t>candidate</t>
        </is>
      </c>
      <c r="Z131" t="inlineStr">
        <is>
          <t>occupied</t>
        </is>
      </c>
      <c r="AA131" t="inlineStr"/>
      <c r="AB131" t="inlineStr">
        <is>
          <t>2026-10-23</t>
        </is>
      </c>
      <c r="AC131" s="3" t="inlineStr"/>
      <c r="AD131" t="inlineStr">
        <is>
          <t>leasing-press</t>
        </is>
      </c>
      <c r="AE131" t="inlineStr">
        <is>
          <t>2026-10-23</t>
        </is>
      </c>
      <c r="AF131" t="inlineStr">
        <is>
          <t>no-coworking-in-building</t>
        </is>
      </c>
      <c r="AG131" t="inlineStr">
        <is>
          <t>1008560009</t>
        </is>
      </c>
      <c r="AH131" t="n">
        <v>0</v>
      </c>
      <c r="AI131" t="inlineStr"/>
      <c r="AJ131" t="inlineStr">
        <is>
          <t>S4</t>
        </is>
      </c>
    </row>
    <row r="132">
      <c r="A132" t="inlineStr">
        <is>
          <t>B-C-131</t>
        </is>
      </c>
      <c r="B132" t="inlineStr">
        <is>
          <t>Holocene Advisors</t>
        </is>
      </c>
      <c r="C132" s="2" t="inlineStr">
        <is>
          <t>https://www.holocene.com</t>
        </is>
      </c>
      <c r="D132" t="inlineStr">
        <is>
          <t>investment management</t>
        </is>
      </c>
      <c r="E132" t="inlineStr">
        <is>
          <t>B-B-065</t>
        </is>
      </c>
      <c r="F132" t="inlineStr">
        <is>
          <t>11 East 26th Street</t>
        </is>
      </c>
      <c r="G132" t="inlineStr">
        <is>
          <t>unknown</t>
        </is>
      </c>
      <c r="H132" t="inlineStr">
        <is>
          <t>10010</t>
        </is>
      </c>
      <c r="I132" t="n">
        <v>40.743449</v>
      </c>
      <c r="J132" t="n">
        <v>-73.987225</v>
      </c>
      <c r="K132" t="inlineStr">
        <is>
          <t>Y</t>
        </is>
      </c>
      <c r="L132" t="inlineStr">
        <is>
          <t>unknown</t>
        </is>
      </c>
      <c r="M132" t="inlineStr">
        <is>
          <t>unknown</t>
        </is>
      </c>
      <c r="N132" t="inlineStr"/>
      <c r="O132" s="2" t="inlineStr">
        <is>
          <t>https://commercialobserver.com/2025/10/lutron-electronics-office-lease-11-east-26th-street/</t>
        </is>
      </c>
      <c r="P132" t="inlineStr">
        <is>
          <t>2025-10-22</t>
        </is>
      </c>
      <c r="Q132" s="2" t="inlineStr">
        <is>
          <t>https://commercialobserver.com/2025/03/reckoner-capital-management-lease-11-east-26th-street/</t>
        </is>
      </c>
      <c r="R132" t="inlineStr">
        <is>
          <t>medium</t>
        </is>
      </c>
      <c r="S132" t="inlineStr">
        <is>
          <t>N</t>
        </is>
      </c>
      <c r="T132" t="inlineStr"/>
      <c r="U132" t="inlineStr"/>
      <c r="V132" s="3" t="inlineStr">
        <is>
          <t>CO says it expanded to roughly 31,000 SF at the building in October 2023 and lists it as a current tenant in 2025. Company site is a splash page with no address. Headcount not found.</t>
        </is>
      </c>
      <c r="W132" t="inlineStr">
        <is>
          <t>2026-10-23</t>
        </is>
      </c>
      <c r="X132" t="inlineStr">
        <is>
          <t>unknown</t>
        </is>
      </c>
      <c r="Y132" t="inlineStr">
        <is>
          <t>candidate</t>
        </is>
      </c>
      <c r="Z132" t="inlineStr">
        <is>
          <t>occupied</t>
        </is>
      </c>
      <c r="AA132" t="inlineStr"/>
      <c r="AB132" t="inlineStr"/>
      <c r="AC132" s="3" t="inlineStr">
        <is>
          <t>No opened source gives a count: no Built In profile with a total, the company site publishes none, and LinkedIn was off-limits. Founder to confirm at intake.</t>
        </is>
      </c>
      <c r="AD132" t="inlineStr">
        <is>
          <t>leasing-press</t>
        </is>
      </c>
      <c r="AE132" t="inlineStr">
        <is>
          <t>2025-03-12</t>
        </is>
      </c>
      <c r="AF132" t="inlineStr">
        <is>
          <t>no-coworking-in-building</t>
        </is>
      </c>
      <c r="AG132" t="inlineStr">
        <is>
          <t>1008560009</t>
        </is>
      </c>
      <c r="AH132" t="n">
        <v>0</v>
      </c>
      <c r="AI132" t="inlineStr">
        <is>
          <t>31,000 sf</t>
        </is>
      </c>
      <c r="AJ132" t="inlineStr">
        <is>
          <t>S4</t>
        </is>
      </c>
    </row>
    <row r="133">
      <c r="A133" t="inlineStr">
        <is>
          <t>B-C-132</t>
        </is>
      </c>
      <c r="B133" t="inlineStr">
        <is>
          <t>Mega 97.9 (radio station)</t>
        </is>
      </c>
      <c r="C133" t="inlineStr">
        <is>
          <t>unknown</t>
        </is>
      </c>
      <c r="D133" t="inlineStr">
        <is>
          <t>media (radio)</t>
        </is>
      </c>
      <c r="E133" t="inlineStr">
        <is>
          <t>B-B-065</t>
        </is>
      </c>
      <c r="F133" t="inlineStr">
        <is>
          <t>11 East 26th Street</t>
        </is>
      </c>
      <c r="G133" t="inlineStr">
        <is>
          <t>unknown</t>
        </is>
      </c>
      <c r="H133" t="inlineStr">
        <is>
          <t>10010</t>
        </is>
      </c>
      <c r="I133" t="n">
        <v>40.743449</v>
      </c>
      <c r="J133" t="n">
        <v>-73.987225</v>
      </c>
      <c r="K133" t="inlineStr">
        <is>
          <t>Y</t>
        </is>
      </c>
      <c r="L133" t="inlineStr">
        <is>
          <t>unknown</t>
        </is>
      </c>
      <c r="M133" t="inlineStr">
        <is>
          <t>unknown</t>
        </is>
      </c>
      <c r="N133" t="inlineStr"/>
      <c r="O133" s="2" t="inlineStr">
        <is>
          <t>https://commercialobserver.com/2025/09/activate-consulting-doubles-its-nomad-footprint/</t>
        </is>
      </c>
      <c r="P133" t="inlineStr">
        <is>
          <t>2025-09-30</t>
        </is>
      </c>
      <c r="Q133" t="inlineStr"/>
      <c r="R133" t="inlineStr">
        <is>
          <t>medium</t>
        </is>
      </c>
      <c r="S133" t="inlineStr">
        <is>
          <t>N</t>
        </is>
      </c>
      <c r="T133" t="inlineStr"/>
      <c r="U133" t="inlineStr"/>
      <c r="V133" s="3" t="inlineStr">
        <is>
          <t>Listed by CO as a building tenant. Owner and staff size not sourced. Studio use may mean irregular hours.</t>
        </is>
      </c>
      <c r="W133" t="inlineStr">
        <is>
          <t>2026-10-23</t>
        </is>
      </c>
      <c r="X133" t="inlineStr">
        <is>
          <t>unknown</t>
        </is>
      </c>
      <c r="Y133" t="inlineStr">
        <is>
          <t>candidate</t>
        </is>
      </c>
      <c r="Z133" t="inlineStr">
        <is>
          <t>occupied</t>
        </is>
      </c>
      <c r="AA133" t="inlineStr"/>
      <c r="AB133" t="inlineStr"/>
      <c r="AC133" s="3" t="inlineStr">
        <is>
          <t>No opened source gives a count: no Built In profile with a total, the company site publishes none, and LinkedIn was off-limits. Founder to confirm at intake.</t>
        </is>
      </c>
      <c r="AD133" t="inlineStr">
        <is>
          <t>leasing-press</t>
        </is>
      </c>
      <c r="AE133" t="inlineStr"/>
      <c r="AF133" t="inlineStr">
        <is>
          <t>no-coworking-in-building</t>
        </is>
      </c>
      <c r="AG133" t="inlineStr">
        <is>
          <t>1008560009</t>
        </is>
      </c>
      <c r="AH133" t="n">
        <v>0</v>
      </c>
      <c r="AI133" t="inlineStr"/>
      <c r="AJ133" t="inlineStr">
        <is>
          <t>S4</t>
        </is>
      </c>
    </row>
    <row r="134">
      <c r="A134" t="inlineStr">
        <is>
          <t>B-C-133</t>
        </is>
      </c>
      <c r="B134" t="inlineStr">
        <is>
          <t>Order.co</t>
        </is>
      </c>
      <c r="C134" s="2" t="inlineStr">
        <is>
          <t>https://www.order.co</t>
        </is>
      </c>
      <c r="D134" t="inlineStr">
        <is>
          <t>software (B2B procurement)</t>
        </is>
      </c>
      <c r="E134" t="inlineStr">
        <is>
          <t>B-B-065</t>
        </is>
      </c>
      <c r="F134" t="inlineStr">
        <is>
          <t>11 East 26th Street</t>
        </is>
      </c>
      <c r="G134" t="inlineStr">
        <is>
          <t>unknown</t>
        </is>
      </c>
      <c r="H134" t="inlineStr">
        <is>
          <t>10010</t>
        </is>
      </c>
      <c r="I134" t="n">
        <v>40.743449</v>
      </c>
      <c r="J134" t="n">
        <v>-73.987225</v>
      </c>
      <c r="K134" t="inlineStr">
        <is>
          <t>Y</t>
        </is>
      </c>
      <c r="L134" t="inlineStr">
        <is>
          <t>151-250</t>
        </is>
      </c>
      <c r="M134" t="inlineStr">
        <is>
          <t>whole-company</t>
        </is>
      </c>
      <c r="N134" s="2" t="inlineStr">
        <is>
          <t>https://www.builtinnyc.com/company/orderco/offices</t>
        </is>
      </c>
      <c r="O134" s="2" t="inlineStr">
        <is>
          <t>https://commercialobserver.com/2026/02/order-co-sublease-11-east-26th-street/</t>
        </is>
      </c>
      <c r="P134" t="inlineStr">
        <is>
          <t>2026-02-05</t>
        </is>
      </c>
      <c r="Q134" t="inlineStr"/>
      <c r="R134" t="inlineStr">
        <is>
          <t>medium</t>
        </is>
      </c>
      <c r="S134" t="inlineStr">
        <is>
          <t>N</t>
        </is>
      </c>
      <c r="T134" t="inlineStr"/>
      <c r="U134" t="inlineStr"/>
      <c r="V134" s="3" t="inlineStr">
        <is>
          <t>12,134 SF sublease from Activate Consulting; relocating from 156 Fifth Ave (move date not stated). Built In: HQ New York, 165 total employees, describes a 'Flatiron office' without street address, so not used as address confirmation.</t>
        </is>
      </c>
      <c r="W134" t="inlineStr">
        <is>
          <t>2026-10-23</t>
        </is>
      </c>
      <c r="X134" t="inlineStr">
        <is>
          <t>unknown</t>
        </is>
      </c>
      <c r="Y134" t="inlineStr">
        <is>
          <t>candidate</t>
        </is>
      </c>
      <c r="Z134" t="inlineStr">
        <is>
          <t>signed-not-occupied</t>
        </is>
      </c>
      <c r="AA134" t="inlineStr">
        <is>
          <t>unknown</t>
        </is>
      </c>
      <c r="AB134" t="inlineStr">
        <is>
          <t>2026-10-23</t>
        </is>
      </c>
      <c r="AC134" s="3" t="inlineStr"/>
      <c r="AD134" t="inlineStr">
        <is>
          <t>leasing-press</t>
        </is>
      </c>
      <c r="AE134" t="inlineStr"/>
      <c r="AF134" t="inlineStr">
        <is>
          <t>no-coworking-in-building</t>
        </is>
      </c>
      <c r="AG134" t="inlineStr">
        <is>
          <t>1008560009</t>
        </is>
      </c>
      <c r="AH134" t="n">
        <v>0</v>
      </c>
      <c r="AI134" t="inlineStr">
        <is>
          <t>12,134 sf</t>
        </is>
      </c>
      <c r="AJ134" t="inlineStr">
        <is>
          <t>S4</t>
        </is>
      </c>
    </row>
    <row r="135">
      <c r="A135" t="inlineStr">
        <is>
          <t>B-C-134</t>
        </is>
      </c>
      <c r="B135" t="inlineStr">
        <is>
          <t>Reckoner Capital Management</t>
        </is>
      </c>
      <c r="C135" s="2" t="inlineStr">
        <is>
          <t>https://reckoner.com</t>
        </is>
      </c>
      <c r="D135" t="inlineStr">
        <is>
          <t>asset management (alternative credit)</t>
        </is>
      </c>
      <c r="E135" t="inlineStr">
        <is>
          <t>B-B-065</t>
        </is>
      </c>
      <c r="F135" t="inlineStr">
        <is>
          <t>11 East 26th Street</t>
        </is>
      </c>
      <c r="G135" t="inlineStr">
        <is>
          <t>10</t>
        </is>
      </c>
      <c r="H135" t="inlineStr">
        <is>
          <t>10010</t>
        </is>
      </c>
      <c r="I135" t="n">
        <v>40.743449</v>
      </c>
      <c r="J135" t="n">
        <v>-73.987225</v>
      </c>
      <c r="K135" t="inlineStr">
        <is>
          <t>Y</t>
        </is>
      </c>
      <c r="L135" t="inlineStr">
        <is>
          <t>unknown</t>
        </is>
      </c>
      <c r="M135" t="inlineStr">
        <is>
          <t>unknown</t>
        </is>
      </c>
      <c r="N135" t="inlineStr"/>
      <c r="O135" s="2" t="inlineStr">
        <is>
          <t>https://commercialobserver.com/2025/03/reckoner-capital-management-lease-11-east-26th-street/</t>
        </is>
      </c>
      <c r="P135" t="inlineStr">
        <is>
          <t>2025-03-12</t>
        </is>
      </c>
      <c r="Q135" s="2" t="inlineStr">
        <is>
          <t>https://commercialobserver.com/2025/10/lutron-electronics-office-lease-11-east-26th-street/</t>
        </is>
      </c>
      <c r="R135" t="inlineStr">
        <is>
          <t>medium</t>
        </is>
      </c>
      <c r="S135" t="inlineStr">
        <is>
          <t>N</t>
        </is>
      </c>
      <c r="T135" t="inlineStr"/>
      <c r="U135" t="inlineStr"/>
      <c r="V135" s="3" t="inlineStr">
        <is>
          <t>12,124 SF on full 10th floor, its first NYC office (firm launched Feb 2025, backed by RedBird). Second item is the same publication, so not counted as independent. Headcount not found.</t>
        </is>
      </c>
      <c r="W135" t="inlineStr">
        <is>
          <t>2026-10-23</t>
        </is>
      </c>
      <c r="X135" t="inlineStr">
        <is>
          <t>unknown</t>
        </is>
      </c>
      <c r="Y135" t="inlineStr">
        <is>
          <t>candidate</t>
        </is>
      </c>
      <c r="Z135" t="inlineStr">
        <is>
          <t>occupancy-unconfirmed</t>
        </is>
      </c>
      <c r="AA135" t="inlineStr"/>
      <c r="AB135" t="inlineStr"/>
      <c r="AC135" s="3" t="inlineStr">
        <is>
          <t>No opened source gives a count: no Built In profile with a total, the company site publishes none, and LinkedIn was off-limits. Founder to confirm at intake.</t>
        </is>
      </c>
      <c r="AD135" t="inlineStr">
        <is>
          <t>leasing-press</t>
        </is>
      </c>
      <c r="AE135" t="inlineStr">
        <is>
          <t>2025-10-22</t>
        </is>
      </c>
      <c r="AF135" t="inlineStr">
        <is>
          <t>no-coworking-in-building</t>
        </is>
      </c>
      <c r="AG135" t="inlineStr">
        <is>
          <t>1008560009</t>
        </is>
      </c>
      <c r="AH135" t="n">
        <v>0</v>
      </c>
      <c r="AI135" t="inlineStr">
        <is>
          <t>12,124 sf</t>
        </is>
      </c>
      <c r="AJ135" t="inlineStr">
        <is>
          <t>S4</t>
        </is>
      </c>
    </row>
    <row r="136">
      <c r="A136" t="inlineStr">
        <is>
          <t>B-C-135</t>
        </is>
      </c>
      <c r="B136" t="inlineStr">
        <is>
          <t>Sierra</t>
        </is>
      </c>
      <c r="C136" s="2" t="inlineStr">
        <is>
          <t>https://sierra.ai</t>
        </is>
      </c>
      <c r="D136" t="inlineStr">
        <is>
          <t>software (AI customer agents)</t>
        </is>
      </c>
      <c r="E136" t="inlineStr">
        <is>
          <t>B-B-065</t>
        </is>
      </c>
      <c r="F136" t="inlineStr">
        <is>
          <t>11 East 26th Street</t>
        </is>
      </c>
      <c r="G136" t="inlineStr">
        <is>
          <t>unknown</t>
        </is>
      </c>
      <c r="H136" t="inlineStr">
        <is>
          <t>10010</t>
        </is>
      </c>
      <c r="I136" t="n">
        <v>40.743449</v>
      </c>
      <c r="J136" t="n">
        <v>-73.987225</v>
      </c>
      <c r="K136" t="inlineStr">
        <is>
          <t>Y</t>
        </is>
      </c>
      <c r="L136" t="inlineStr">
        <is>
          <t>151-250</t>
        </is>
      </c>
      <c r="M136" t="inlineStr">
        <is>
          <t>whole-company</t>
        </is>
      </c>
      <c r="N136" s="2" t="inlineStr">
        <is>
          <t>https://www.builtinnyc.com/company/sierra/offices</t>
        </is>
      </c>
      <c r="O136" s="2" t="inlineStr">
        <is>
          <t>https://commercialobserver.com/2026/05/sierra-lease-rockrose-11-east-26th-street/</t>
        </is>
      </c>
      <c r="P136" t="inlineStr">
        <is>
          <t>2026-05-01</t>
        </is>
      </c>
      <c r="Q136" s="2" t="inlineStr">
        <is>
          <t>https://commercialobserver.com/2026/09/vestal-point-capital-lease-rockrose-development-11-east-26th-street/</t>
        </is>
      </c>
      <c r="R136" t="inlineStr">
        <is>
          <t>medium</t>
        </is>
      </c>
      <c r="S136" t="inlineStr">
        <is>
          <t>N</t>
        </is>
      </c>
      <c r="T136" t="inlineStr"/>
      <c r="U136" t="inlineStr"/>
      <c r="V136" s="3" t="inlineStr">
        <is>
          <t>CO 2026-05-01 (citing a Colliers report): 94,145 SF lease at 11 E 26th St, its second NYC office after 14,563 SF at 375 West Broadway (SoHo). CO 2026-09-02 lists Sierra as a building tenant (same publication, not independent). Built In shows only San Francisco and 162 total employees, likely understated. A 94,000 SF space may not be fully occupied yet.</t>
        </is>
      </c>
      <c r="W136" t="inlineStr">
        <is>
          <t>2026-10-23</t>
        </is>
      </c>
      <c r="X136" t="inlineStr">
        <is>
          <t>unknown</t>
        </is>
      </c>
      <c r="Y136" t="inlineStr">
        <is>
          <t>candidate</t>
        </is>
      </c>
      <c r="Z136" t="inlineStr">
        <is>
          <t>signed-not-occupied</t>
        </is>
      </c>
      <c r="AA136" t="inlineStr">
        <is>
          <t>unknown</t>
        </is>
      </c>
      <c r="AB136" t="inlineStr">
        <is>
          <t>2026-10-23</t>
        </is>
      </c>
      <c r="AC136" s="3" t="inlineStr"/>
      <c r="AD136" t="inlineStr">
        <is>
          <t>leasing-press</t>
        </is>
      </c>
      <c r="AE136" t="inlineStr">
        <is>
          <t>2026-09-02</t>
        </is>
      </c>
      <c r="AF136" t="inlineStr">
        <is>
          <t>no-coworking-in-building</t>
        </is>
      </c>
      <c r="AG136" t="inlineStr">
        <is>
          <t>1008560009</t>
        </is>
      </c>
      <c r="AH136" t="n">
        <v>0</v>
      </c>
      <c r="AI136" t="inlineStr">
        <is>
          <t>94,145 sf; 14,563 sf; 94,000 sf</t>
        </is>
      </c>
      <c r="AJ136" t="inlineStr">
        <is>
          <t>S4</t>
        </is>
      </c>
    </row>
    <row r="137">
      <c r="A137" t="inlineStr">
        <is>
          <t>B-C-136</t>
        </is>
      </c>
      <c r="B137" t="inlineStr">
        <is>
          <t>Suvretta Capital Management</t>
        </is>
      </c>
      <c r="C137" s="2" t="inlineStr">
        <is>
          <t>https://www.suvcap.com</t>
        </is>
      </c>
      <c r="D137" t="inlineStr">
        <is>
          <t>hedge fund</t>
        </is>
      </c>
      <c r="E137" t="inlineStr">
        <is>
          <t>B-B-065</t>
        </is>
      </c>
      <c r="F137" t="inlineStr">
        <is>
          <t>11 East 26th Street</t>
        </is>
      </c>
      <c r="G137" t="inlineStr">
        <is>
          <t>16</t>
        </is>
      </c>
      <c r="H137" t="inlineStr">
        <is>
          <t>10010</t>
        </is>
      </c>
      <c r="I137" t="n">
        <v>40.743449</v>
      </c>
      <c r="J137" t="n">
        <v>-73.987225</v>
      </c>
      <c r="K137" t="inlineStr">
        <is>
          <t>Y</t>
        </is>
      </c>
      <c r="L137" t="inlineStr">
        <is>
          <t>unknown</t>
        </is>
      </c>
      <c r="M137" t="inlineStr">
        <is>
          <t>unknown</t>
        </is>
      </c>
      <c r="N137" t="inlineStr"/>
      <c r="O137" s="2" t="inlineStr">
        <is>
          <t>https://commercialobserver.com/2025/05/suvretta-capital-managment-lease-11-east-26th-street/</t>
        </is>
      </c>
      <c r="P137" t="inlineStr">
        <is>
          <t>2025-05-27</t>
        </is>
      </c>
      <c r="Q137" t="inlineStr"/>
      <c r="R137" t="inlineStr">
        <is>
          <t>low</t>
        </is>
      </c>
      <c r="S137" t="inlineStr">
        <is>
          <t>N</t>
        </is>
      </c>
      <c r="T137" t="inlineStr"/>
      <c r="U137" t="inlineStr"/>
      <c r="V137" s="3" t="inlineStr">
        <is>
          <t>12,134 SF on full 16th floor. Downgraded to low: the company site (suvcap.com, opened 2026-10-23) still shows 540 Madison Avenue, 7th floor, so the move may not have happened. Later CO items (2025-09-30, 2025-10-22) list it as a building tenant.</t>
        </is>
      </c>
      <c r="W137" t="inlineStr">
        <is>
          <t>2026-10-23</t>
        </is>
      </c>
      <c r="X137" t="inlineStr">
        <is>
          <t>unknown</t>
        </is>
      </c>
      <c r="Y137" t="inlineStr">
        <is>
          <t>candidate</t>
        </is>
      </c>
      <c r="Z137" t="inlineStr">
        <is>
          <t>signed-not-occupied</t>
        </is>
      </c>
      <c r="AA137" t="inlineStr">
        <is>
          <t>unknown</t>
        </is>
      </c>
      <c r="AB137" t="inlineStr"/>
      <c r="AC137" s="3" t="inlineStr">
        <is>
          <t>No opened source gives a count: no Built In profile with a total, the company site publishes none, and LinkedIn was off-limits. Founder to confirm at intake.</t>
        </is>
      </c>
      <c r="AD137" t="inlineStr">
        <is>
          <t>leasing-press</t>
        </is>
      </c>
      <c r="AE137" t="inlineStr"/>
      <c r="AF137" t="inlineStr">
        <is>
          <t>no-coworking-in-building</t>
        </is>
      </c>
      <c r="AG137" t="inlineStr">
        <is>
          <t>1008560009</t>
        </is>
      </c>
      <c r="AH137" t="n">
        <v>0</v>
      </c>
      <c r="AI137" t="inlineStr">
        <is>
          <t>12,134 sf</t>
        </is>
      </c>
      <c r="AJ137" t="inlineStr">
        <is>
          <t>S4</t>
        </is>
      </c>
    </row>
    <row r="138">
      <c r="A138" t="inlineStr">
        <is>
          <t>B-C-137</t>
        </is>
      </c>
      <c r="B138" t="inlineStr">
        <is>
          <t>Vestal Point Capital</t>
        </is>
      </c>
      <c r="C138" t="inlineStr">
        <is>
          <t>unknown</t>
        </is>
      </c>
      <c r="D138" t="inlineStr">
        <is>
          <t>hedge fund</t>
        </is>
      </c>
      <c r="E138" t="inlineStr">
        <is>
          <t>B-B-065</t>
        </is>
      </c>
      <c r="F138" t="inlineStr">
        <is>
          <t>11 East 26th Street</t>
        </is>
      </c>
      <c r="G138" t="inlineStr">
        <is>
          <t>12</t>
        </is>
      </c>
      <c r="H138" t="inlineStr">
        <is>
          <t>10010</t>
        </is>
      </c>
      <c r="I138" t="n">
        <v>40.743449</v>
      </c>
      <c r="J138" t="n">
        <v>-73.987225</v>
      </c>
      <c r="K138" t="inlineStr">
        <is>
          <t>Y</t>
        </is>
      </c>
      <c r="L138" t="inlineStr">
        <is>
          <t>unknown</t>
        </is>
      </c>
      <c r="M138" t="inlineStr">
        <is>
          <t>unknown</t>
        </is>
      </c>
      <c r="N138" t="inlineStr"/>
      <c r="O138" s="2" t="inlineStr">
        <is>
          <t>https://commercialobserver.com/2026/09/vestal-point-capital-lease-rockrose-development-11-east-26th-street/</t>
        </is>
      </c>
      <c r="P138" t="inlineStr">
        <is>
          <t>2026-09-02</t>
        </is>
      </c>
      <c r="Q138" t="inlineStr"/>
      <c r="R138" t="inlineStr">
        <is>
          <t>low</t>
        </is>
      </c>
      <c r="S138" t="inlineStr">
        <is>
          <t>N</t>
        </is>
      </c>
      <c r="T138" t="inlineStr"/>
      <c r="U138" t="inlineStr"/>
      <c r="V138" s="3" t="inlineStr">
        <is>
          <t>Long-term 12,139 SF lease on full 12th floor signed 2026-09; CO says current office is 632 Broadway and move date is unclear. Downgraded to low because it is probably not in the building yet.</t>
        </is>
      </c>
      <c r="W138" t="inlineStr">
        <is>
          <t>2026-10-23</t>
        </is>
      </c>
      <c r="X138" t="inlineStr">
        <is>
          <t>unknown</t>
        </is>
      </c>
      <c r="Y138" t="inlineStr">
        <is>
          <t>candidate</t>
        </is>
      </c>
      <c r="Z138" t="inlineStr">
        <is>
          <t>signed-not-occupied</t>
        </is>
      </c>
      <c r="AA138" t="inlineStr">
        <is>
          <t>unknown</t>
        </is>
      </c>
      <c r="AB138" t="inlineStr"/>
      <c r="AC138" s="3" t="inlineStr">
        <is>
          <t>No opened source gives a count: no Built In profile with a total, the company site publishes none, and LinkedIn was off-limits. Founder to confirm at intake.</t>
        </is>
      </c>
      <c r="AD138" t="inlineStr">
        <is>
          <t>leasing-press</t>
        </is>
      </c>
      <c r="AE138" t="inlineStr"/>
      <c r="AF138" t="inlineStr">
        <is>
          <t>no-coworking-in-building</t>
        </is>
      </c>
      <c r="AG138" t="inlineStr">
        <is>
          <t>1008560009</t>
        </is>
      </c>
      <c r="AH138" t="n">
        <v>0</v>
      </c>
      <c r="AI138" t="inlineStr">
        <is>
          <t>12,139 sf</t>
        </is>
      </c>
      <c r="AJ138" t="inlineStr">
        <is>
          <t>S4</t>
        </is>
      </c>
    </row>
    <row r="139">
      <c r="A139" t="inlineStr">
        <is>
          <t>B-C-138</t>
        </is>
      </c>
      <c r="B139" t="inlineStr">
        <is>
          <t>Warren Equity Partners</t>
        </is>
      </c>
      <c r="C139" s="2" t="inlineStr">
        <is>
          <t>https://warrenequity.com</t>
        </is>
      </c>
      <c r="D139" t="inlineStr">
        <is>
          <t>private equity</t>
        </is>
      </c>
      <c r="E139" t="inlineStr">
        <is>
          <t>B-B-065</t>
        </is>
      </c>
      <c r="F139" t="inlineStr">
        <is>
          <t>11 East 26th Street</t>
        </is>
      </c>
      <c r="G139" t="inlineStr">
        <is>
          <t>19-20</t>
        </is>
      </c>
      <c r="H139" t="inlineStr">
        <is>
          <t>10010</t>
        </is>
      </c>
      <c r="I139" t="n">
        <v>40.743449</v>
      </c>
      <c r="J139" t="n">
        <v>-73.987225</v>
      </c>
      <c r="K139" t="inlineStr">
        <is>
          <t>Y</t>
        </is>
      </c>
      <c r="L139" t="inlineStr">
        <is>
          <t>unknown</t>
        </is>
      </c>
      <c r="M139" t="inlineStr">
        <is>
          <t>unknown</t>
        </is>
      </c>
      <c r="N139" t="inlineStr"/>
      <c r="O139" s="2" t="inlineStr">
        <is>
          <t>https://commercialobserver.com/2025/06/warren-equity-partners-moving-nyc-hq-to-11-east-26th-street-in-24k-sf-lease/</t>
        </is>
      </c>
      <c r="P139" t="inlineStr">
        <is>
          <t>2025-06-25</t>
        </is>
      </c>
      <c r="Q139" s="2" t="inlineStr">
        <is>
          <t>https://warrenequity.com/contact-us/</t>
        </is>
      </c>
      <c r="R139" t="inlineStr">
        <is>
          <t>high</t>
        </is>
      </c>
      <c r="S139" t="inlineStr">
        <is>
          <t>N</t>
        </is>
      </c>
      <c r="T139" t="inlineStr"/>
      <c r="U139" t="inlineStr"/>
      <c r="V139" s="3" t="inlineStr">
        <is>
          <t>24,199 SF on floors 19-20 (NYC office; HQ is Jacksonville Beach FL). Company contact page lists 'New York, NY 11 East 26th, 19th Floor', so the move appears complete. Headcount not found.</t>
        </is>
      </c>
      <c r="W139" t="inlineStr">
        <is>
          <t>2026-10-23</t>
        </is>
      </c>
      <c r="X139" t="inlineStr">
        <is>
          <t>unknown</t>
        </is>
      </c>
      <c r="Y139" t="inlineStr">
        <is>
          <t>candidate</t>
        </is>
      </c>
      <c r="Z139" t="inlineStr">
        <is>
          <t>occupied</t>
        </is>
      </c>
      <c r="AA139" t="inlineStr"/>
      <c r="AB139" t="inlineStr"/>
      <c r="AC139" s="3" t="inlineStr">
        <is>
          <t>No opened source gives a count: no Built In profile with a total, the company site publishes none, and LinkedIn was off-limits. Founder to confirm at intake.</t>
        </is>
      </c>
      <c r="AD139" t="inlineStr">
        <is>
          <t>leasing-press</t>
        </is>
      </c>
      <c r="AE139" t="inlineStr">
        <is>
          <t>2026-10-23</t>
        </is>
      </c>
      <c r="AF139" t="inlineStr">
        <is>
          <t>no-coworking-in-building</t>
        </is>
      </c>
      <c r="AG139" t="inlineStr">
        <is>
          <t>1008560009</t>
        </is>
      </c>
      <c r="AH139" t="n">
        <v>0</v>
      </c>
      <c r="AI139" t="inlineStr">
        <is>
          <t>24,199 sf</t>
        </is>
      </c>
      <c r="AJ139" t="inlineStr">
        <is>
          <t>S4</t>
        </is>
      </c>
    </row>
    <row r="140">
      <c r="A140" t="inlineStr">
        <is>
          <t>B-C-139</t>
        </is>
      </c>
      <c r="B140" t="inlineStr">
        <is>
          <t>Arca Financial Group</t>
        </is>
      </c>
      <c r="C140" t="inlineStr">
        <is>
          <t>unknown</t>
        </is>
      </c>
      <c r="D140" t="inlineStr">
        <is>
          <t>wealth management</t>
        </is>
      </c>
      <c r="E140" t="inlineStr">
        <is>
          <t>B-B-066</t>
        </is>
      </c>
      <c r="F140" t="inlineStr">
        <is>
          <t>60 Madison Avenue</t>
        </is>
      </c>
      <c r="G140" t="inlineStr">
        <is>
          <t>10</t>
        </is>
      </c>
      <c r="H140" t="inlineStr">
        <is>
          <t>10010</t>
        </is>
      </c>
      <c r="I140" t="n">
        <v>40.743288</v>
      </c>
      <c r="J140" t="n">
        <v>-73.986627</v>
      </c>
      <c r="K140" t="inlineStr">
        <is>
          <t>Y</t>
        </is>
      </c>
      <c r="L140" t="inlineStr">
        <is>
          <t>unknown</t>
        </is>
      </c>
      <c r="M140" t="inlineStr">
        <is>
          <t>unknown</t>
        </is>
      </c>
      <c r="N140" t="inlineStr"/>
      <c r="O140" s="2" t="inlineStr">
        <is>
          <t>https://commercialobserver.com/2026/08/arca-financial-lease-60-madison-avenue-moinian/</t>
        </is>
      </c>
      <c r="P140" t="inlineStr">
        <is>
          <t>2026-08-27</t>
        </is>
      </c>
      <c r="Q140" t="inlineStr"/>
      <c r="R140" t="inlineStr">
        <is>
          <t>medium</t>
        </is>
      </c>
      <c r="S140" t="inlineStr">
        <is>
          <t>N</t>
        </is>
      </c>
      <c r="T140" t="inlineStr"/>
      <c r="U140" t="inlineStr"/>
      <c r="V140" s="3" t="inlineStr">
        <is>
          <t>Five-year 7,500 SF prebuilt on floor 10, signed Aug 2026; 'moving into a new office'. Headcount not found; may be small.</t>
        </is>
      </c>
      <c r="W140" t="inlineStr">
        <is>
          <t>2026-10-23</t>
        </is>
      </c>
      <c r="X140" t="inlineStr">
        <is>
          <t>unknown</t>
        </is>
      </c>
      <c r="Y140" t="inlineStr">
        <is>
          <t>candidate</t>
        </is>
      </c>
      <c r="Z140" t="inlineStr">
        <is>
          <t>signed-not-occupied</t>
        </is>
      </c>
      <c r="AA140" t="inlineStr">
        <is>
          <t>unknown</t>
        </is>
      </c>
      <c r="AB140" t="inlineStr"/>
      <c r="AC140" s="3" t="inlineStr">
        <is>
          <t>No opened source gives a count: no Built In profile with a total, the company site publishes none, and LinkedIn was off-limits. Founder to confirm at intake.</t>
        </is>
      </c>
      <c r="AD140" t="inlineStr">
        <is>
          <t>leasing-press</t>
        </is>
      </c>
      <c r="AE140" t="inlineStr"/>
      <c r="AF140" t="inlineStr">
        <is>
          <t>no-coworking-in-building</t>
        </is>
      </c>
      <c r="AG140" t="inlineStr">
        <is>
          <t>1008560058</t>
        </is>
      </c>
      <c r="AH140" t="n">
        <v>0</v>
      </c>
      <c r="AI140" t="inlineStr">
        <is>
          <t>7,500 sf</t>
        </is>
      </c>
      <c r="AJ140" t="inlineStr">
        <is>
          <t>S4</t>
        </is>
      </c>
    </row>
    <row r="141">
      <c r="A141" t="inlineStr">
        <is>
          <t>B-C-140</t>
        </is>
      </c>
      <c r="B141" t="inlineStr">
        <is>
          <t>Collected Strategies</t>
        </is>
      </c>
      <c r="C141" s="2" t="inlineStr">
        <is>
          <t>https://www.collectedstrategies.com</t>
        </is>
      </c>
      <c r="D141" t="inlineStr">
        <is>
          <t>strategic communications</t>
        </is>
      </c>
      <c r="E141" t="inlineStr">
        <is>
          <t>B-B-066</t>
        </is>
      </c>
      <c r="F141" t="inlineStr">
        <is>
          <t>60 Madison Avenue</t>
        </is>
      </c>
      <c r="G141" t="inlineStr">
        <is>
          <t>10</t>
        </is>
      </c>
      <c r="H141" t="inlineStr">
        <is>
          <t>10010</t>
        </is>
      </c>
      <c r="I141" t="n">
        <v>40.743288</v>
      </c>
      <c r="J141" t="n">
        <v>-73.986627</v>
      </c>
      <c r="K141" t="inlineStr">
        <is>
          <t>Y</t>
        </is>
      </c>
      <c r="L141" t="inlineStr">
        <is>
          <t>unknown</t>
        </is>
      </c>
      <c r="M141" t="inlineStr">
        <is>
          <t>unknown</t>
        </is>
      </c>
      <c r="N141" t="inlineStr"/>
      <c r="O141" s="2" t="inlineStr">
        <is>
          <t>https://commercialobserver.com/2025/08/comms-firm-collected-strategies-takes-10k-sf-moinians-60-madison/</t>
        </is>
      </c>
      <c r="P141" t="inlineStr">
        <is>
          <t>2025-08-07</t>
        </is>
      </c>
      <c r="Q141" s="2" t="inlineStr">
        <is>
          <t>https://www.collectedstrategies.com/</t>
        </is>
      </c>
      <c r="R141" t="inlineStr">
        <is>
          <t>high</t>
        </is>
      </c>
      <c r="S141" t="inlineStr">
        <is>
          <t>N</t>
        </is>
      </c>
      <c r="T141" t="inlineStr"/>
      <c r="U141" t="inlineStr"/>
      <c r="V141" s="3" t="inlineStr">
        <is>
          <t>CO 2025-08: 10,000 SF partial 10th floor, doubling its footprint, moving from 121 East 24th Street. Homepage lists 60 Madison Ave, 10th Floor. Headcount not found.</t>
        </is>
      </c>
      <c r="W141" t="inlineStr">
        <is>
          <t>2026-10-23</t>
        </is>
      </c>
      <c r="X141" t="inlineStr">
        <is>
          <t>unknown</t>
        </is>
      </c>
      <c r="Y141" t="inlineStr">
        <is>
          <t>candidate</t>
        </is>
      </c>
      <c r="Z141" t="inlineStr">
        <is>
          <t>occupied</t>
        </is>
      </c>
      <c r="AA141" t="inlineStr"/>
      <c r="AB141" t="inlineStr"/>
      <c r="AC141" s="3" t="inlineStr">
        <is>
          <t>No opened source gives a count: no Built In profile with a total, the company site publishes none, and LinkedIn was off-limits. Founder to confirm at intake.</t>
        </is>
      </c>
      <c r="AD141" t="inlineStr">
        <is>
          <t>leasing-press</t>
        </is>
      </c>
      <c r="AE141" t="inlineStr">
        <is>
          <t>2026-10-23</t>
        </is>
      </c>
      <c r="AF141" t="inlineStr">
        <is>
          <t>no-coworking-in-building</t>
        </is>
      </c>
      <c r="AG141" t="inlineStr">
        <is>
          <t>1008560058</t>
        </is>
      </c>
      <c r="AH141" t="n">
        <v>0</v>
      </c>
      <c r="AI141" t="inlineStr">
        <is>
          <t>10,000 sf</t>
        </is>
      </c>
      <c r="AJ141" t="inlineStr">
        <is>
          <t>S4</t>
        </is>
      </c>
    </row>
    <row r="142">
      <c r="A142" t="inlineStr">
        <is>
          <t>B-C-141</t>
        </is>
      </c>
      <c r="B142" t="inlineStr">
        <is>
          <t>Full Picture</t>
        </is>
      </c>
      <c r="C142" s="2" t="inlineStr">
        <is>
          <t>https://www.fullpicture.com</t>
        </is>
      </c>
      <c r="D142" t="inlineStr">
        <is>
          <t>communications and brand strategy agency</t>
        </is>
      </c>
      <c r="E142" t="inlineStr">
        <is>
          <t>B-B-066</t>
        </is>
      </c>
      <c r="F142" t="inlineStr">
        <is>
          <t>60 Madison Avenue</t>
        </is>
      </c>
      <c r="G142" t="inlineStr">
        <is>
          <t>6 per site (CO: part of 11)</t>
        </is>
      </c>
      <c r="H142" t="inlineStr">
        <is>
          <t>10010</t>
        </is>
      </c>
      <c r="I142" t="n">
        <v>40.743288</v>
      </c>
      <c r="J142" t="n">
        <v>-73.986627</v>
      </c>
      <c r="K142" t="inlineStr">
        <is>
          <t>Y</t>
        </is>
      </c>
      <c r="L142" t="inlineStr">
        <is>
          <t>unknown</t>
        </is>
      </c>
      <c r="M142" t="inlineStr">
        <is>
          <t>unknown</t>
        </is>
      </c>
      <c r="N142" t="inlineStr"/>
      <c r="O142" s="2" t="inlineStr">
        <is>
          <t>https://commercialobserver.com/2026/06/moinian-group-tenex-labs-lease-60-madison-avenue/</t>
        </is>
      </c>
      <c r="P142" t="inlineStr">
        <is>
          <t>2026-06-22</t>
        </is>
      </c>
      <c r="Q142" s="2" t="inlineStr">
        <is>
          <t>https://www.fullpicture.com/</t>
        </is>
      </c>
      <c r="R142" t="inlineStr">
        <is>
          <t>high</t>
        </is>
      </c>
      <c r="S142" t="inlineStr">
        <is>
          <t>N</t>
        </is>
      </c>
      <c r="T142" t="inlineStr"/>
      <c r="U142" t="inlineStr"/>
      <c r="V142" s="3" t="inlineStr">
        <is>
          <t>CO 2026-06-22: 8,000 SF on part of floor 11, relocating from its NYC HQ at 79 Madison Ave. Homepage now lists NEW YORK HQ 60 Madison Ave, 6th Fl, so the move appears done (floor differs from CO; founder to confirm). Also has an LA HQ. Headcount not found.</t>
        </is>
      </c>
      <c r="W142" t="inlineStr">
        <is>
          <t>2026-10-23</t>
        </is>
      </c>
      <c r="X142" t="inlineStr">
        <is>
          <t>unknown</t>
        </is>
      </c>
      <c r="Y142" t="inlineStr">
        <is>
          <t>candidate</t>
        </is>
      </c>
      <c r="Z142" t="inlineStr">
        <is>
          <t>occupied</t>
        </is>
      </c>
      <c r="AA142" t="inlineStr"/>
      <c r="AB142" t="inlineStr"/>
      <c r="AC142" s="3" t="inlineStr">
        <is>
          <t>No opened source gives a count: no Built In profile with a total, the company site publishes none, and LinkedIn was off-limits. Founder to confirm at intake.</t>
        </is>
      </c>
      <c r="AD142" t="inlineStr">
        <is>
          <t>leasing-press</t>
        </is>
      </c>
      <c r="AE142" t="inlineStr">
        <is>
          <t>2026-10-23</t>
        </is>
      </c>
      <c r="AF142" t="inlineStr">
        <is>
          <t>no-coworking-in-building</t>
        </is>
      </c>
      <c r="AG142" t="inlineStr">
        <is>
          <t>1008560058</t>
        </is>
      </c>
      <c r="AH142" t="n">
        <v>0</v>
      </c>
      <c r="AI142" t="inlineStr">
        <is>
          <t>8,000 sf</t>
        </is>
      </c>
      <c r="AJ142" t="inlineStr">
        <is>
          <t>S4</t>
        </is>
      </c>
    </row>
    <row r="143">
      <c r="A143" t="inlineStr">
        <is>
          <t>B-C-142</t>
        </is>
      </c>
      <c r="B143" t="inlineStr">
        <is>
          <t>GovWell Technologies</t>
        </is>
      </c>
      <c r="C143" t="inlineStr">
        <is>
          <t>unknown</t>
        </is>
      </c>
      <c r="D143" t="inlineStr">
        <is>
          <t>software (AI for government)</t>
        </is>
      </c>
      <c r="E143" t="inlineStr">
        <is>
          <t>B-B-066</t>
        </is>
      </c>
      <c r="F143" t="inlineStr">
        <is>
          <t>60 Madison Avenue</t>
        </is>
      </c>
      <c r="G143" t="inlineStr">
        <is>
          <t>8</t>
        </is>
      </c>
      <c r="H143" t="inlineStr">
        <is>
          <t>10010</t>
        </is>
      </c>
      <c r="I143" t="n">
        <v>40.743288</v>
      </c>
      <c r="J143" t="n">
        <v>-73.986627</v>
      </c>
      <c r="K143" t="inlineStr">
        <is>
          <t>Y</t>
        </is>
      </c>
      <c r="L143" t="inlineStr">
        <is>
          <t>unknown</t>
        </is>
      </c>
      <c r="M143" t="inlineStr">
        <is>
          <t>unknown</t>
        </is>
      </c>
      <c r="N143" t="inlineStr"/>
      <c r="O143" s="2" t="inlineStr">
        <is>
          <t>https://commercialobserver.com/2026/06/moinian-group-tenex-labs-lease-60-madison-avenue/</t>
        </is>
      </c>
      <c r="P143" t="inlineStr">
        <is>
          <t>2026-06-22</t>
        </is>
      </c>
      <c r="Q143" t="inlineStr"/>
      <c r="R143" t="inlineStr">
        <is>
          <t>medium</t>
        </is>
      </c>
      <c r="S143" t="inlineStr">
        <is>
          <t>N</t>
        </is>
      </c>
      <c r="T143" t="inlineStr"/>
      <c r="U143" t="inlineStr"/>
      <c r="V143" s="3" t="inlineStr">
        <is>
          <t>17,500 SF full 8th floor, apparent relocation from 25 West 36th Street. Built In profile (govwell) shows HQ New York, no street or headcount.</t>
        </is>
      </c>
      <c r="W143" t="inlineStr">
        <is>
          <t>2026-10-23</t>
        </is>
      </c>
      <c r="X143" t="inlineStr">
        <is>
          <t>unknown</t>
        </is>
      </c>
      <c r="Y143" t="inlineStr">
        <is>
          <t>candidate</t>
        </is>
      </c>
      <c r="Z143" t="inlineStr">
        <is>
          <t>signed-not-occupied</t>
        </is>
      </c>
      <c r="AA143" t="inlineStr">
        <is>
          <t>unknown</t>
        </is>
      </c>
      <c r="AB143" t="inlineStr"/>
      <c r="AC143" s="3" t="inlineStr">
        <is>
          <t>No opened source gives a count: no Built In profile with a total, the company site publishes none, and LinkedIn was off-limits. Founder to confirm at intake.</t>
        </is>
      </c>
      <c r="AD143" t="inlineStr">
        <is>
          <t>leasing-press</t>
        </is>
      </c>
      <c r="AE143" t="inlineStr"/>
      <c r="AF143" t="inlineStr">
        <is>
          <t>no-coworking-in-building</t>
        </is>
      </c>
      <c r="AG143" t="inlineStr">
        <is>
          <t>1008560058</t>
        </is>
      </c>
      <c r="AH143" t="n">
        <v>0</v>
      </c>
      <c r="AI143" t="inlineStr">
        <is>
          <t>17,500 sf</t>
        </is>
      </c>
      <c r="AJ143" t="inlineStr">
        <is>
          <t>S4</t>
        </is>
      </c>
    </row>
    <row r="144">
      <c r="A144" t="inlineStr">
        <is>
          <t>B-C-143</t>
        </is>
      </c>
      <c r="B144" t="inlineStr">
        <is>
          <t>Tenex Labs</t>
        </is>
      </c>
      <c r="C144" t="inlineStr">
        <is>
          <t>unknown</t>
        </is>
      </c>
      <c r="D144" t="inlineStr">
        <is>
          <t>software (web development)</t>
        </is>
      </c>
      <c r="E144" t="inlineStr">
        <is>
          <t>B-B-066</t>
        </is>
      </c>
      <c r="F144" t="inlineStr">
        <is>
          <t>60 Madison Avenue</t>
        </is>
      </c>
      <c r="G144" t="inlineStr">
        <is>
          <t>12 and penthouse</t>
        </is>
      </c>
      <c r="H144" t="inlineStr">
        <is>
          <t>10010</t>
        </is>
      </c>
      <c r="I144" t="n">
        <v>40.743288</v>
      </c>
      <c r="J144" t="n">
        <v>-73.986627</v>
      </c>
      <c r="K144" t="inlineStr">
        <is>
          <t>Y</t>
        </is>
      </c>
      <c r="L144" t="inlineStr">
        <is>
          <t>unknown</t>
        </is>
      </c>
      <c r="M144" t="inlineStr">
        <is>
          <t>unknown</t>
        </is>
      </c>
      <c r="N144" t="inlineStr"/>
      <c r="O144" s="2" t="inlineStr">
        <is>
          <t>https://commercialobserver.com/2026/06/moinian-group-tenex-labs-lease-60-madison-avenue/</t>
        </is>
      </c>
      <c r="P144" t="inlineStr">
        <is>
          <t>2026-06-22</t>
        </is>
      </c>
      <c r="Q144" t="inlineStr"/>
      <c r="R144" t="inlineStr">
        <is>
          <t>medium</t>
        </is>
      </c>
      <c r="S144" t="inlineStr">
        <is>
          <t>N</t>
        </is>
      </c>
      <c r="T144" t="inlineStr"/>
      <c r="U144" t="inlineStr"/>
      <c r="V144" s="3" t="inlineStr">
        <is>
          <t>25,000 SF on the full 12th floor and penthouse; prior location unclear; move-in date not stated. Headcount not found.</t>
        </is>
      </c>
      <c r="W144" t="inlineStr">
        <is>
          <t>2026-10-23</t>
        </is>
      </c>
      <c r="X144" t="inlineStr">
        <is>
          <t>unknown</t>
        </is>
      </c>
      <c r="Y144" t="inlineStr">
        <is>
          <t>candidate</t>
        </is>
      </c>
      <c r="Z144" t="inlineStr">
        <is>
          <t>signed-not-occupied</t>
        </is>
      </c>
      <c r="AA144" t="inlineStr">
        <is>
          <t>unknown</t>
        </is>
      </c>
      <c r="AB144" t="inlineStr"/>
      <c r="AC144" s="3" t="inlineStr">
        <is>
          <t>No opened source gives a count: no Built In profile with a total, the company site publishes none, and LinkedIn was off-limits. Founder to confirm at intake.</t>
        </is>
      </c>
      <c r="AD144" t="inlineStr">
        <is>
          <t>leasing-press</t>
        </is>
      </c>
      <c r="AE144" t="inlineStr"/>
      <c r="AF144" t="inlineStr">
        <is>
          <t>no-coworking-in-building</t>
        </is>
      </c>
      <c r="AG144" t="inlineStr">
        <is>
          <t>1008560058</t>
        </is>
      </c>
      <c r="AH144" t="n">
        <v>0</v>
      </c>
      <c r="AI144" t="inlineStr">
        <is>
          <t>25,000 sf</t>
        </is>
      </c>
      <c r="AJ144" t="inlineStr">
        <is>
          <t>S4</t>
        </is>
      </c>
    </row>
    <row r="145">
      <c r="A145" t="inlineStr">
        <is>
          <t>B-C-144</t>
        </is>
      </c>
      <c r="B145" t="inlineStr">
        <is>
          <t>EnVogue International</t>
        </is>
      </c>
      <c r="C145" t="inlineStr">
        <is>
          <t>unknown</t>
        </is>
      </c>
      <c r="D145" t="inlineStr">
        <is>
          <t>home goods (office and showroom)</t>
        </is>
      </c>
      <c r="E145" t="inlineStr">
        <is>
          <t>B-B-067</t>
        </is>
      </c>
      <c r="F145" t="inlineStr">
        <is>
          <t>230 Fifth Avenue</t>
        </is>
      </c>
      <c r="G145" t="inlineStr">
        <is>
          <t>unknown</t>
        </is>
      </c>
      <c r="H145" t="inlineStr">
        <is>
          <t>10001</t>
        </is>
      </c>
      <c r="I145" t="n">
        <v>40.744157</v>
      </c>
      <c r="J145" t="n">
        <v>-73.988489</v>
      </c>
      <c r="K145" t="inlineStr">
        <is>
          <t>Y</t>
        </is>
      </c>
      <c r="L145" t="inlineStr">
        <is>
          <t>unknown</t>
        </is>
      </c>
      <c r="M145" t="inlineStr">
        <is>
          <t>unknown</t>
        </is>
      </c>
      <c r="N145" t="inlineStr"/>
      <c r="O145" s="2" t="inlineStr">
        <is>
          <t>https://commercialobserver.com/2025/04/envogue-international-lease-230-fifth-avenue/</t>
        </is>
      </c>
      <c r="P145" t="inlineStr">
        <is>
          <t>2025-04-08</t>
        </is>
      </c>
      <c r="Q145" t="inlineStr"/>
      <c r="R145" t="inlineStr">
        <is>
          <t>medium</t>
        </is>
      </c>
      <c r="S145" t="inlineStr">
        <is>
          <t>N</t>
        </is>
      </c>
      <c r="T145" t="inlineStr"/>
      <c r="U145" t="inlineStr"/>
      <c r="V145" s="3" t="inlineStr">
        <is>
          <t>Grew to 30,000 SF with a seven-year lease; at 230 Fifth (New York MarketCenter) for 25 years. Showroom building, so staff onsite may be small; headcount not found.</t>
        </is>
      </c>
      <c r="W145" t="inlineStr">
        <is>
          <t>2026-10-23</t>
        </is>
      </c>
      <c r="X145" t="inlineStr">
        <is>
          <t>unknown</t>
        </is>
      </c>
      <c r="Y145" t="inlineStr">
        <is>
          <t>candidate</t>
        </is>
      </c>
      <c r="Z145" t="inlineStr">
        <is>
          <t>occupied</t>
        </is>
      </c>
      <c r="AA145" t="inlineStr"/>
      <c r="AB145" t="inlineStr"/>
      <c r="AC145" s="3" t="inlineStr">
        <is>
          <t>No opened source gives a count: no Built In profile with a total, the company site publishes none, and LinkedIn was off-limits. Founder to confirm at intake.</t>
        </is>
      </c>
      <c r="AD145" t="inlineStr">
        <is>
          <t>leasing-press</t>
        </is>
      </c>
      <c r="AE145" t="inlineStr"/>
      <c r="AF145" t="inlineStr">
        <is>
          <t>no-coworking-in-building</t>
        </is>
      </c>
      <c r="AG145" t="inlineStr">
        <is>
          <t>1008280041</t>
        </is>
      </c>
      <c r="AH145" t="n">
        <v>0</v>
      </c>
      <c r="AI145" t="inlineStr">
        <is>
          <t>30,000 sf</t>
        </is>
      </c>
      <c r="AJ145" t="inlineStr">
        <is>
          <t>S4</t>
        </is>
      </c>
    </row>
    <row r="146">
      <c r="A146" t="inlineStr">
        <is>
          <t>B-C-145</t>
        </is>
      </c>
      <c r="B146" t="inlineStr">
        <is>
          <t>SL Home Fashions</t>
        </is>
      </c>
      <c r="C146" s="2" t="inlineStr">
        <is>
          <t>https://slhomefashions.com</t>
        </is>
      </c>
      <c r="D146" t="inlineStr">
        <is>
          <t>home textiles (office and showroom)</t>
        </is>
      </c>
      <c r="E146" t="inlineStr">
        <is>
          <t>B-B-067</t>
        </is>
      </c>
      <c r="F146" t="inlineStr">
        <is>
          <t>230 Fifth Avenue</t>
        </is>
      </c>
      <c r="G146" t="inlineStr">
        <is>
          <t>14 (Suite 1411)</t>
        </is>
      </c>
      <c r="H146" t="inlineStr">
        <is>
          <t>10001</t>
        </is>
      </c>
      <c r="I146" t="n">
        <v>40.744157</v>
      </c>
      <c r="J146" t="n">
        <v>-73.988489</v>
      </c>
      <c r="K146" t="inlineStr">
        <is>
          <t>Y</t>
        </is>
      </c>
      <c r="L146" t="inlineStr">
        <is>
          <t>unknown</t>
        </is>
      </c>
      <c r="M146" t="inlineStr">
        <is>
          <t>unknown</t>
        </is>
      </c>
      <c r="N146" t="inlineStr"/>
      <c r="O146" s="2" t="inlineStr">
        <is>
          <t>https://commercialobserver.com/2024/10/sl-home-fashions-lease-230-fifth-avenue/</t>
        </is>
      </c>
      <c r="P146" t="inlineStr">
        <is>
          <t>2024-10-09</t>
        </is>
      </c>
      <c r="Q146" s="2" t="inlineStr">
        <is>
          <t>https://slhomefashions.com/contact/</t>
        </is>
      </c>
      <c r="R146" t="inlineStr">
        <is>
          <t>high</t>
        </is>
      </c>
      <c r="S146" t="inlineStr">
        <is>
          <t>N</t>
        </is>
      </c>
      <c r="T146" t="inlineStr"/>
      <c r="U146" t="inlineStr"/>
      <c r="V146" s="3" t="inlineStr">
        <is>
          <t>CO 2024-10-09: six-year renewal and expansion to 10,176 SF on floor 14 (office and showroom since 2013). Contact page lists New York Office at 230 Fifth Ave. Suite 1411 (HQ Vernon CA). Showroom-heavy office; headcount not found.</t>
        </is>
      </c>
      <c r="W146" t="inlineStr">
        <is>
          <t>2026-10-23</t>
        </is>
      </c>
      <c r="X146" t="inlineStr">
        <is>
          <t>unknown</t>
        </is>
      </c>
      <c r="Y146" t="inlineStr">
        <is>
          <t>candidate</t>
        </is>
      </c>
      <c r="Z146" t="inlineStr">
        <is>
          <t>occupied</t>
        </is>
      </c>
      <c r="AA146" t="inlineStr"/>
      <c r="AB146" t="inlineStr"/>
      <c r="AC146" s="3" t="inlineStr">
        <is>
          <t>No opened source gives a count: no Built In profile with a total, the company site publishes none, and LinkedIn was off-limits. Founder to confirm at intake.</t>
        </is>
      </c>
      <c r="AD146" t="inlineStr">
        <is>
          <t>leasing-press</t>
        </is>
      </c>
      <c r="AE146" t="inlineStr">
        <is>
          <t>2026-10-23</t>
        </is>
      </c>
      <c r="AF146" t="inlineStr">
        <is>
          <t>no-coworking-in-building</t>
        </is>
      </c>
      <c r="AG146" t="inlineStr">
        <is>
          <t>1008280041</t>
        </is>
      </c>
      <c r="AH146" t="n">
        <v>0</v>
      </c>
      <c r="AI146" t="inlineStr">
        <is>
          <t>10,176 sf</t>
        </is>
      </c>
      <c r="AJ146" t="inlineStr">
        <is>
          <t>S4</t>
        </is>
      </c>
    </row>
    <row r="147">
      <c r="A147" t="inlineStr">
        <is>
          <t>B-C-146</t>
        </is>
      </c>
      <c r="B147" t="inlineStr">
        <is>
          <t>Caudalie (US headquarters)</t>
        </is>
      </c>
      <c r="C147" s="2" t="inlineStr">
        <is>
          <t>https://us.caudalie.com</t>
        </is>
      </c>
      <c r="D147" t="inlineStr">
        <is>
          <t>skin care brand</t>
        </is>
      </c>
      <c r="E147" t="inlineStr">
        <is>
          <t>B-B-068</t>
        </is>
      </c>
      <c r="F147" t="inlineStr">
        <is>
          <t>381 Park Avenue South</t>
        </is>
      </c>
      <c r="G147" t="inlineStr">
        <is>
          <t>unknown</t>
        </is>
      </c>
      <c r="H147" t="inlineStr">
        <is>
          <t>10016</t>
        </is>
      </c>
      <c r="I147" t="n">
        <v>40.742351</v>
      </c>
      <c r="J147" t="n">
        <v>-73.984127</v>
      </c>
      <c r="K147" t="inlineStr">
        <is>
          <t>Y</t>
        </is>
      </c>
      <c r="L147" t="inlineStr">
        <is>
          <t>unknown</t>
        </is>
      </c>
      <c r="M147" t="inlineStr">
        <is>
          <t>unknown</t>
        </is>
      </c>
      <c r="N147" t="inlineStr"/>
      <c r="O147" s="2" t="inlineStr">
        <is>
          <t>https://commercialobserver.com/2024/01/skin-care-brand-caudalie-signs-14k-sf-lease-at-381-park-avenue-south/</t>
        </is>
      </c>
      <c r="P147" t="inlineStr">
        <is>
          <t>2024-01-11</t>
        </is>
      </c>
      <c r="Q147" t="inlineStr"/>
      <c r="R147" t="inlineStr">
        <is>
          <t>low</t>
        </is>
      </c>
      <c r="S147" t="inlineStr">
        <is>
          <t>N</t>
        </is>
      </c>
      <c r="T147" t="inlineStr"/>
      <c r="U147" t="inlineStr"/>
      <c r="V147" s="3" t="inlineStr">
        <is>
          <t>10-year 14,000 SF lease signed Dec 2023 and already moved from 70 W 36th St. Older than 24 months; US site contact pages returned 404, so not reconfirmed. Consumer brand fit.</t>
        </is>
      </c>
      <c r="W147" t="inlineStr">
        <is>
          <t>2026-10-23</t>
        </is>
      </c>
      <c r="X147" t="inlineStr">
        <is>
          <t>unknown</t>
        </is>
      </c>
      <c r="Y147" t="inlineStr">
        <is>
          <t>candidate</t>
        </is>
      </c>
      <c r="Z147" t="inlineStr">
        <is>
          <t>occupancy-unconfirmed</t>
        </is>
      </c>
      <c r="AA147" t="inlineStr"/>
      <c r="AB147" t="inlineStr"/>
      <c r="AC147" s="3" t="inlineStr">
        <is>
          <t>No opened source gives a count: no Built In profile with a total, the company site publishes none, and LinkedIn was off-limits. Founder to confirm at intake.</t>
        </is>
      </c>
      <c r="AD147" t="inlineStr">
        <is>
          <t>leasing-press</t>
        </is>
      </c>
      <c r="AE147" t="inlineStr"/>
      <c r="AF147" t="inlineStr">
        <is>
          <t>no-coworking-in-building</t>
        </is>
      </c>
      <c r="AG147" t="inlineStr">
        <is>
          <t>1008820085</t>
        </is>
      </c>
      <c r="AH147" t="n">
        <v>0</v>
      </c>
      <c r="AI147" t="inlineStr">
        <is>
          <t>14,000 sf</t>
        </is>
      </c>
      <c r="AJ147" t="inlineStr">
        <is>
          <t>S4</t>
        </is>
      </c>
    </row>
    <row r="148">
      <c r="A148" t="inlineStr">
        <is>
          <t>B-C-147</t>
        </is>
      </c>
      <c r="B148" t="inlineStr">
        <is>
          <t>Eton (US office and showroom)</t>
        </is>
      </c>
      <c r="C148" s="2" t="inlineStr">
        <is>
          <t>https://www.etonshirts.com</t>
        </is>
      </c>
      <c r="D148" t="inlineStr">
        <is>
          <t>menswear brand</t>
        </is>
      </c>
      <c r="E148" t="inlineStr">
        <is>
          <t>B-B-068</t>
        </is>
      </c>
      <c r="F148" t="inlineStr">
        <is>
          <t>381 Park Avenue South</t>
        </is>
      </c>
      <c r="G148" t="inlineStr">
        <is>
          <t>unknown</t>
        </is>
      </c>
      <c r="H148" t="inlineStr">
        <is>
          <t>10016</t>
        </is>
      </c>
      <c r="I148" t="n">
        <v>40.742351</v>
      </c>
      <c r="J148" t="n">
        <v>-73.984127</v>
      </c>
      <c r="K148" t="inlineStr">
        <is>
          <t>Y</t>
        </is>
      </c>
      <c r="L148" t="inlineStr">
        <is>
          <t>unknown</t>
        </is>
      </c>
      <c r="M148" t="inlineStr">
        <is>
          <t>unknown</t>
        </is>
      </c>
      <c r="N148" t="inlineStr"/>
      <c r="O148" s="2" t="inlineStr">
        <is>
          <t>https://commercialobserver.com/2024/03/mens-clothing-company-eton-signs-5k-sf-lease-at-381-park-avenue-south/</t>
        </is>
      </c>
      <c r="P148" t="inlineStr">
        <is>
          <t>2024-03-20</t>
        </is>
      </c>
      <c r="Q148" t="inlineStr"/>
      <c r="R148" t="inlineStr">
        <is>
          <t>low</t>
        </is>
      </c>
      <c r="S148" t="inlineStr">
        <is>
          <t>N</t>
        </is>
      </c>
      <c r="T148" t="inlineStr"/>
      <c r="U148" t="inlineStr"/>
      <c r="V148" s="3" t="inlineStr">
        <is>
          <t>5,000 SF office and showroom (10-year 9-month term) moved from 833 Madison Ave. Older source, not reconfirmed; may be under 40 people in NYC.</t>
        </is>
      </c>
      <c r="W148" t="inlineStr">
        <is>
          <t>2026-10-23</t>
        </is>
      </c>
      <c r="X148" t="inlineStr">
        <is>
          <t>unknown</t>
        </is>
      </c>
      <c r="Y148" t="inlineStr">
        <is>
          <t>candidate</t>
        </is>
      </c>
      <c r="Z148" t="inlineStr">
        <is>
          <t>occupancy-unconfirmed</t>
        </is>
      </c>
      <c r="AA148" t="inlineStr"/>
      <c r="AB148" t="inlineStr"/>
      <c r="AC148" s="3" t="inlineStr">
        <is>
          <t>No opened source gives a count: no Built In profile with a total, the company site publishes none, and LinkedIn was off-limits. Founder to confirm at intake.</t>
        </is>
      </c>
      <c r="AD148" t="inlineStr">
        <is>
          <t>leasing-press</t>
        </is>
      </c>
      <c r="AE148" t="inlineStr"/>
      <c r="AF148" t="inlineStr">
        <is>
          <t>no-coworking-in-building</t>
        </is>
      </c>
      <c r="AG148" t="inlineStr">
        <is>
          <t>1008820085</t>
        </is>
      </c>
      <c r="AH148" t="n">
        <v>0</v>
      </c>
      <c r="AI148" t="inlineStr">
        <is>
          <t>5,000 sf</t>
        </is>
      </c>
      <c r="AJ148" t="inlineStr">
        <is>
          <t>S4</t>
        </is>
      </c>
    </row>
    <row r="149">
      <c r="A149" t="inlineStr">
        <is>
          <t>B-C-148</t>
        </is>
      </c>
      <c r="B149" t="inlineStr">
        <is>
          <t>Lee &amp; Low Books</t>
        </is>
      </c>
      <c r="C149" s="2" t="inlineStr">
        <is>
          <t>https://www.leeandlow.com</t>
        </is>
      </c>
      <c r="D149" t="inlineStr">
        <is>
          <t>book publishing (children's)</t>
        </is>
      </c>
      <c r="E149" t="inlineStr">
        <is>
          <t>B-B-068</t>
        </is>
      </c>
      <c r="F149" t="inlineStr">
        <is>
          <t>381 Park Avenue South</t>
        </is>
      </c>
      <c r="G149" t="inlineStr">
        <is>
          <t>14 (Room 1401)</t>
        </is>
      </c>
      <c r="H149" t="inlineStr">
        <is>
          <t>10016</t>
        </is>
      </c>
      <c r="I149" t="n">
        <v>40.742351</v>
      </c>
      <c r="J149" t="n">
        <v>-73.984127</v>
      </c>
      <c r="K149" t="inlineStr">
        <is>
          <t>Y</t>
        </is>
      </c>
      <c r="L149" t="inlineStr">
        <is>
          <t>unknown</t>
        </is>
      </c>
      <c r="M149" t="inlineStr">
        <is>
          <t>unknown</t>
        </is>
      </c>
      <c r="N149" t="inlineStr"/>
      <c r="O149" s="2" t="inlineStr">
        <is>
          <t>https://www.leeandlow.com/about/</t>
        </is>
      </c>
      <c r="P149" t="inlineStr">
        <is>
          <t>2026-10-23</t>
        </is>
      </c>
      <c r="Q149" s="2" t="inlineStr">
        <is>
          <t>https://commercialobserver.com/2024/04/publisher-lee-low-moving-offices-to-6k-sf-at-381-park-avenue-south/</t>
        </is>
      </c>
      <c r="R149" t="inlineStr">
        <is>
          <t>high</t>
        </is>
      </c>
      <c r="S149" t="inlineStr">
        <is>
          <t>N</t>
        </is>
      </c>
      <c r="T149" t="inlineStr"/>
      <c r="U149" t="inlineStr"/>
      <c r="V149" s="3" t="inlineStr">
        <is>
          <t>Site footer lists 381 Park Ave S, Room 1401. CO 2024: three-year 5,844 SF lease on floor 14 (so term may end around 2027). Headcount not found.</t>
        </is>
      </c>
      <c r="W149" t="inlineStr">
        <is>
          <t>2026-10-23</t>
        </is>
      </c>
      <c r="X149" t="inlineStr">
        <is>
          <t>unknown</t>
        </is>
      </c>
      <c r="Y149" t="inlineStr">
        <is>
          <t>candidate</t>
        </is>
      </c>
      <c r="Z149" t="inlineStr">
        <is>
          <t>occupied</t>
        </is>
      </c>
      <c r="AA149" t="inlineStr"/>
      <c r="AB149" t="inlineStr"/>
      <c r="AC149" s="3" t="inlineStr">
        <is>
          <t>No opened source gives a count: no Built In profile with a total, the company site publishes none, and LinkedIn was off-limits. Founder to confirm at intake.</t>
        </is>
      </c>
      <c r="AD149" t="inlineStr">
        <is>
          <t>company-site</t>
        </is>
      </c>
      <c r="AE149" t="inlineStr">
        <is>
          <t>2024-04-25</t>
        </is>
      </c>
      <c r="AF149" t="inlineStr">
        <is>
          <t>no-coworking-in-building</t>
        </is>
      </c>
      <c r="AG149" t="inlineStr">
        <is>
          <t>1008820085</t>
        </is>
      </c>
      <c r="AH149" t="n">
        <v>0</v>
      </c>
      <c r="AI149" t="inlineStr">
        <is>
          <t>5,844 sf</t>
        </is>
      </c>
      <c r="AJ149" t="inlineStr">
        <is>
          <t>S4</t>
        </is>
      </c>
    </row>
    <row r="150">
      <c r="A150" t="inlineStr">
        <is>
          <t>B-C-149</t>
        </is>
      </c>
      <c r="B150" t="inlineStr">
        <is>
          <t>SWA Group</t>
        </is>
      </c>
      <c r="C150" t="inlineStr">
        <is>
          <t>unknown</t>
        </is>
      </c>
      <c r="D150" t="inlineStr">
        <is>
          <t>landscape architecture and urban design</t>
        </is>
      </c>
      <c r="E150" t="inlineStr">
        <is>
          <t>B-B-068</t>
        </is>
      </c>
      <c r="F150" t="inlineStr">
        <is>
          <t>381 Park Avenue South</t>
        </is>
      </c>
      <c r="G150" t="inlineStr">
        <is>
          <t>12 (part)</t>
        </is>
      </c>
      <c r="H150" t="inlineStr">
        <is>
          <t>10016</t>
        </is>
      </c>
      <c r="I150" t="n">
        <v>40.742351</v>
      </c>
      <c r="J150" t="n">
        <v>-73.984127</v>
      </c>
      <c r="K150" t="inlineStr">
        <is>
          <t>Y</t>
        </is>
      </c>
      <c r="L150" t="inlineStr">
        <is>
          <t>unknown</t>
        </is>
      </c>
      <c r="M150" t="inlineStr">
        <is>
          <t>unknown</t>
        </is>
      </c>
      <c r="N150" t="inlineStr"/>
      <c r="O150" s="2" t="inlineStr">
        <is>
          <t>https://commercialobserver.com/2026/08/swa-group-lease-381-park-avenue-south/</t>
        </is>
      </c>
      <c r="P150" t="inlineStr">
        <is>
          <t>2026-08-11</t>
        </is>
      </c>
      <c r="Q150" t="inlineStr"/>
      <c r="R150" t="inlineStr">
        <is>
          <t>medium</t>
        </is>
      </c>
      <c r="S150" t="inlineStr">
        <is>
          <t>N</t>
        </is>
      </c>
      <c r="T150" t="inlineStr"/>
      <c r="U150" t="inlineStr"/>
      <c r="V150" s="3" t="inlineStr">
        <is>
          <t>10.5-year 5,789 SF lease on part of floor 12, relocating from 31 West 27th Street (also in this slice). Headcount not found.</t>
        </is>
      </c>
      <c r="W150" t="inlineStr">
        <is>
          <t>2026-10-23</t>
        </is>
      </c>
      <c r="X150" t="inlineStr">
        <is>
          <t>unknown</t>
        </is>
      </c>
      <c r="Y150" t="inlineStr">
        <is>
          <t>candidate</t>
        </is>
      </c>
      <c r="Z150" t="inlineStr">
        <is>
          <t>occupancy-unconfirmed</t>
        </is>
      </c>
      <c r="AA150" t="inlineStr"/>
      <c r="AB150" t="inlineStr"/>
      <c r="AC150" s="3" t="inlineStr">
        <is>
          <t>No opened source gives a count: no Built In profile with a total, the company site publishes none, and LinkedIn was off-limits. Founder to confirm at intake.</t>
        </is>
      </c>
      <c r="AD150" t="inlineStr">
        <is>
          <t>leasing-press</t>
        </is>
      </c>
      <c r="AE150" t="inlineStr"/>
      <c r="AF150" t="inlineStr">
        <is>
          <t>no-coworking-in-building</t>
        </is>
      </c>
      <c r="AG150" t="inlineStr">
        <is>
          <t>1008820085</t>
        </is>
      </c>
      <c r="AH150" t="n">
        <v>0</v>
      </c>
      <c r="AI150" t="inlineStr">
        <is>
          <t>5,789 sf</t>
        </is>
      </c>
      <c r="AJ150" t="inlineStr">
        <is>
          <t>S4</t>
        </is>
      </c>
    </row>
    <row r="151">
      <c r="A151" t="inlineStr">
        <is>
          <t>B-C-150</t>
        </is>
      </c>
      <c r="B151" t="inlineStr">
        <is>
          <t>The Corcoran Group</t>
        </is>
      </c>
      <c r="C151" s="2" t="inlineStr">
        <is>
          <t>https://www.corcoran.com</t>
        </is>
      </c>
      <c r="D151" t="inlineStr">
        <is>
          <t>residential real estate brokerage</t>
        </is>
      </c>
      <c r="E151" t="inlineStr">
        <is>
          <t>B-B-068</t>
        </is>
      </c>
      <c r="F151" t="inlineStr">
        <is>
          <t>381 Park Avenue South</t>
        </is>
      </c>
      <c r="G151" t="inlineStr">
        <is>
          <t>full floor (number not stated)</t>
        </is>
      </c>
      <c r="H151" t="inlineStr">
        <is>
          <t>10016</t>
        </is>
      </c>
      <c r="I151" t="n">
        <v>40.742351</v>
      </c>
      <c r="J151" t="n">
        <v>-73.984127</v>
      </c>
      <c r="K151" t="inlineStr">
        <is>
          <t>Y</t>
        </is>
      </c>
      <c r="L151" t="inlineStr">
        <is>
          <t>unknown</t>
        </is>
      </c>
      <c r="M151" t="inlineStr">
        <is>
          <t>unknown</t>
        </is>
      </c>
      <c r="N151" t="inlineStr"/>
      <c r="O151" s="2" t="inlineStr">
        <is>
          <t>https://commercialobserver.com/2026/04/corcoran-group-lease-381-park-avenue-south/</t>
        </is>
      </c>
      <c r="P151" t="inlineStr">
        <is>
          <t>2026-04-01</t>
        </is>
      </c>
      <c r="Q151" t="inlineStr"/>
      <c r="R151" t="inlineStr">
        <is>
          <t>medium</t>
        </is>
      </c>
      <c r="S151" t="inlineStr">
        <is>
          <t>N</t>
        </is>
      </c>
      <c r="T151" t="inlineStr"/>
      <c r="U151" t="inlineStr"/>
      <c r="V151" s="3" t="inlineStr">
        <is>
          <t>14,710 SF full floor; relocating one block from 387 Park Avenue South, move planned for summer 2026. Likely a sales office with agents rather than fixed staff. Headcount not sourced; a large brokerage, check for over-500 before use.</t>
        </is>
      </c>
      <c r="W151" t="inlineStr">
        <is>
          <t>2026-10-23</t>
        </is>
      </c>
      <c r="X151" t="inlineStr">
        <is>
          <t>unknown</t>
        </is>
      </c>
      <c r="Y151" t="inlineStr">
        <is>
          <t>candidate</t>
        </is>
      </c>
      <c r="Z151" t="inlineStr">
        <is>
          <t>signed-not-occupied</t>
        </is>
      </c>
      <c r="AA151" t="inlineStr">
        <is>
          <t>2026 summer (planned)</t>
        </is>
      </c>
      <c r="AB151" t="inlineStr"/>
      <c r="AC151" s="3" t="inlineStr">
        <is>
          <t>No opened source gives a count: no Built In profile with a total, the company site publishes none, and LinkedIn was off-limits. Founder to confirm at intake.</t>
        </is>
      </c>
      <c r="AD151" t="inlineStr">
        <is>
          <t>leasing-press</t>
        </is>
      </c>
      <c r="AE151" t="inlineStr"/>
      <c r="AF151" t="inlineStr">
        <is>
          <t>no-coworking-in-building</t>
        </is>
      </c>
      <c r="AG151" t="inlineStr">
        <is>
          <t>1008820085</t>
        </is>
      </c>
      <c r="AH151" t="n">
        <v>0</v>
      </c>
      <c r="AI151" t="inlineStr">
        <is>
          <t>14,710 sf</t>
        </is>
      </c>
      <c r="AJ151" t="inlineStr">
        <is>
          <t>S4</t>
        </is>
      </c>
    </row>
    <row r="152">
      <c r="A152" t="inlineStr">
        <is>
          <t>B-C-151</t>
        </is>
      </c>
      <c r="B152" t="inlineStr">
        <is>
          <t>Carbyne</t>
        </is>
      </c>
      <c r="C152" s="2" t="inlineStr">
        <is>
          <t>https://carbyne.com</t>
        </is>
      </c>
      <c r="D152" t="inlineStr">
        <is>
          <t>public safety software (emergency communications)</t>
        </is>
      </c>
      <c r="E152" t="inlineStr">
        <is>
          <t>B-B-069</t>
        </is>
      </c>
      <c r="F152" t="inlineStr">
        <is>
          <t>45 West 27th Street</t>
        </is>
      </c>
      <c r="G152" t="inlineStr">
        <is>
          <t>2</t>
        </is>
      </c>
      <c r="H152" t="inlineStr">
        <is>
          <t>10001</t>
        </is>
      </c>
      <c r="I152" t="n">
        <v>40.745243</v>
      </c>
      <c r="J152" t="n">
        <v>-73.989968</v>
      </c>
      <c r="K152" t="inlineStr">
        <is>
          <t>Y</t>
        </is>
      </c>
      <c r="L152" t="inlineStr">
        <is>
          <t>151-250</t>
        </is>
      </c>
      <c r="M152" t="inlineStr">
        <is>
          <t>whole-company</t>
        </is>
      </c>
      <c r="N152" s="2" t="inlineStr">
        <is>
          <t>https://www.builtinnyc.com/company/carbyne/offices</t>
        </is>
      </c>
      <c r="O152" s="2" t="inlineStr">
        <is>
          <t>https://carbyne.com/company/about-us/</t>
        </is>
      </c>
      <c r="P152" t="inlineStr">
        <is>
          <t>2026-10-23</t>
        </is>
      </c>
      <c r="Q152" s="2" t="inlineStr">
        <is>
          <t>https://www.builtinnyc.com/company/carbyne/offices</t>
        </is>
      </c>
      <c r="R152" t="inlineStr">
        <is>
          <t>high</t>
        </is>
      </c>
      <c r="S152" t="inlineStr">
        <is>
          <t>N</t>
        </is>
      </c>
      <c r="T152" t="inlineStr"/>
      <c r="U152" t="inlineStr"/>
      <c r="V152" s="3" t="inlineStr">
        <is>
          <t>Company page lists USA office at 45 W 27th Street, 2nd Floor; Built In lists 45 W 27th St and 180 total employees. NYC HQ lease of 5,700 SF reported Aug 2023 (FNP roundup 2023-09-06).</t>
        </is>
      </c>
      <c r="W152" t="inlineStr">
        <is>
          <t>2026-10-23</t>
        </is>
      </c>
      <c r="X152" t="inlineStr">
        <is>
          <t>unknown</t>
        </is>
      </c>
      <c r="Y152" t="inlineStr">
        <is>
          <t>candidate</t>
        </is>
      </c>
      <c r="Z152" t="inlineStr">
        <is>
          <t>occupied</t>
        </is>
      </c>
      <c r="AA152" t="inlineStr"/>
      <c r="AB152" t="inlineStr">
        <is>
          <t>2026-10-23</t>
        </is>
      </c>
      <c r="AC152" s="3" t="inlineStr"/>
      <c r="AD152" t="inlineStr">
        <is>
          <t>company-site</t>
        </is>
      </c>
      <c r="AE152" t="inlineStr">
        <is>
          <t>2026-10-23</t>
        </is>
      </c>
      <c r="AF152" t="inlineStr">
        <is>
          <t>no-coworking-in-building</t>
        </is>
      </c>
      <c r="AG152" t="inlineStr">
        <is>
          <t>1008290011</t>
        </is>
      </c>
      <c r="AH152" t="n">
        <v>0</v>
      </c>
      <c r="AI152" t="inlineStr">
        <is>
          <t>5,700 sf</t>
        </is>
      </c>
      <c r="AJ152" t="inlineStr">
        <is>
          <t>S4</t>
        </is>
      </c>
    </row>
    <row r="153">
      <c r="A153" t="inlineStr">
        <is>
          <t>B-C-152</t>
        </is>
      </c>
      <c r="B153" t="inlineStr">
        <is>
          <t>Everlast Worldwide (US headquarters)</t>
        </is>
      </c>
      <c r="C153" s="2" t="inlineStr">
        <is>
          <t>https://www.everlast.com</t>
        </is>
      </c>
      <c r="D153" t="inlineStr">
        <is>
          <t>sporting goods brand</t>
        </is>
      </c>
      <c r="E153" t="inlineStr">
        <is>
          <t>B-B-070</t>
        </is>
      </c>
      <c r="F153" t="inlineStr">
        <is>
          <t>15 West 27th Street</t>
        </is>
      </c>
      <c r="G153" t="inlineStr">
        <is>
          <t>2</t>
        </is>
      </c>
      <c r="H153" t="inlineStr">
        <is>
          <t>10001</t>
        </is>
      </c>
      <c r="I153" t="n">
        <v>40.744515</v>
      </c>
      <c r="J153" t="n">
        <v>-73.988255</v>
      </c>
      <c r="K153" t="inlineStr">
        <is>
          <t>Y</t>
        </is>
      </c>
      <c r="L153" t="inlineStr">
        <is>
          <t>unknown</t>
        </is>
      </c>
      <c r="M153" t="inlineStr">
        <is>
          <t>unknown</t>
        </is>
      </c>
      <c r="N153" t="inlineStr"/>
      <c r="O153" s="2" t="inlineStr">
        <is>
          <t>https://commercialobserver.com/2023/12/boxing-equipment-maker-everlast-signs-office-lease-15-west-27th-street/</t>
        </is>
      </c>
      <c r="P153" t="inlineStr">
        <is>
          <t>2023-12-14</t>
        </is>
      </c>
      <c r="Q153" t="inlineStr"/>
      <c r="R153" t="inlineStr">
        <is>
          <t>low</t>
        </is>
      </c>
      <c r="S153" t="inlineStr">
        <is>
          <t>N</t>
        </is>
      </c>
      <c r="T153" t="inlineStr"/>
      <c r="U153" t="inlineStr"/>
      <c r="V153" s="3" t="inlineStr">
        <is>
          <t>CO 2023: one-year deal for 5,900 SF on full 2nd floor for its US HQ. Term was one year, so likely stale; not reconfirmed.</t>
        </is>
      </c>
      <c r="W153" t="inlineStr">
        <is>
          <t>2026-10-23</t>
        </is>
      </c>
      <c r="X153" t="inlineStr">
        <is>
          <t>unknown</t>
        </is>
      </c>
      <c r="Y153" t="inlineStr">
        <is>
          <t>candidate</t>
        </is>
      </c>
      <c r="Z153" t="inlineStr">
        <is>
          <t>occupancy-unconfirmed</t>
        </is>
      </c>
      <c r="AA153" t="inlineStr"/>
      <c r="AB153" t="inlineStr"/>
      <c r="AC153" s="3" t="inlineStr">
        <is>
          <t>No opened source gives a count: no Built In profile with a total, the company site publishes none, and LinkedIn was off-limits. Founder to confirm at intake.</t>
        </is>
      </c>
      <c r="AD153" t="inlineStr">
        <is>
          <t>leasing-press</t>
        </is>
      </c>
      <c r="AE153" t="inlineStr"/>
      <c r="AF153" t="inlineStr">
        <is>
          <t>no-coworking-in-building</t>
        </is>
      </c>
      <c r="AG153" t="inlineStr">
        <is>
          <t>1008290032</t>
        </is>
      </c>
      <c r="AH153" t="n">
        <v>0</v>
      </c>
      <c r="AI153" t="inlineStr">
        <is>
          <t>5,900 sf</t>
        </is>
      </c>
      <c r="AJ153" t="inlineStr">
        <is>
          <t>S4</t>
        </is>
      </c>
    </row>
    <row r="154">
      <c r="A154" t="inlineStr">
        <is>
          <t>B-C-153</t>
        </is>
      </c>
      <c r="B154" t="inlineStr">
        <is>
          <t>Seedtag</t>
        </is>
      </c>
      <c r="C154" s="2" t="inlineStr">
        <is>
          <t>https://www.seedtag.com</t>
        </is>
      </c>
      <c r="D154" t="inlineStr">
        <is>
          <t>adtech (contextual advertising)</t>
        </is>
      </c>
      <c r="E154" t="inlineStr">
        <is>
          <t>B-B-070</t>
        </is>
      </c>
      <c r="F154" t="inlineStr">
        <is>
          <t>15 West 27th Street</t>
        </is>
      </c>
      <c r="G154" t="inlineStr">
        <is>
          <t>3</t>
        </is>
      </c>
      <c r="H154" t="inlineStr">
        <is>
          <t>10001</t>
        </is>
      </c>
      <c r="I154" t="n">
        <v>40.744515</v>
      </c>
      <c r="J154" t="n">
        <v>-73.988255</v>
      </c>
      <c r="K154" t="inlineStr">
        <is>
          <t>Y</t>
        </is>
      </c>
      <c r="L154" t="inlineStr">
        <is>
          <t>251-500</t>
        </is>
      </c>
      <c r="M154" t="inlineStr">
        <is>
          <t>whole-company</t>
        </is>
      </c>
      <c r="N154" s="2" t="inlineStr">
        <is>
          <t>https://www.builtinnyc.com/company/seedtag/offices</t>
        </is>
      </c>
      <c r="O154" s="2" t="inlineStr">
        <is>
          <t>https://www.seedtag.com/contact</t>
        </is>
      </c>
      <c r="P154" t="inlineStr">
        <is>
          <t>2026-10-23</t>
        </is>
      </c>
      <c r="Q154" s="2" t="inlineStr">
        <is>
          <t>https://commercialobserver.com/2023/03/kaufman-organization-seedtag-advertising-15-west-27th-street/</t>
        </is>
      </c>
      <c r="R154" t="inlineStr">
        <is>
          <t>high</t>
        </is>
      </c>
      <c r="S154" t="inlineStr">
        <is>
          <t>N</t>
        </is>
      </c>
      <c r="T154" t="inlineStr"/>
      <c r="U154" t="inlineStr"/>
      <c r="V154" s="3" t="inlineStr">
        <is>
          <t>Contact page lists US HQ, New York at 15 West 27th Street, 3rd Floor. CO 2023: three-year 5,909 SF lease on the full 3rd floor (first US office), so the lease may have been renewed or be near its end. Built In (446 employees, HQ Madrid) lists only Chicago and Sterling Heights MI, so Built In is stale here.</t>
        </is>
      </c>
      <c r="W154" t="inlineStr">
        <is>
          <t>2026-10-23</t>
        </is>
      </c>
      <c r="X154" t="inlineStr">
        <is>
          <t>unknown</t>
        </is>
      </c>
      <c r="Y154" t="inlineStr">
        <is>
          <t>candidate</t>
        </is>
      </c>
      <c r="Z154" t="inlineStr">
        <is>
          <t>occupied</t>
        </is>
      </c>
      <c r="AA154" t="inlineStr"/>
      <c r="AB154" t="inlineStr">
        <is>
          <t>2026-10-23</t>
        </is>
      </c>
      <c r="AC154" s="3" t="inlineStr"/>
      <c r="AD154" t="inlineStr">
        <is>
          <t>company-site</t>
        </is>
      </c>
      <c r="AE154" t="inlineStr">
        <is>
          <t>2023-03-28</t>
        </is>
      </c>
      <c r="AF154" t="inlineStr">
        <is>
          <t>no-coworking-in-building</t>
        </is>
      </c>
      <c r="AG154" t="inlineStr">
        <is>
          <t>1008290032</t>
        </is>
      </c>
      <c r="AH154" t="n">
        <v>0</v>
      </c>
      <c r="AI154" t="inlineStr">
        <is>
          <t>5,909 sf</t>
        </is>
      </c>
      <c r="AJ154" t="inlineStr">
        <is>
          <t>S4</t>
        </is>
      </c>
    </row>
    <row r="155">
      <c r="A155" t="inlineStr">
        <is>
          <t>B-C-154</t>
        </is>
      </c>
      <c r="B155" t="inlineStr">
        <is>
          <t>Christian Louboutin</t>
        </is>
      </c>
      <c r="C155" s="2" t="inlineStr">
        <is>
          <t>https://us.christianlouboutin.com</t>
        </is>
      </c>
      <c r="D155" t="inlineStr">
        <is>
          <t>luxury footwear brand (office)</t>
        </is>
      </c>
      <c r="E155" t="inlineStr">
        <is>
          <t>B-B-071</t>
        </is>
      </c>
      <c r="F155" t="inlineStr">
        <is>
          <t>1165 Broadway</t>
        </is>
      </c>
      <c r="G155" t="inlineStr">
        <is>
          <t>unknown</t>
        </is>
      </c>
      <c r="H155" t="inlineStr">
        <is>
          <t>10001</t>
        </is>
      </c>
      <c r="I155" t="n">
        <v>40.744899</v>
      </c>
      <c r="J155" t="n">
        <v>-73.989082</v>
      </c>
      <c r="K155" t="inlineStr">
        <is>
          <t>Y</t>
        </is>
      </c>
      <c r="L155" t="inlineStr">
        <is>
          <t>unknown</t>
        </is>
      </c>
      <c r="M155" t="inlineStr">
        <is>
          <t>unknown</t>
        </is>
      </c>
      <c r="N155" t="inlineStr"/>
      <c r="O155" s="2" t="inlineStr">
        <is>
          <t>https://commercialobserver.com/2026/03/thor-equities-buys-1165-broadway/</t>
        </is>
      </c>
      <c r="P155" t="inlineStr">
        <is>
          <t>2026-03-25</t>
        </is>
      </c>
      <c r="Q155" t="inlineStr"/>
      <c r="R155" t="inlineStr">
        <is>
          <t>medium</t>
        </is>
      </c>
      <c r="S155" t="inlineStr">
        <is>
          <t>N</t>
        </is>
      </c>
      <c r="T155" t="inlineStr"/>
      <c r="U155" t="inlineStr"/>
      <c r="V155" s="3" t="inlineStr">
        <is>
          <t>CO names it a current tenant of the 58,000 SF office and retail building at Broadway and 27th St. Use (office or showroom) and headcount unknown; likely over 500 globally, not sourced.</t>
        </is>
      </c>
      <c r="W155" t="inlineStr">
        <is>
          <t>2026-10-23</t>
        </is>
      </c>
      <c r="X155" t="inlineStr">
        <is>
          <t>unknown</t>
        </is>
      </c>
      <c r="Y155" t="inlineStr">
        <is>
          <t>candidate</t>
        </is>
      </c>
      <c r="Z155" t="inlineStr">
        <is>
          <t>occupied</t>
        </is>
      </c>
      <c r="AA155" t="inlineStr"/>
      <c r="AB155" t="inlineStr"/>
      <c r="AC155" s="3" t="inlineStr">
        <is>
          <t>No opened source gives a count: no Built In profile with a total, the company site publishes none, and LinkedIn was off-limits. Founder to confirm at intake.</t>
        </is>
      </c>
      <c r="AD155" t="inlineStr">
        <is>
          <t>leasing-press</t>
        </is>
      </c>
      <c r="AE155" t="inlineStr"/>
      <c r="AF155" t="inlineStr">
        <is>
          <t>no-coworking-in-building</t>
        </is>
      </c>
      <c r="AG155" t="inlineStr">
        <is>
          <t>1008290022</t>
        </is>
      </c>
      <c r="AH155" t="n">
        <v>0</v>
      </c>
      <c r="AI155" t="inlineStr">
        <is>
          <t>58,000 sf</t>
        </is>
      </c>
      <c r="AJ155" t="inlineStr">
        <is>
          <t>S4</t>
        </is>
      </c>
    </row>
    <row r="156">
      <c r="A156" t="inlineStr">
        <is>
          <t>B-C-155</t>
        </is>
      </c>
      <c r="B156" t="inlineStr">
        <is>
          <t>Primary Wave</t>
        </is>
      </c>
      <c r="C156" s="2" t="inlineStr">
        <is>
          <t>https://www.primarywave.com</t>
        </is>
      </c>
      <c r="D156" t="inlineStr">
        <is>
          <t>music publishing and marketing</t>
        </is>
      </c>
      <c r="E156" t="inlineStr">
        <is>
          <t>B-B-071</t>
        </is>
      </c>
      <c r="F156" t="inlineStr">
        <is>
          <t>1165 Broadway</t>
        </is>
      </c>
      <c r="G156" t="inlineStr">
        <is>
          <t>5 (per site; CO 2024: top two floors)</t>
        </is>
      </c>
      <c r="H156" t="inlineStr">
        <is>
          <t>10001</t>
        </is>
      </c>
      <c r="I156" t="n">
        <v>40.744899</v>
      </c>
      <c r="J156" t="n">
        <v>-73.989082</v>
      </c>
      <c r="K156" t="inlineStr">
        <is>
          <t>Y</t>
        </is>
      </c>
      <c r="L156" t="inlineStr">
        <is>
          <t>76-150</t>
        </is>
      </c>
      <c r="M156" t="inlineStr">
        <is>
          <t>whole-company</t>
        </is>
      </c>
      <c r="N156" s="2" t="inlineStr">
        <is>
          <t>https://www.builtinnyc.com/company/primary-wave/offices</t>
        </is>
      </c>
      <c r="O156" s="2" t="inlineStr">
        <is>
          <t>https://commercialobserver.com/2026/03/thor-equities-buys-1165-broadway/</t>
        </is>
      </c>
      <c r="P156" t="inlineStr">
        <is>
          <t>2026-03-25</t>
        </is>
      </c>
      <c r="Q156" s="2" t="inlineStr">
        <is>
          <t>https://primarywave.com/contact/</t>
        </is>
      </c>
      <c r="R156" t="inlineStr">
        <is>
          <t>high</t>
        </is>
      </c>
      <c r="S156" t="inlineStr">
        <is>
          <t>N</t>
        </is>
      </c>
      <c r="T156" t="inlineStr"/>
      <c r="U156" t="inlineStr"/>
      <c r="V156" s="3" t="inlineStr">
        <is>
          <t>Contact page lists 1165 Broadway, 5th Floor. CO 2026 (building sale) names Primary Wave as a current tenant; CO 2024: 10-year 12,884 SF lease on the top two floors. Built In: 109 total employees.</t>
        </is>
      </c>
      <c r="W156" t="inlineStr">
        <is>
          <t>2026-10-23</t>
        </is>
      </c>
      <c r="X156" t="inlineStr">
        <is>
          <t>unknown</t>
        </is>
      </c>
      <c r="Y156" t="inlineStr">
        <is>
          <t>candidate</t>
        </is>
      </c>
      <c r="Z156" t="inlineStr">
        <is>
          <t>occupied</t>
        </is>
      </c>
      <c r="AA156" t="inlineStr"/>
      <c r="AB156" t="inlineStr">
        <is>
          <t>2026-10-23</t>
        </is>
      </c>
      <c r="AC156" s="3" t="inlineStr"/>
      <c r="AD156" t="inlineStr">
        <is>
          <t>leasing-press</t>
        </is>
      </c>
      <c r="AE156" t="inlineStr">
        <is>
          <t>2026-10-23</t>
        </is>
      </c>
      <c r="AF156" t="inlineStr">
        <is>
          <t>no-coworking-in-building</t>
        </is>
      </c>
      <c r="AG156" t="inlineStr">
        <is>
          <t>1008290022</t>
        </is>
      </c>
      <c r="AH156" t="n">
        <v>0</v>
      </c>
      <c r="AI156" t="inlineStr">
        <is>
          <t>12,884 sf</t>
        </is>
      </c>
      <c r="AJ156" t="inlineStr">
        <is>
          <t>S4</t>
        </is>
      </c>
    </row>
    <row r="157">
      <c r="A157" t="inlineStr">
        <is>
          <t>B-C-156</t>
        </is>
      </c>
      <c r="B157" t="inlineStr">
        <is>
          <t>Modern FL</t>
        </is>
      </c>
      <c r="C157" t="inlineStr">
        <is>
          <t>unknown</t>
        </is>
      </c>
      <c r="D157" t="inlineStr">
        <is>
          <t>furniture and lighting</t>
        </is>
      </c>
      <c r="E157" t="inlineStr">
        <is>
          <t>B-B-072</t>
        </is>
      </c>
      <c r="F157" t="inlineStr">
        <is>
          <t>386 Park Avenue South</t>
        </is>
      </c>
      <c r="G157" t="inlineStr">
        <is>
          <t>9</t>
        </is>
      </c>
      <c r="H157" t="inlineStr">
        <is>
          <t>10016</t>
        </is>
      </c>
      <c r="I157" t="n">
        <v>40.743091</v>
      </c>
      <c r="J157" t="n">
        <v>-73.98483299999999</v>
      </c>
      <c r="K157" t="inlineStr">
        <is>
          <t>Y</t>
        </is>
      </c>
      <c r="L157" t="inlineStr">
        <is>
          <t>unknown</t>
        </is>
      </c>
      <c r="M157" t="inlineStr">
        <is>
          <t>unknown</t>
        </is>
      </c>
      <c r="N157" t="inlineStr"/>
      <c r="O157" s="2" t="inlineStr">
        <is>
          <t>https://commercialobserver.com/2026/02/primary-ventures-sigma-computing-leases-386-park-avenue-south/</t>
        </is>
      </c>
      <c r="P157" t="inlineStr">
        <is>
          <t>2026-02-27</t>
        </is>
      </c>
      <c r="Q157" t="inlineStr"/>
      <c r="R157" t="inlineStr">
        <is>
          <t>medium</t>
        </is>
      </c>
      <c r="S157" t="inlineStr">
        <is>
          <t>N</t>
        </is>
      </c>
      <c r="T157" t="inlineStr"/>
      <c r="U157" t="inlineStr"/>
      <c r="V157" s="3" t="inlineStr">
        <is>
          <t>U.K.-based furniture and lighting firm; 13,121 SF on floor 9. CO says unclear whether this is its first NYC office. Use may be office or showroom; size unknown, founder to confirm.</t>
        </is>
      </c>
      <c r="W157" t="inlineStr">
        <is>
          <t>2026-10-23</t>
        </is>
      </c>
      <c r="X157" t="inlineStr">
        <is>
          <t>unknown</t>
        </is>
      </c>
      <c r="Y157" t="inlineStr">
        <is>
          <t>candidate</t>
        </is>
      </c>
      <c r="Z157" t="inlineStr">
        <is>
          <t>occupancy-unconfirmed</t>
        </is>
      </c>
      <c r="AA157" t="inlineStr"/>
      <c r="AB157" t="inlineStr"/>
      <c r="AC157" s="3" t="inlineStr">
        <is>
          <t>No opened source gives a count: no Built In profile with a total, the company site publishes none, and LinkedIn was off-limits. Founder to confirm at intake.</t>
        </is>
      </c>
      <c r="AD157" t="inlineStr">
        <is>
          <t>leasing-press</t>
        </is>
      </c>
      <c r="AE157" t="inlineStr"/>
      <c r="AF157" t="inlineStr">
        <is>
          <t>different-floor</t>
        </is>
      </c>
      <c r="AG157" t="inlineStr">
        <is>
          <t>1008570038</t>
        </is>
      </c>
      <c r="AH157" t="n">
        <v>0</v>
      </c>
      <c r="AI157" t="inlineStr">
        <is>
          <t>13,121 sf</t>
        </is>
      </c>
      <c r="AJ157" t="inlineStr">
        <is>
          <t>S4</t>
        </is>
      </c>
    </row>
    <row r="158">
      <c r="A158" t="inlineStr">
        <is>
          <t>B-C-157</t>
        </is>
      </c>
      <c r="B158" t="inlineStr">
        <is>
          <t>Primary Venture Partners</t>
        </is>
      </c>
      <c r="C158" s="2" t="inlineStr">
        <is>
          <t>https://www.primary.vc</t>
        </is>
      </c>
      <c r="D158" t="inlineStr">
        <is>
          <t>venture capital</t>
        </is>
      </c>
      <c r="E158" t="inlineStr">
        <is>
          <t>B-B-072</t>
        </is>
      </c>
      <c r="F158" t="inlineStr">
        <is>
          <t>386 Park Avenue South</t>
        </is>
      </c>
      <c r="G158" t="inlineStr">
        <is>
          <t>13-14</t>
        </is>
      </c>
      <c r="H158" t="inlineStr">
        <is>
          <t>10016</t>
        </is>
      </c>
      <c r="I158" t="n">
        <v>40.743091</v>
      </c>
      <c r="J158" t="n">
        <v>-73.98483299999999</v>
      </c>
      <c r="K158" t="inlineStr">
        <is>
          <t>Y</t>
        </is>
      </c>
      <c r="L158" t="inlineStr">
        <is>
          <t>40-75</t>
        </is>
      </c>
      <c r="M158" t="inlineStr">
        <is>
          <t>nyc-office</t>
        </is>
      </c>
      <c r="N158" s="2" t="inlineStr">
        <is>
          <t>https://commercialobserver.com/2023/07/primary-vc-sublease-386-park-avenue-south/</t>
        </is>
      </c>
      <c r="O158" s="2" t="inlineStr">
        <is>
          <t>https://commercialobserver.com/2026/02/primary-ventures-sigma-computing-leases-386-park-avenue-south/</t>
        </is>
      </c>
      <c r="P158" t="inlineStr">
        <is>
          <t>2026-02-27</t>
        </is>
      </c>
      <c r="Q158" s="2" t="inlineStr">
        <is>
          <t>https://commercialobserver.com/2023/07/primary-vc-sublease-386-park-avenue-south/</t>
        </is>
      </c>
      <c r="R158" t="inlineStr">
        <is>
          <t>medium</t>
        </is>
      </c>
      <c r="S158" t="inlineStr">
        <is>
          <t>N</t>
        </is>
      </c>
      <c r="T158" t="inlineStr"/>
      <c r="U158" t="inlineStr"/>
      <c r="V158" s="3" t="inlineStr">
        <is>
          <t>2026 CO: direct 26,252 SF lease on floors 13-14 (it already occupied them via a 2023 sublease from MullenLowe). Headcount is the 2023 CO figure '40 employees' relocated; older than 24 months. Second source is the same publication and older, so not counted as independent confirmation.</t>
        </is>
      </c>
      <c r="W158" t="inlineStr">
        <is>
          <t>2026-10-23</t>
        </is>
      </c>
      <c r="X158" t="inlineStr">
        <is>
          <t>unknown</t>
        </is>
      </c>
      <c r="Y158" t="inlineStr">
        <is>
          <t>candidate</t>
        </is>
      </c>
      <c r="Z158" t="inlineStr">
        <is>
          <t>occupied</t>
        </is>
      </c>
      <c r="AA158" t="inlineStr"/>
      <c r="AB158" t="inlineStr">
        <is>
          <t>2023-07-10</t>
        </is>
      </c>
      <c r="AC158" s="3" t="inlineStr"/>
      <c r="AD158" t="inlineStr">
        <is>
          <t>leasing-press</t>
        </is>
      </c>
      <c r="AE158" t="inlineStr">
        <is>
          <t>2023-07-10</t>
        </is>
      </c>
      <c r="AF158" t="inlineStr">
        <is>
          <t>different-floor</t>
        </is>
      </c>
      <c r="AG158" t="inlineStr">
        <is>
          <t>1008570038</t>
        </is>
      </c>
      <c r="AH158" t="n">
        <v>0</v>
      </c>
      <c r="AI158" t="inlineStr">
        <is>
          <t>26,252 sf</t>
        </is>
      </c>
      <c r="AJ158" t="inlineStr">
        <is>
          <t>S4</t>
        </is>
      </c>
    </row>
    <row r="159">
      <c r="A159" t="inlineStr">
        <is>
          <t>B-C-158</t>
        </is>
      </c>
      <c r="B159" t="inlineStr">
        <is>
          <t>Sigma Computing</t>
        </is>
      </c>
      <c r="C159" s="2" t="inlineStr">
        <is>
          <t>https://www.sigmacomputing.com</t>
        </is>
      </c>
      <c r="D159" t="inlineStr">
        <is>
          <t>software (cloud analytics)</t>
        </is>
      </c>
      <c r="E159" t="inlineStr">
        <is>
          <t>B-B-072</t>
        </is>
      </c>
      <c r="F159" t="inlineStr">
        <is>
          <t>386 Park Avenue South</t>
        </is>
      </c>
      <c r="G159" t="inlineStr">
        <is>
          <t>5-6</t>
        </is>
      </c>
      <c r="H159" t="inlineStr">
        <is>
          <t>10016</t>
        </is>
      </c>
      <c r="I159" t="n">
        <v>40.743091</v>
      </c>
      <c r="J159" t="n">
        <v>-73.98483299999999</v>
      </c>
      <c r="K159" t="inlineStr">
        <is>
          <t>Y</t>
        </is>
      </c>
      <c r="L159" t="inlineStr">
        <is>
          <t>251-500</t>
        </is>
      </c>
      <c r="M159" t="inlineStr">
        <is>
          <t>whole-company</t>
        </is>
      </c>
      <c r="N159" s="2" t="inlineStr">
        <is>
          <t>https://www.builtinnyc.com/company/sigma-computing</t>
        </is>
      </c>
      <c r="O159" s="2" t="inlineStr">
        <is>
          <t>https://commercialobserver.com/2026/02/primary-ventures-sigma-computing-leases-386-park-avenue-south/</t>
        </is>
      </c>
      <c r="P159" t="inlineStr">
        <is>
          <t>2026-02-27</t>
        </is>
      </c>
      <c r="Q159" t="inlineStr"/>
      <c r="R159" t="inlineStr">
        <is>
          <t>medium</t>
        </is>
      </c>
      <c r="S159" t="inlineStr">
        <is>
          <t>N</t>
        </is>
      </c>
      <c r="T159" t="inlineStr"/>
      <c r="U159" t="inlineStr"/>
      <c r="V159" s="3" t="inlineStr">
        <is>
          <t>Signed 26,252 SF on floors 5-6; relocating from Zero Irving (move-in date not stated). Built In shows 329 total employees, HQ San Francisco, a New York office without street address, NYC jobs marked In-Office.</t>
        </is>
      </c>
      <c r="W159" t="inlineStr">
        <is>
          <t>2026-10-23</t>
        </is>
      </c>
      <c r="X159" t="inlineStr">
        <is>
          <t>unknown</t>
        </is>
      </c>
      <c r="Y159" t="inlineStr">
        <is>
          <t>candidate</t>
        </is>
      </c>
      <c r="Z159" t="inlineStr">
        <is>
          <t>signed-not-occupied</t>
        </is>
      </c>
      <c r="AA159" t="inlineStr">
        <is>
          <t>unknown</t>
        </is>
      </c>
      <c r="AB159" t="inlineStr">
        <is>
          <t>2026-10-23</t>
        </is>
      </c>
      <c r="AC159" s="3" t="inlineStr"/>
      <c r="AD159" t="inlineStr">
        <is>
          <t>leasing-press</t>
        </is>
      </c>
      <c r="AE159" t="inlineStr"/>
      <c r="AF159" t="inlineStr">
        <is>
          <t>different-floor</t>
        </is>
      </c>
      <c r="AG159" t="inlineStr">
        <is>
          <t>1008570038</t>
        </is>
      </c>
      <c r="AH159" t="n">
        <v>0</v>
      </c>
      <c r="AI159" t="inlineStr">
        <is>
          <t>26,252 sf</t>
        </is>
      </c>
      <c r="AJ159" t="inlineStr">
        <is>
          <t>S4</t>
        </is>
      </c>
    </row>
    <row r="160">
      <c r="A160" t="inlineStr">
        <is>
          <t>B-C-159</t>
        </is>
      </c>
      <c r="B160" t="inlineStr">
        <is>
          <t>Hanover Park</t>
        </is>
      </c>
      <c r="C160" s="2" t="inlineStr">
        <is>
          <t>https://www.hanoverpark.com</t>
        </is>
      </c>
      <c r="D160" t="inlineStr">
        <is>
          <t>fintech (AI fund administration)</t>
        </is>
      </c>
      <c r="E160" t="inlineStr">
        <is>
          <t>B-B-073</t>
        </is>
      </c>
      <c r="F160" t="inlineStr">
        <is>
          <t>387 Park Avenue South</t>
        </is>
      </c>
      <c r="G160" t="inlineStr">
        <is>
          <t>10</t>
        </is>
      </c>
      <c r="H160" t="inlineStr">
        <is>
          <t>10016</t>
        </is>
      </c>
      <c r="I160" t="n">
        <v>40.742728</v>
      </c>
      <c r="J160" t="n">
        <v>-73.98397</v>
      </c>
      <c r="K160" t="inlineStr">
        <is>
          <t>Y</t>
        </is>
      </c>
      <c r="L160" t="inlineStr">
        <is>
          <t>40-75</t>
        </is>
      </c>
      <c r="M160" t="inlineStr">
        <is>
          <t>whole-company</t>
        </is>
      </c>
      <c r="N160" s="2" t="inlineStr">
        <is>
          <t>https://www.builtinnyc.com/company/hanover-park/offices</t>
        </is>
      </c>
      <c r="O160" s="2" t="inlineStr">
        <is>
          <t>https://commercialobserver.com/2026/08/hanover-park-lease-tf-cornerstone-387-park-avenue-south/</t>
        </is>
      </c>
      <c r="P160" t="inlineStr">
        <is>
          <t>2026-08-12</t>
        </is>
      </c>
      <c r="Q160" s="2" t="inlineStr">
        <is>
          <t>https://www.connectcre.com/stories/ai-native-hanover-park-leases-full-floor-at-387-park-ave-south/</t>
        </is>
      </c>
      <c r="R160" t="inlineStr">
        <is>
          <t>medium</t>
        </is>
      </c>
      <c r="S160" t="inlineStr">
        <is>
          <t>N</t>
        </is>
      </c>
      <c r="T160" t="inlineStr"/>
      <c r="U160" t="inlineStr"/>
      <c r="V160" s="3" t="inlineStr">
        <is>
          <t>Full 10th floor, 19,269 SF, moving HQ from 115 E 23rd St. Built In (42 employees) still lists 115 E 23rd St, so the move may not be complete. Both press items repeat the same landlord announcement, so not treated as independent.</t>
        </is>
      </c>
      <c r="W160" t="inlineStr">
        <is>
          <t>2026-10-23</t>
        </is>
      </c>
      <c r="X160" t="inlineStr">
        <is>
          <t>unknown</t>
        </is>
      </c>
      <c r="Y160" t="inlineStr">
        <is>
          <t>candidate</t>
        </is>
      </c>
      <c r="Z160" t="inlineStr">
        <is>
          <t>signed-not-occupied</t>
        </is>
      </c>
      <c r="AA160" t="inlineStr">
        <is>
          <t>unknown</t>
        </is>
      </c>
      <c r="AB160" t="inlineStr">
        <is>
          <t>2026-10-23</t>
        </is>
      </c>
      <c r="AC160" s="3" t="inlineStr"/>
      <c r="AD160" t="inlineStr">
        <is>
          <t>leasing-press</t>
        </is>
      </c>
      <c r="AE160" t="inlineStr">
        <is>
          <t>2026-08-14</t>
        </is>
      </c>
      <c r="AF160" t="inlineStr">
        <is>
          <t>different-floor</t>
        </is>
      </c>
      <c r="AG160" t="inlineStr">
        <is>
          <t>1008830001</t>
        </is>
      </c>
      <c r="AH160" t="n">
        <v>0</v>
      </c>
      <c r="AI160" t="inlineStr">
        <is>
          <t>19,269 sf</t>
        </is>
      </c>
      <c r="AJ160" t="inlineStr">
        <is>
          <t>S4</t>
        </is>
      </c>
    </row>
    <row r="161">
      <c r="A161" t="inlineStr">
        <is>
          <t>B-C-160</t>
        </is>
      </c>
      <c r="B161" t="inlineStr">
        <is>
          <t>K Health</t>
        </is>
      </c>
      <c r="C161" s="2" t="inlineStr">
        <is>
          <t>https://khealth.com</t>
        </is>
      </c>
      <c r="D161" t="inlineStr">
        <is>
          <t>healthtech (AI primary care)</t>
        </is>
      </c>
      <c r="E161" t="inlineStr">
        <is>
          <t>B-B-073</t>
        </is>
      </c>
      <c r="F161" t="inlineStr">
        <is>
          <t>387 Park Avenue South</t>
        </is>
      </c>
      <c r="G161" t="inlineStr">
        <is>
          <t>9</t>
        </is>
      </c>
      <c r="H161" t="inlineStr">
        <is>
          <t>10016</t>
        </is>
      </c>
      <c r="I161" t="n">
        <v>40.742728</v>
      </c>
      <c r="J161" t="n">
        <v>-73.98397</v>
      </c>
      <c r="K161" t="inlineStr">
        <is>
          <t>Y</t>
        </is>
      </c>
      <c r="L161" t="inlineStr">
        <is>
          <t>251-500</t>
        </is>
      </c>
      <c r="M161" t="inlineStr">
        <is>
          <t>whole-company</t>
        </is>
      </c>
      <c r="N161" s="2" t="inlineStr">
        <is>
          <t>https://www.builtinnyc.com/company/k-health/offices</t>
        </is>
      </c>
      <c r="O161" s="2" t="inlineStr">
        <is>
          <t>https://www.connectcre.com/stories/ai-native-hanover-park-leases-full-floor-at-387-park-ave-south/</t>
        </is>
      </c>
      <c r="P161" t="inlineStr">
        <is>
          <t>2026-08-14</t>
        </is>
      </c>
      <c r="Q161" s="2" t="inlineStr">
        <is>
          <t>https://khealth.com/terms-of-use/</t>
        </is>
      </c>
      <c r="R161" t="inlineStr">
        <is>
          <t>high</t>
        </is>
      </c>
      <c r="S161" t="inlineStr">
        <is>
          <t>N</t>
        </is>
      </c>
      <c r="T161" t="inlineStr"/>
      <c r="U161" t="inlineStr"/>
      <c r="V161" s="3" t="inlineStr">
        <is>
          <t>Connect CRE says K Health completed a long-term renewal at 387 PAS in late 2025. CONFLICT: Built In (363 employees, on-site 5 days) lists HQ at 298 5th Ave, 7th Floor (30th-31st St, margin). Founder to confirm which office is current. | Assembly 2026-10-24: Conflict resolved at assembly: K Health's own terms of use (opened 2026-10-24) give 'Company's Legal Department, 387 Park Ave South, 9th Floor, NY, NY 10016', which agrees with the Connect CRE renewal at 387 PAS (late 2025). Built In's 298 Fifth Ave, 7th floor is stale. Upgraded to high.</t>
        </is>
      </c>
      <c r="W161" t="inlineStr">
        <is>
          <t>2026-10-23</t>
        </is>
      </c>
      <c r="X161" t="inlineStr">
        <is>
          <t>unknown</t>
        </is>
      </c>
      <c r="Y161" t="inlineStr">
        <is>
          <t>candidate</t>
        </is>
      </c>
      <c r="Z161" t="inlineStr">
        <is>
          <t>occupied</t>
        </is>
      </c>
      <c r="AA161" t="inlineStr"/>
      <c r="AB161" t="inlineStr">
        <is>
          <t>2026-10-23</t>
        </is>
      </c>
      <c r="AC161" s="3" t="inlineStr"/>
      <c r="AD161" t="inlineStr">
        <is>
          <t>leasing-press</t>
        </is>
      </c>
      <c r="AE161" t="inlineStr">
        <is>
          <t>2026-10-24</t>
        </is>
      </c>
      <c r="AF161" t="inlineStr">
        <is>
          <t>different-floor</t>
        </is>
      </c>
      <c r="AG161" t="inlineStr">
        <is>
          <t>1008830001</t>
        </is>
      </c>
      <c r="AH161" t="n">
        <v>0</v>
      </c>
      <c r="AI161" t="inlineStr"/>
      <c r="AJ161" t="inlineStr">
        <is>
          <t>S4</t>
        </is>
      </c>
    </row>
    <row r="162">
      <c r="A162" t="inlineStr">
        <is>
          <t>B-C-161</t>
        </is>
      </c>
      <c r="B162" t="inlineStr">
        <is>
          <t>Institute for Integrative Nutrition</t>
        </is>
      </c>
      <c r="C162" t="inlineStr">
        <is>
          <t>unknown</t>
        </is>
      </c>
      <c r="D162" t="inlineStr">
        <is>
          <t>online education (health coaching)</t>
        </is>
      </c>
      <c r="E162" t="inlineStr">
        <is>
          <t>B-B-074</t>
        </is>
      </c>
      <c r="F162" t="inlineStr">
        <is>
          <t>245 Fifth Avenue</t>
        </is>
      </c>
      <c r="G162" t="inlineStr">
        <is>
          <t>7</t>
        </is>
      </c>
      <c r="H162" t="inlineStr">
        <is>
          <t>10016</t>
        </is>
      </c>
      <c r="I162" t="n">
        <v>40.74435</v>
      </c>
      <c r="J162" t="n">
        <v>-73.987084</v>
      </c>
      <c r="K162" t="inlineStr">
        <is>
          <t>Y</t>
        </is>
      </c>
      <c r="L162" t="inlineStr">
        <is>
          <t>unknown</t>
        </is>
      </c>
      <c r="M162" t="inlineStr">
        <is>
          <t>unknown</t>
        </is>
      </c>
      <c r="N162" t="inlineStr"/>
      <c r="O162" s="2" t="inlineStr">
        <is>
          <t>https://commercialobserver.com/2025/03/institute-of-integrative-nutrition-moinian-group-245-fifth-avenue/</t>
        </is>
      </c>
      <c r="P162" t="inlineStr">
        <is>
          <t>2025-03-03</t>
        </is>
      </c>
      <c r="Q162" t="inlineStr"/>
      <c r="R162" t="inlineStr">
        <is>
          <t>medium</t>
        </is>
      </c>
      <c r="S162" t="inlineStr">
        <is>
          <t>N</t>
        </is>
      </c>
      <c r="T162" t="inlineStr"/>
      <c r="U162" t="inlineStr"/>
      <c r="V162" s="3" t="inlineStr">
        <is>
          <t>Five-year 14,000 SF renewal on floor 7. Headcount not found.</t>
        </is>
      </c>
      <c r="W162" t="inlineStr">
        <is>
          <t>2026-10-23</t>
        </is>
      </c>
      <c r="X162" t="inlineStr">
        <is>
          <t>security desk</t>
        </is>
      </c>
      <c r="Y162" t="inlineStr">
        <is>
          <t>candidate</t>
        </is>
      </c>
      <c r="Z162" t="inlineStr">
        <is>
          <t>occupied</t>
        </is>
      </c>
      <c r="AA162" t="inlineStr"/>
      <c r="AB162" t="inlineStr"/>
      <c r="AC162" s="3" t="inlineStr">
        <is>
          <t>No opened source gives a count: no Built In profile with a total, the company site publishes none, and LinkedIn was off-limits. Founder to confirm at intake.</t>
        </is>
      </c>
      <c r="AD162" t="inlineStr">
        <is>
          <t>leasing-press</t>
        </is>
      </c>
      <c r="AE162" t="inlineStr"/>
      <c r="AF162" t="inlineStr">
        <is>
          <t>different-floor</t>
        </is>
      </c>
      <c r="AG162" t="inlineStr">
        <is>
          <t>1008570076</t>
        </is>
      </c>
      <c r="AH162" t="n">
        <v>0</v>
      </c>
      <c r="AI162" t="inlineStr">
        <is>
          <t>14,000 sf</t>
        </is>
      </c>
      <c r="AJ162" t="inlineStr">
        <is>
          <t>S4</t>
        </is>
      </c>
    </row>
    <row r="163">
      <c r="A163" t="inlineStr">
        <is>
          <t>B-C-162</t>
        </is>
      </c>
      <c r="B163" t="inlineStr">
        <is>
          <t>MCM Worldwide</t>
        </is>
      </c>
      <c r="C163" s="2" t="inlineStr">
        <is>
          <t>https://us.mcmworldwide.com</t>
        </is>
      </c>
      <c r="D163" t="inlineStr">
        <is>
          <t>luxury leather goods (brand HQ office)</t>
        </is>
      </c>
      <c r="E163" t="inlineStr">
        <is>
          <t>B-B-074</t>
        </is>
      </c>
      <c r="F163" t="inlineStr">
        <is>
          <t>245 Fifth Avenue</t>
        </is>
      </c>
      <c r="G163" t="inlineStr">
        <is>
          <t>25</t>
        </is>
      </c>
      <c r="H163" t="inlineStr">
        <is>
          <t>10016</t>
        </is>
      </c>
      <c r="I163" t="n">
        <v>40.74435</v>
      </c>
      <c r="J163" t="n">
        <v>-73.987084</v>
      </c>
      <c r="K163" t="inlineStr">
        <is>
          <t>Y</t>
        </is>
      </c>
      <c r="L163" t="inlineStr">
        <is>
          <t>unknown</t>
        </is>
      </c>
      <c r="M163" t="inlineStr">
        <is>
          <t>unknown</t>
        </is>
      </c>
      <c r="N163" t="inlineStr"/>
      <c r="O163" s="2" t="inlineStr">
        <is>
          <t>https://commercialobserver.com/2025/11/mcm-lease-245-fifth-avenue/</t>
        </is>
      </c>
      <c r="P163" t="inlineStr">
        <is>
          <t>2025-11-10</t>
        </is>
      </c>
      <c r="Q163" t="inlineStr"/>
      <c r="R163" t="inlineStr">
        <is>
          <t>medium</t>
        </is>
      </c>
      <c r="S163" t="inlineStr">
        <is>
          <t>N</t>
        </is>
      </c>
      <c r="T163" t="inlineStr"/>
      <c r="U163" t="inlineStr"/>
      <c r="V163" s="3" t="inlineStr">
        <is>
          <t>10-year 9,000 SF lease on full 25th floor; described as moving its (US) headquarters to Midtown South and its first NYC office. Move-in date not stated. Headcount not found.</t>
        </is>
      </c>
      <c r="W163" t="inlineStr">
        <is>
          <t>2026-10-23</t>
        </is>
      </c>
      <c r="X163" t="inlineStr">
        <is>
          <t>security desk</t>
        </is>
      </c>
      <c r="Y163" t="inlineStr">
        <is>
          <t>candidate</t>
        </is>
      </c>
      <c r="Z163" t="inlineStr">
        <is>
          <t>signed-not-occupied</t>
        </is>
      </c>
      <c r="AA163" t="inlineStr">
        <is>
          <t>unknown</t>
        </is>
      </c>
      <c r="AB163" t="inlineStr"/>
      <c r="AC163" s="3" t="inlineStr">
        <is>
          <t>No opened source gives a count: no Built In profile with a total, the company site publishes none, and LinkedIn was off-limits. Founder to confirm at intake.</t>
        </is>
      </c>
      <c r="AD163" t="inlineStr">
        <is>
          <t>leasing-press</t>
        </is>
      </c>
      <c r="AE163" t="inlineStr"/>
      <c r="AF163" t="inlineStr">
        <is>
          <t>different-floor</t>
        </is>
      </c>
      <c r="AG163" t="inlineStr">
        <is>
          <t>1008570076</t>
        </is>
      </c>
      <c r="AH163" t="n">
        <v>0</v>
      </c>
      <c r="AI163" t="inlineStr">
        <is>
          <t>9,000 sf</t>
        </is>
      </c>
      <c r="AJ163" t="inlineStr">
        <is>
          <t>S4</t>
        </is>
      </c>
    </row>
    <row r="164">
      <c r="A164" t="inlineStr">
        <is>
          <t>B-C-163</t>
        </is>
      </c>
      <c r="B164" t="inlineStr">
        <is>
          <t>Community Healthcare Network (administrative offices)</t>
        </is>
      </c>
      <c r="C164" s="2" t="inlineStr">
        <is>
          <t>https://www.chnnyc.org</t>
        </is>
      </c>
      <c r="D164" t="inlineStr">
        <is>
          <t>nonprofit health services (administration)</t>
        </is>
      </c>
      <c r="E164" t="inlineStr">
        <is>
          <t>B-B-075</t>
        </is>
      </c>
      <c r="F164" t="inlineStr">
        <is>
          <t>44 West 28th Street</t>
        </is>
      </c>
      <c r="G164" t="inlineStr">
        <is>
          <t>5</t>
        </is>
      </c>
      <c r="H164" t="inlineStr">
        <is>
          <t>10001</t>
        </is>
      </c>
      <c r="I164" t="n">
        <v>40.745609</v>
      </c>
      <c r="J164" t="n">
        <v>-73.990014</v>
      </c>
      <c r="K164" t="inlineStr">
        <is>
          <t>Y</t>
        </is>
      </c>
      <c r="L164" t="inlineStr">
        <is>
          <t>unknown</t>
        </is>
      </c>
      <c r="M164" t="inlineStr">
        <is>
          <t>unknown</t>
        </is>
      </c>
      <c r="N164" t="inlineStr"/>
      <c r="O164" s="2" t="inlineStr">
        <is>
          <t>https://commercialobserver.com/2025/02/community-healthcare-network-lease-44-west-28th-street/</t>
        </is>
      </c>
      <c r="P164" t="inlineStr">
        <is>
          <t>2025-02-04</t>
        </is>
      </c>
      <c r="Q164" s="2" t="inlineStr">
        <is>
          <t>https://www.chnnyc.org/contact/</t>
        </is>
      </c>
      <c r="R164" t="inlineStr">
        <is>
          <t>high</t>
        </is>
      </c>
      <c r="S164" t="inlineStr">
        <is>
          <t>N</t>
        </is>
      </c>
      <c r="T164" t="inlineStr"/>
      <c r="U164" t="inlineStr"/>
      <c r="V164" s="3" t="inlineStr">
        <is>
          <t>10-year 12,083 SF lease on full 5th floor for administrative offices (not a clinic), per CO 2025-02-04. CHN contact page lists Admin Office Address 44 W 28th Street, 5th Floor. Headcount not found.</t>
        </is>
      </c>
      <c r="W164" t="inlineStr">
        <is>
          <t>2026-10-23</t>
        </is>
      </c>
      <c r="X164" t="inlineStr">
        <is>
          <t>unknown</t>
        </is>
      </c>
      <c r="Y164" t="inlineStr">
        <is>
          <t>candidate</t>
        </is>
      </c>
      <c r="Z164" t="inlineStr">
        <is>
          <t>occupied</t>
        </is>
      </c>
      <c r="AA164" t="inlineStr"/>
      <c r="AB164" t="inlineStr"/>
      <c r="AC164" s="3" t="inlineStr">
        <is>
          <t>No opened source gives a count: no Built In profile with a total, the company site publishes none, and LinkedIn was off-limits. Founder to confirm at intake.</t>
        </is>
      </c>
      <c r="AD164" t="inlineStr">
        <is>
          <t>leasing-press</t>
        </is>
      </c>
      <c r="AE164" t="inlineStr">
        <is>
          <t>2026-10-23</t>
        </is>
      </c>
      <c r="AF164" t="inlineStr">
        <is>
          <t>no-coworking-in-building</t>
        </is>
      </c>
      <c r="AG164" t="inlineStr">
        <is>
          <t>1008290068</t>
        </is>
      </c>
      <c r="AH164" t="n">
        <v>0</v>
      </c>
      <c r="AI164" t="inlineStr">
        <is>
          <t>12,083 sf</t>
        </is>
      </c>
      <c r="AJ164" t="inlineStr">
        <is>
          <t>S4</t>
        </is>
      </c>
    </row>
    <row r="165">
      <c r="A165" t="inlineStr">
        <is>
          <t>B-C-164</t>
        </is>
      </c>
      <c r="B165" t="inlineStr">
        <is>
          <t>Biologique Recherche (US)</t>
        </is>
      </c>
      <c r="C165" t="inlineStr">
        <is>
          <t>unknown</t>
        </is>
      </c>
      <c r="D165" t="inlineStr">
        <is>
          <t>skin care brand</t>
        </is>
      </c>
      <c r="E165" t="inlineStr">
        <is>
          <t>B-B-077</t>
        </is>
      </c>
      <c r="F165" t="inlineStr">
        <is>
          <t>261 Fifth Avenue</t>
        </is>
      </c>
      <c r="G165" t="inlineStr">
        <is>
          <t>2</t>
        </is>
      </c>
      <c r="H165" t="inlineStr">
        <is>
          <t>10016</t>
        </is>
      </c>
      <c r="I165" t="n">
        <v>40.744952</v>
      </c>
      <c r="J165" t="n">
        <v>-73.986574</v>
      </c>
      <c r="K165" t="inlineStr">
        <is>
          <t>Y</t>
        </is>
      </c>
      <c r="L165" t="inlineStr">
        <is>
          <t>unknown</t>
        </is>
      </c>
      <c r="M165" t="inlineStr">
        <is>
          <t>unknown</t>
        </is>
      </c>
      <c r="N165" t="inlineStr"/>
      <c r="O165" s="2" t="inlineStr">
        <is>
          <t>https://commercialobserver.com/2023/01/beauty-pr-firm-french-skin-care-manufacturer-ink-deals-at-261-fifth-ave/</t>
        </is>
      </c>
      <c r="P165" t="inlineStr">
        <is>
          <t>2023-01-24</t>
        </is>
      </c>
      <c r="Q165" t="inlineStr"/>
      <c r="R165" t="inlineStr">
        <is>
          <t>low</t>
        </is>
      </c>
      <c r="S165" t="inlineStr">
        <is>
          <t>N</t>
        </is>
      </c>
      <c r="T165" t="inlineStr"/>
      <c r="U165" t="inlineStr"/>
      <c r="V165" s="3" t="inlineStr">
        <is>
          <t>Renewed and expanded to 6,290 SF prebuilt suite on floor 2. Older source, not reconfirmed; size suggests under 40 onsite, founder to confirm.</t>
        </is>
      </c>
      <c r="W165" t="inlineStr">
        <is>
          <t>2026-10-23</t>
        </is>
      </c>
      <c r="X165" t="inlineStr">
        <is>
          <t>security desk</t>
        </is>
      </c>
      <c r="Y165" t="inlineStr">
        <is>
          <t>candidate</t>
        </is>
      </c>
      <c r="Z165" t="inlineStr">
        <is>
          <t>occupancy-unconfirmed</t>
        </is>
      </c>
      <c r="AA165" t="inlineStr"/>
      <c r="AB165" t="inlineStr"/>
      <c r="AC165" s="3" t="inlineStr">
        <is>
          <t>No opened source gives a count: no Built In profile with a total, the company site publishes none, and LinkedIn was off-limits. Founder to confirm at intake.</t>
        </is>
      </c>
      <c r="AD165" t="inlineStr">
        <is>
          <t>leasing-press</t>
        </is>
      </c>
      <c r="AE165" t="inlineStr"/>
      <c r="AF165" t="inlineStr">
        <is>
          <t>no-coworking-in-building</t>
        </is>
      </c>
      <c r="AG165" t="inlineStr">
        <is>
          <t>1008580078</t>
        </is>
      </c>
      <c r="AH165" t="n">
        <v>0</v>
      </c>
      <c r="AI165" t="inlineStr">
        <is>
          <t>6,290 sf</t>
        </is>
      </c>
      <c r="AJ165" t="inlineStr">
        <is>
          <t>S4</t>
        </is>
      </c>
    </row>
    <row r="166">
      <c r="A166" t="inlineStr">
        <is>
          <t>B-C-165</t>
        </is>
      </c>
      <c r="B166" t="inlineStr">
        <is>
          <t>FCA (architecture and design)</t>
        </is>
      </c>
      <c r="C166" s="2" t="inlineStr">
        <is>
          <t>https://www.fcarchitects.com</t>
        </is>
      </c>
      <c r="D166" t="inlineStr">
        <is>
          <t>architecture and interior design</t>
        </is>
      </c>
      <c r="E166" t="inlineStr">
        <is>
          <t>B-B-077</t>
        </is>
      </c>
      <c r="F166" t="inlineStr">
        <is>
          <t>261 Fifth Avenue</t>
        </is>
      </c>
      <c r="G166" t="inlineStr">
        <is>
          <t>4 (Suite 408)</t>
        </is>
      </c>
      <c r="H166" t="inlineStr">
        <is>
          <t>10016</t>
        </is>
      </c>
      <c r="I166" t="n">
        <v>40.744952</v>
      </c>
      <c r="J166" t="n">
        <v>-73.986574</v>
      </c>
      <c r="K166" t="inlineStr">
        <is>
          <t>Y</t>
        </is>
      </c>
      <c r="L166" t="inlineStr">
        <is>
          <t>unknown</t>
        </is>
      </c>
      <c r="M166" t="inlineStr">
        <is>
          <t>unknown</t>
        </is>
      </c>
      <c r="N166" t="inlineStr"/>
      <c r="O166" s="2" t="inlineStr">
        <is>
          <t>https://commercialobserver.com/2025/02/fca-lease-261-fifth-avenue/</t>
        </is>
      </c>
      <c r="P166" t="inlineStr">
        <is>
          <t>2025-02-25</t>
        </is>
      </c>
      <c r="Q166" s="2" t="inlineStr">
        <is>
          <t>https://www.fcarchitects.com/contact</t>
        </is>
      </c>
      <c r="R166" t="inlineStr">
        <is>
          <t>high</t>
        </is>
      </c>
      <c r="S166" t="inlineStr">
        <is>
          <t>N</t>
        </is>
      </c>
      <c r="T166" t="inlineStr"/>
      <c r="U166" t="inlineStr"/>
      <c r="V166" s="3" t="inlineStr">
        <is>
          <t>6,015 SF on floor 4, moved NYC office from 40 Worth St. Company contact page lists New York office at 261 Fifth Avenue Suite 408 (HQ Philadelphia). Headcount not found.</t>
        </is>
      </c>
      <c r="W166" t="inlineStr">
        <is>
          <t>2026-10-23</t>
        </is>
      </c>
      <c r="X166" t="inlineStr">
        <is>
          <t>security desk</t>
        </is>
      </c>
      <c r="Y166" t="inlineStr">
        <is>
          <t>candidate</t>
        </is>
      </c>
      <c r="Z166" t="inlineStr">
        <is>
          <t>occupied</t>
        </is>
      </c>
      <c r="AA166" t="inlineStr"/>
      <c r="AB166" t="inlineStr"/>
      <c r="AC166" s="3" t="inlineStr">
        <is>
          <t>No opened source gives a count: no Built In profile with a total, the company site publishes none, and LinkedIn was off-limits. Founder to confirm at intake.</t>
        </is>
      </c>
      <c r="AD166" t="inlineStr">
        <is>
          <t>leasing-press</t>
        </is>
      </c>
      <c r="AE166" t="inlineStr">
        <is>
          <t>2026-10-23</t>
        </is>
      </c>
      <c r="AF166" t="inlineStr">
        <is>
          <t>no-coworking-in-building</t>
        </is>
      </c>
      <c r="AG166" t="inlineStr">
        <is>
          <t>1008580078</t>
        </is>
      </c>
      <c r="AH166" t="n">
        <v>0</v>
      </c>
      <c r="AI166" t="inlineStr">
        <is>
          <t>6,015 sf</t>
        </is>
      </c>
      <c r="AJ166" t="inlineStr">
        <is>
          <t>S4</t>
        </is>
      </c>
    </row>
    <row r="167">
      <c r="A167" t="inlineStr">
        <is>
          <t>B-C-166</t>
        </is>
      </c>
      <c r="B167" t="inlineStr">
        <is>
          <t>Atlantic Vantage Point (AVP, formerly AXA Venture Partners)</t>
        </is>
      </c>
      <c r="C167" s="2" t="inlineStr">
        <is>
          <t>https://www.avp.vc</t>
        </is>
      </c>
      <c r="D167" t="inlineStr">
        <is>
          <t>venture capital and growth equity</t>
        </is>
      </c>
      <c r="E167" t="inlineStr">
        <is>
          <t>B-B-078</t>
        </is>
      </c>
      <c r="F167" t="inlineStr">
        <is>
          <t>99 Madison Avenue</t>
        </is>
      </c>
      <c r="G167" t="inlineStr">
        <is>
          <t>unknown</t>
        </is>
      </c>
      <c r="H167" t="inlineStr">
        <is>
          <t>10016</t>
        </is>
      </c>
      <c r="I167" t="n">
        <v>40.744677</v>
      </c>
      <c r="J167" t="n">
        <v>-73.98489600000001</v>
      </c>
      <c r="K167" t="inlineStr">
        <is>
          <t>Y</t>
        </is>
      </c>
      <c r="L167" t="inlineStr">
        <is>
          <t>unknown</t>
        </is>
      </c>
      <c r="M167" t="inlineStr">
        <is>
          <t>unknown</t>
        </is>
      </c>
      <c r="N167" t="inlineStr"/>
      <c r="O167" s="2" t="inlineStr">
        <is>
          <t>https://commercialobserver.com/2025/09/investment-firm-atlantic-vantage-point-takes-8k-sf-at-99-madison-avenue/</t>
        </is>
      </c>
      <c r="P167" t="inlineStr">
        <is>
          <t>2025-09-22</t>
        </is>
      </c>
      <c r="Q167" t="inlineStr"/>
      <c r="R167" t="inlineStr">
        <is>
          <t>medium</t>
        </is>
      </c>
      <c r="S167" t="inlineStr">
        <is>
          <t>N</t>
        </is>
      </c>
      <c r="T167" t="inlineStr"/>
      <c r="U167" t="inlineStr"/>
      <c r="V167" s="3" t="inlineStr">
        <is>
          <t>10-year 8,264 SF lease; NYC HQ moving from 1330 Avenue of the Americas. Note avp.vc now shows 'Advance Venture Partners' (San Francisco and New York) with no street address; founder to confirm the name. Headcount not found.</t>
        </is>
      </c>
      <c r="W167" t="inlineStr">
        <is>
          <t>2026-10-23</t>
        </is>
      </c>
      <c r="X167" t="inlineStr">
        <is>
          <t>unknown</t>
        </is>
      </c>
      <c r="Y167" t="inlineStr">
        <is>
          <t>candidate</t>
        </is>
      </c>
      <c r="Z167" t="inlineStr">
        <is>
          <t>occupancy-unconfirmed</t>
        </is>
      </c>
      <c r="AA167" t="inlineStr"/>
      <c r="AB167" t="inlineStr"/>
      <c r="AC167" s="3" t="inlineStr">
        <is>
          <t>No opened source gives a count: no Built In profile with a total, the company site publishes none, and LinkedIn was off-limits. Founder to confirm at intake.</t>
        </is>
      </c>
      <c r="AD167" t="inlineStr">
        <is>
          <t>leasing-press</t>
        </is>
      </c>
      <c r="AE167" t="inlineStr"/>
      <c r="AF167" t="inlineStr">
        <is>
          <t>no-coworking-in-building</t>
        </is>
      </c>
      <c r="AG167" t="inlineStr">
        <is>
          <t>1008590024</t>
        </is>
      </c>
      <c r="AH167" t="n">
        <v>0</v>
      </c>
      <c r="AI167" t="inlineStr">
        <is>
          <t>8,264 sf</t>
        </is>
      </c>
      <c r="AJ167" t="inlineStr">
        <is>
          <t>S4</t>
        </is>
      </c>
    </row>
    <row r="168">
      <c r="A168" t="inlineStr">
        <is>
          <t>B-C-167</t>
        </is>
      </c>
      <c r="B168" t="inlineStr">
        <is>
          <t>Davies Group</t>
        </is>
      </c>
      <c r="C168" t="inlineStr">
        <is>
          <t>unknown</t>
        </is>
      </c>
      <c r="D168" t="inlineStr">
        <is>
          <t>professional services and technology (insurance claims and consulting)</t>
        </is>
      </c>
      <c r="E168" t="inlineStr">
        <is>
          <t>B-B-078</t>
        </is>
      </c>
      <c r="F168" t="inlineStr">
        <is>
          <t>99 Madison Avenue</t>
        </is>
      </c>
      <c r="G168" t="inlineStr">
        <is>
          <t>3</t>
        </is>
      </c>
      <c r="H168" t="inlineStr">
        <is>
          <t>10016</t>
        </is>
      </c>
      <c r="I168" t="n">
        <v>40.744677</v>
      </c>
      <c r="J168" t="n">
        <v>-73.98489600000001</v>
      </c>
      <c r="K168" t="inlineStr">
        <is>
          <t>Y</t>
        </is>
      </c>
      <c r="L168" t="inlineStr">
        <is>
          <t>unknown</t>
        </is>
      </c>
      <c r="M168" t="inlineStr">
        <is>
          <t>unknown</t>
        </is>
      </c>
      <c r="N168" t="inlineStr"/>
      <c r="O168" s="2" t="inlineStr">
        <is>
          <t>https://commercialobserver.com/2025/11/davies-group-lease-99-madison-avenue/</t>
        </is>
      </c>
      <c r="P168" t="inlineStr">
        <is>
          <t>2025-11-04</t>
        </is>
      </c>
      <c r="Q168" t="inlineStr"/>
      <c r="R168" t="inlineStr">
        <is>
          <t>medium</t>
        </is>
      </c>
      <c r="S168" t="inlineStr">
        <is>
          <t>N</t>
        </is>
      </c>
      <c r="T168" t="inlineStr"/>
      <c r="U168" t="inlineStr"/>
      <c r="V168" s="3" t="inlineStr">
        <is>
          <t>U.K.-based; five-year 8,264 SF lease on floor 3, consolidating its NYC offices. Company-wide headcount not sourced (likely large). Building said to be fully leased.</t>
        </is>
      </c>
      <c r="W168" t="inlineStr">
        <is>
          <t>2026-10-23</t>
        </is>
      </c>
      <c r="X168" t="inlineStr">
        <is>
          <t>unknown</t>
        </is>
      </c>
      <c r="Y168" t="inlineStr">
        <is>
          <t>candidate</t>
        </is>
      </c>
      <c r="Z168" t="inlineStr">
        <is>
          <t>occupancy-unconfirmed</t>
        </is>
      </c>
      <c r="AA168" t="inlineStr"/>
      <c r="AB168" t="inlineStr"/>
      <c r="AC168" s="3" t="inlineStr">
        <is>
          <t>No opened source gives a count: no Built In profile with a total, the company site publishes none, and LinkedIn was off-limits. Founder to confirm at intake.</t>
        </is>
      </c>
      <c r="AD168" t="inlineStr">
        <is>
          <t>leasing-press</t>
        </is>
      </c>
      <c r="AE168" t="inlineStr"/>
      <c r="AF168" t="inlineStr">
        <is>
          <t>no-coworking-in-building</t>
        </is>
      </c>
      <c r="AG168" t="inlineStr">
        <is>
          <t>1008590024</t>
        </is>
      </c>
      <c r="AH168" t="n">
        <v>0</v>
      </c>
      <c r="AI168" t="inlineStr">
        <is>
          <t>8,264 sf</t>
        </is>
      </c>
      <c r="AJ168" t="inlineStr">
        <is>
          <t>S4</t>
        </is>
      </c>
    </row>
    <row r="169">
      <c r="A169" t="inlineStr">
        <is>
          <t>B-C-168</t>
        </is>
      </c>
      <c r="B169" t="inlineStr">
        <is>
          <t>Mediaplus Group (North America)</t>
        </is>
      </c>
      <c r="C169" t="inlineStr">
        <is>
          <t>unknown</t>
        </is>
      </c>
      <c r="D169" t="inlineStr">
        <is>
          <t>media agency</t>
        </is>
      </c>
      <c r="E169" t="inlineStr">
        <is>
          <t>B-B-079</t>
        </is>
      </c>
      <c r="F169" t="inlineStr">
        <is>
          <t>432 Park Avenue South</t>
        </is>
      </c>
      <c r="G169" t="inlineStr">
        <is>
          <t>11</t>
        </is>
      </c>
      <c r="H169" t="inlineStr">
        <is>
          <t>10016</t>
        </is>
      </c>
      <c r="I169" t="n">
        <v>40.744255</v>
      </c>
      <c r="J169" t="n">
        <v>-73.983762</v>
      </c>
      <c r="K169" t="inlineStr">
        <is>
          <t>Y</t>
        </is>
      </c>
      <c r="L169" t="inlineStr">
        <is>
          <t>unknown</t>
        </is>
      </c>
      <c r="M169" t="inlineStr">
        <is>
          <t>unknown</t>
        </is>
      </c>
      <c r="N169" t="inlineStr"/>
      <c r="O169" s="2" t="inlineStr">
        <is>
          <t>https://commercialobserver.com/2026/06/mediaplus-group-lease-432-park-avenue-south/</t>
        </is>
      </c>
      <c r="P169" t="inlineStr">
        <is>
          <t>2026-06-08</t>
        </is>
      </c>
      <c r="Q169" t="inlineStr"/>
      <c r="R169" t="inlineStr">
        <is>
          <t>medium</t>
        </is>
      </c>
      <c r="S169" t="inlineStr">
        <is>
          <t>N</t>
        </is>
      </c>
      <c r="T169" t="inlineStr"/>
      <c r="U169" t="inlineStr"/>
      <c r="V169" s="3" t="inlineStr">
        <is>
          <t>10-year 9,800 SF lease, full 11th floor, turnkey; relocating and doubling from 490 Broadway. Media arm of Serviceplan Group. Move date not stated. Headcount not found.</t>
        </is>
      </c>
      <c r="W169" t="inlineStr">
        <is>
          <t>2026-10-23</t>
        </is>
      </c>
      <c r="X169" t="inlineStr">
        <is>
          <t>unknown</t>
        </is>
      </c>
      <c r="Y169" t="inlineStr">
        <is>
          <t>candidate</t>
        </is>
      </c>
      <c r="Z169" t="inlineStr">
        <is>
          <t>signed-not-occupied</t>
        </is>
      </c>
      <c r="AA169" t="inlineStr">
        <is>
          <t>unknown</t>
        </is>
      </c>
      <c r="AB169" t="inlineStr"/>
      <c r="AC169" s="3" t="inlineStr">
        <is>
          <t>No opened source gives a count: no Built In profile with a total, the company site publishes none, and LinkedIn was off-limits. Founder to confirm at intake.</t>
        </is>
      </c>
      <c r="AD169" t="inlineStr">
        <is>
          <t>leasing-press</t>
        </is>
      </c>
      <c r="AE169" t="inlineStr"/>
      <c r="AF169" t="inlineStr">
        <is>
          <t>no-coworking-in-building</t>
        </is>
      </c>
      <c r="AG169" t="inlineStr">
        <is>
          <t>1008590039</t>
        </is>
      </c>
      <c r="AH169" t="n">
        <v>0</v>
      </c>
      <c r="AI169" t="inlineStr">
        <is>
          <t>9,800 sf</t>
        </is>
      </c>
      <c r="AJ169" t="inlineStr">
        <is>
          <t>S4</t>
        </is>
      </c>
    </row>
    <row r="170">
      <c r="A170" t="inlineStr">
        <is>
          <t>B-C-169</t>
        </is>
      </c>
      <c r="B170" t="inlineStr">
        <is>
          <t>Pumpkin Pet Insurance</t>
        </is>
      </c>
      <c r="C170" s="2" t="inlineStr">
        <is>
          <t>https://www.pumpkin.care</t>
        </is>
      </c>
      <c r="D170" t="inlineStr">
        <is>
          <t>insurtech (pet insurance)</t>
        </is>
      </c>
      <c r="E170" t="inlineStr">
        <is>
          <t>B-B-079</t>
        </is>
      </c>
      <c r="F170" t="inlineStr">
        <is>
          <t>432 Park Avenue South</t>
        </is>
      </c>
      <c r="G170" t="inlineStr">
        <is>
          <t>unknown</t>
        </is>
      </c>
      <c r="H170" t="inlineStr">
        <is>
          <t>10016</t>
        </is>
      </c>
      <c r="I170" t="n">
        <v>40.744255</v>
      </c>
      <c r="J170" t="n">
        <v>-73.983762</v>
      </c>
      <c r="K170" t="inlineStr">
        <is>
          <t>Y</t>
        </is>
      </c>
      <c r="L170" t="inlineStr">
        <is>
          <t>151-250</t>
        </is>
      </c>
      <c r="M170" t="inlineStr">
        <is>
          <t>whole-company</t>
        </is>
      </c>
      <c r="N170" s="2" t="inlineStr">
        <is>
          <t>https://www.builtinnyc.com/company/pumpkin/offices</t>
        </is>
      </c>
      <c r="O170" s="2" t="inlineStr">
        <is>
          <t>https://www.builtinnyc.com/company/pumpkin/offices</t>
        </is>
      </c>
      <c r="P170" t="inlineStr">
        <is>
          <t>2026-10-23</t>
        </is>
      </c>
      <c r="Q170" s="2" t="inlineStr">
        <is>
          <t>https://commercialobserver.com/2023/01/pumpkin-pet-insurance-takes-10k-sf-at-432-park-avenue/</t>
        </is>
      </c>
      <c r="R170" t="inlineStr">
        <is>
          <t>high</t>
        </is>
      </c>
      <c r="S170" t="inlineStr">
        <is>
          <t>N</t>
        </is>
      </c>
      <c r="T170" t="inlineStr"/>
      <c r="U170" t="inlineStr"/>
      <c r="V170" s="3" t="inlineStr">
        <is>
          <t>Built In lists New York office at 432 Park Avenue S; 175 total employees. CO 2023: 10,000 SF lease.</t>
        </is>
      </c>
      <c r="W170" t="inlineStr">
        <is>
          <t>2026-10-23</t>
        </is>
      </c>
      <c r="X170" t="inlineStr">
        <is>
          <t>unknown</t>
        </is>
      </c>
      <c r="Y170" t="inlineStr">
        <is>
          <t>candidate</t>
        </is>
      </c>
      <c r="Z170" t="inlineStr">
        <is>
          <t>occupied</t>
        </is>
      </c>
      <c r="AA170" t="inlineStr"/>
      <c r="AB170" t="inlineStr">
        <is>
          <t>2026-10-23</t>
        </is>
      </c>
      <c r="AC170" s="3" t="inlineStr"/>
      <c r="AD170" t="inlineStr">
        <is>
          <t>builtin</t>
        </is>
      </c>
      <c r="AE170" t="inlineStr">
        <is>
          <t>2023-01-06</t>
        </is>
      </c>
      <c r="AF170" t="inlineStr">
        <is>
          <t>no-coworking-in-building</t>
        </is>
      </c>
      <c r="AG170" t="inlineStr">
        <is>
          <t>1008590039</t>
        </is>
      </c>
      <c r="AH170" t="n">
        <v>0</v>
      </c>
      <c r="AI170" t="inlineStr">
        <is>
          <t>10,000 sf</t>
        </is>
      </c>
      <c r="AJ170" t="inlineStr">
        <is>
          <t>S4</t>
        </is>
      </c>
    </row>
    <row r="171">
      <c r="A171" t="inlineStr">
        <is>
          <t>B-C-170</t>
        </is>
      </c>
      <c r="B171" t="inlineStr">
        <is>
          <t>Innovant</t>
        </is>
      </c>
      <c r="C171" s="2" t="inlineStr">
        <is>
          <t>https://innovant.com</t>
        </is>
      </c>
      <c r="D171" t="inlineStr">
        <is>
          <t>office furniture manufacturer (showroom and offices)</t>
        </is>
      </c>
      <c r="E171" t="inlineStr">
        <is>
          <t>B-B-080</t>
        </is>
      </c>
      <c r="F171" t="inlineStr">
        <is>
          <t>440 Park Avenue South</t>
        </is>
      </c>
      <c r="G171" t="inlineStr">
        <is>
          <t>9</t>
        </is>
      </c>
      <c r="H171" t="inlineStr">
        <is>
          <t>10016</t>
        </is>
      </c>
      <c r="I171" t="n">
        <v>40.744522</v>
      </c>
      <c r="J171" t="n">
        <v>-73.983617</v>
      </c>
      <c r="K171" t="inlineStr">
        <is>
          <t>Y</t>
        </is>
      </c>
      <c r="L171" t="inlineStr">
        <is>
          <t>unknown</t>
        </is>
      </c>
      <c r="M171" t="inlineStr">
        <is>
          <t>unknown</t>
        </is>
      </c>
      <c r="N171" t="inlineStr"/>
      <c r="O171" s="2" t="inlineStr">
        <is>
          <t>https://commercialobserver.com/2023/06/innovant-440-park-avenue-south-nomad/</t>
        </is>
      </c>
      <c r="P171" t="inlineStr">
        <is>
          <t>2023-06-23</t>
        </is>
      </c>
      <c r="Q171" s="2" t="inlineStr">
        <is>
          <t>https://innovant.com/contact-us/</t>
        </is>
      </c>
      <c r="R171" t="inlineStr">
        <is>
          <t>high</t>
        </is>
      </c>
      <c r="S171" t="inlineStr">
        <is>
          <t>N</t>
        </is>
      </c>
      <c r="T171" t="inlineStr"/>
      <c r="U171" t="inlineStr"/>
      <c r="V171" s="3" t="inlineStr">
        <is>
          <t>Contact page lists New York at 440 Park Ave South, 9th Floor. CO 2023: seven-year deal for 11,120 SF showroom and offices on the full 9th floor. Showroom plus offices; headcount not found.</t>
        </is>
      </c>
      <c r="W171" t="inlineStr">
        <is>
          <t>2026-10-23</t>
        </is>
      </c>
      <c r="X171" t="inlineStr">
        <is>
          <t>unknown</t>
        </is>
      </c>
      <c r="Y171" t="inlineStr">
        <is>
          <t>candidate</t>
        </is>
      </c>
      <c r="Z171" t="inlineStr">
        <is>
          <t>occupied</t>
        </is>
      </c>
      <c r="AA171" t="inlineStr"/>
      <c r="AB171" t="inlineStr"/>
      <c r="AC171" s="3" t="inlineStr">
        <is>
          <t>No opened source gives a count: no Built In profile with a total, the company site publishes none, and LinkedIn was off-limits. Founder to confirm at intake.</t>
        </is>
      </c>
      <c r="AD171" t="inlineStr">
        <is>
          <t>leasing-press</t>
        </is>
      </c>
      <c r="AE171" t="inlineStr">
        <is>
          <t>2026-10-23</t>
        </is>
      </c>
      <c r="AF171" t="inlineStr">
        <is>
          <t>no-coworking-in-building</t>
        </is>
      </c>
      <c r="AG171" t="inlineStr">
        <is>
          <t>1008590048</t>
        </is>
      </c>
      <c r="AH171" t="n">
        <v>0</v>
      </c>
      <c r="AI171" t="inlineStr">
        <is>
          <t>11,120 sf</t>
        </is>
      </c>
      <c r="AJ171" t="inlineStr">
        <is>
          <t>S4</t>
        </is>
      </c>
    </row>
    <row r="172">
      <c r="A172" t="inlineStr">
        <is>
          <t>B-C-171</t>
        </is>
      </c>
      <c r="B172" t="inlineStr">
        <is>
          <t>Signal AI</t>
        </is>
      </c>
      <c r="C172" s="2" t="inlineStr">
        <is>
          <t>https://www.signal-ai.com</t>
        </is>
      </c>
      <c r="D172" t="inlineStr">
        <is>
          <t>software (AI risk and reputation intelligence)</t>
        </is>
      </c>
      <c r="E172" t="inlineStr">
        <is>
          <t>B-B-080</t>
        </is>
      </c>
      <c r="F172" t="inlineStr">
        <is>
          <t>440 Park Avenue South</t>
        </is>
      </c>
      <c r="G172" t="inlineStr">
        <is>
          <t>14</t>
        </is>
      </c>
      <c r="H172" t="inlineStr">
        <is>
          <t>10016</t>
        </is>
      </c>
      <c r="I172" t="n">
        <v>40.744522</v>
      </c>
      <c r="J172" t="n">
        <v>-73.983617</v>
      </c>
      <c r="K172" t="inlineStr">
        <is>
          <t>Y</t>
        </is>
      </c>
      <c r="L172" t="inlineStr">
        <is>
          <t>151-250</t>
        </is>
      </c>
      <c r="M172" t="inlineStr">
        <is>
          <t>whole-company</t>
        </is>
      </c>
      <c r="N172" s="2" t="inlineStr">
        <is>
          <t>https://www.builtinnyc.com/company/signal-ai/offices</t>
        </is>
      </c>
      <c r="O172" s="2" t="inlineStr">
        <is>
          <t>https://www.builtinnyc.com/company/signal-ai/offices</t>
        </is>
      </c>
      <c r="P172" t="inlineStr">
        <is>
          <t>2026-10-23</t>
        </is>
      </c>
      <c r="Q172" s="2" t="inlineStr">
        <is>
          <t>https://commercialobserver.com/2022/12/signal-ai-doubles-offices-in-move-to-440-park-avenue-south/</t>
        </is>
      </c>
      <c r="R172" t="inlineStr">
        <is>
          <t>high</t>
        </is>
      </c>
      <c r="S172" t="inlineStr">
        <is>
          <t>N</t>
        </is>
      </c>
      <c r="T172" t="inlineStr"/>
      <c r="U172" t="inlineStr"/>
      <c r="V172" s="3" t="inlineStr">
        <is>
          <t>Built In lists New York office at 440 Park Avenue South, 14th Floor; 226 total employees (HQ London). CO 2022: 11,140 SF US HQ.</t>
        </is>
      </c>
      <c r="W172" t="inlineStr">
        <is>
          <t>2026-10-23</t>
        </is>
      </c>
      <c r="X172" t="inlineStr">
        <is>
          <t>unknown</t>
        </is>
      </c>
      <c r="Y172" t="inlineStr">
        <is>
          <t>candidate</t>
        </is>
      </c>
      <c r="Z172" t="inlineStr">
        <is>
          <t>occupied</t>
        </is>
      </c>
      <c r="AA172" t="inlineStr"/>
      <c r="AB172" t="inlineStr">
        <is>
          <t>2026-10-23</t>
        </is>
      </c>
      <c r="AC172" s="3" t="inlineStr"/>
      <c r="AD172" t="inlineStr">
        <is>
          <t>builtin</t>
        </is>
      </c>
      <c r="AE172" t="inlineStr">
        <is>
          <t>2022-12-19</t>
        </is>
      </c>
      <c r="AF172" t="inlineStr">
        <is>
          <t>no-coworking-in-building</t>
        </is>
      </c>
      <c r="AG172" t="inlineStr">
        <is>
          <t>1008590048</t>
        </is>
      </c>
      <c r="AH172" t="n">
        <v>0</v>
      </c>
      <c r="AI172" t="inlineStr">
        <is>
          <t>11,140 sf</t>
        </is>
      </c>
      <c r="AJ172" t="inlineStr">
        <is>
          <t>S4</t>
        </is>
      </c>
    </row>
    <row r="173">
      <c r="A173" t="inlineStr">
        <is>
          <t>B-C-172</t>
        </is>
      </c>
      <c r="B173" t="inlineStr">
        <is>
          <t>Agentio</t>
        </is>
      </c>
      <c r="C173" t="inlineStr">
        <is>
          <t>unknown</t>
        </is>
      </c>
      <c r="D173" t="inlineStr">
        <is>
          <t>adtech (AI creator advertising)</t>
        </is>
      </c>
      <c r="E173" t="inlineStr">
        <is>
          <t>B-B-082</t>
        </is>
      </c>
      <c r="F173" t="inlineStr">
        <is>
          <t>295 Fifth Avenue</t>
        </is>
      </c>
      <c r="G173" t="inlineStr">
        <is>
          <t>11 (part)</t>
        </is>
      </c>
      <c r="H173" t="inlineStr">
        <is>
          <t>10016</t>
        </is>
      </c>
      <c r="I173" t="n">
        <v>40.746062</v>
      </c>
      <c r="J173" t="n">
        <v>-73.98568400000001</v>
      </c>
      <c r="K173" t="inlineStr">
        <is>
          <t>Y</t>
        </is>
      </c>
      <c r="L173" t="inlineStr">
        <is>
          <t>40-75</t>
        </is>
      </c>
      <c r="M173" t="inlineStr">
        <is>
          <t>whole-company</t>
        </is>
      </c>
      <c r="N173" s="2" t="inlineStr">
        <is>
          <t>https://www.builtinnyc.com/company/agentio/offices</t>
        </is>
      </c>
      <c r="O173" s="2" t="inlineStr">
        <is>
          <t>https://commercialobserver.com/2026/03/agentio-lease-295-fifth-avenue/</t>
        </is>
      </c>
      <c r="P173" t="inlineStr">
        <is>
          <t>2026-03-31</t>
        </is>
      </c>
      <c r="Q173" s="2" t="inlineStr">
        <is>
          <t>https://www.builtinnyc.com/company/agentio/offices</t>
        </is>
      </c>
      <c r="R173" t="inlineStr">
        <is>
          <t>medium</t>
        </is>
      </c>
      <c r="S173" t="inlineStr">
        <is>
          <t>N</t>
        </is>
      </c>
      <c r="T173" t="inlineStr"/>
      <c r="U173" t="inlineStr"/>
      <c r="V173" s="3" t="inlineStr">
        <is>
          <t>20,000 SF on part of floor 11, moving from a coworking space at 25 Kent Ave, Brooklyn. Built In: 65 total employees, HQ New York, office described as 'in the heart of NoMad ... close to Madison Square Park' (no street, so not a full confirmation). Margin row (30th-31st St).</t>
        </is>
      </c>
      <c r="W173" t="inlineStr">
        <is>
          <t>2026-10-23</t>
        </is>
      </c>
      <c r="X173" t="inlineStr">
        <is>
          <t>unknown</t>
        </is>
      </c>
      <c r="Y173" t="inlineStr">
        <is>
          <t>candidate</t>
        </is>
      </c>
      <c r="Z173" t="inlineStr">
        <is>
          <t>occupancy-unconfirmed</t>
        </is>
      </c>
      <c r="AA173" t="inlineStr"/>
      <c r="AB173" t="inlineStr">
        <is>
          <t>2026-10-23</t>
        </is>
      </c>
      <c r="AC173" s="3" t="inlineStr"/>
      <c r="AD173" t="inlineStr">
        <is>
          <t>leasing-press</t>
        </is>
      </c>
      <c r="AE173" t="inlineStr">
        <is>
          <t>2026-10-23</t>
        </is>
      </c>
      <c r="AF173" t="inlineStr">
        <is>
          <t>no-coworking-in-building</t>
        </is>
      </c>
      <c r="AG173" t="inlineStr">
        <is>
          <t>1008600001</t>
        </is>
      </c>
      <c r="AH173" t="n">
        <v>0</v>
      </c>
      <c r="AI173" t="inlineStr">
        <is>
          <t>20,000 sf</t>
        </is>
      </c>
      <c r="AJ173" t="inlineStr">
        <is>
          <t>S4</t>
        </is>
      </c>
    </row>
    <row r="174">
      <c r="A174" t="inlineStr">
        <is>
          <t>B-C-173</t>
        </is>
      </c>
      <c r="B174" t="inlineStr">
        <is>
          <t>Pilot Fiber</t>
        </is>
      </c>
      <c r="C174" s="2" t="inlineStr">
        <is>
          <t>https://www.pilotfiber.com/</t>
        </is>
      </c>
      <c r="D174" t="inlineStr">
        <is>
          <t>Telecom / fiber internet provider</t>
        </is>
      </c>
      <c r="E174" t="inlineStr">
        <is>
          <t>B-B-056</t>
        </is>
      </c>
      <c r="F174" t="inlineStr">
        <is>
          <t>1115 Broadway</t>
        </is>
      </c>
      <c r="G174" t="inlineStr">
        <is>
          <t>12</t>
        </is>
      </c>
      <c r="H174" t="inlineStr">
        <is>
          <t>10010</t>
        </is>
      </c>
      <c r="I174" t="n">
        <v>40.743006</v>
      </c>
      <c r="J174" t="n">
        <v>-73.98947</v>
      </c>
      <c r="K174" t="inlineStr">
        <is>
          <t>Y</t>
        </is>
      </c>
      <c r="L174" t="inlineStr">
        <is>
          <t>unknown</t>
        </is>
      </c>
      <c r="M174" t="inlineStr">
        <is>
          <t>unknown</t>
        </is>
      </c>
      <c r="N174" t="inlineStr"/>
      <c r="O174" s="2" t="inlineStr">
        <is>
          <t>https://www.pilotfiber.com/legal</t>
        </is>
      </c>
      <c r="P174" t="inlineStr">
        <is>
          <t>2026-10-23</t>
        </is>
      </c>
      <c r="Q174" s="2" t="inlineStr">
        <is>
          <t>https://commercialobserver.com/2026/01/purple-lease-16-madison-square-west/</t>
        </is>
      </c>
      <c r="R174" t="inlineStr">
        <is>
          <t>high</t>
        </is>
      </c>
      <c r="S174" t="inlineStr">
        <is>
          <t>Y</t>
        </is>
      </c>
      <c r="T174" t="inlineStr">
        <is>
          <t>B-W-011</t>
        </is>
      </c>
      <c r="U174" t="inlineStr"/>
      <c r="V174" s="3" t="inlineStr">
        <is>
          <t>Company legal page (live) gives '1115 Broadway Floor 12, New York, NY 10010'. CO Jan 2026 names Pilot Fiber as a current tenant at 16 Madison Square West (same building). Headcount not found in an opened source. | Assembly 2026-10-24: Coworking check at assembly: Pilot Fiber's legal page (re-opened 2026-10-24) gives '1115 Broadway Floor 12'. Select Office Suites' own page (opened 2026-10-24) gives its Flatiron centre as '1115 Broadway (aka 16 Madison Square West), 9th, 10th, 11th, &amp; 12th Floors'. Same floor as a serviced-office operator, so flagged in_coworking = Y and excluded until the founder confirms Pilot Fiber holds its own lease there.</t>
        </is>
      </c>
      <c r="W174" t="inlineStr">
        <is>
          <t>2026-10-23</t>
        </is>
      </c>
      <c r="X174" t="inlineStr">
        <is>
          <t>security desk</t>
        </is>
      </c>
      <c r="Y174" t="inlineStr">
        <is>
          <t>excluded-coworking</t>
        </is>
      </c>
      <c r="Z174" t="inlineStr">
        <is>
          <t>occupied</t>
        </is>
      </c>
      <c r="AA174" t="inlineStr"/>
      <c r="AB174" t="inlineStr"/>
      <c r="AC174" s="3" t="inlineStr">
        <is>
          <t>No opened source gives a count: no Built In profile with a total, the company site publishes none, and LinkedIn was off-limits. Founder to confirm at intake.</t>
        </is>
      </c>
      <c r="AD174" t="inlineStr">
        <is>
          <t>company-site</t>
        </is>
      </c>
      <c r="AE174" t="inlineStr">
        <is>
          <t>2026-01-08</t>
        </is>
      </c>
      <c r="AF174" t="inlineStr">
        <is>
          <t>same-floor</t>
        </is>
      </c>
      <c r="AG174" t="inlineStr">
        <is>
          <t>1008260046</t>
        </is>
      </c>
      <c r="AH174" t="n">
        <v>0</v>
      </c>
      <c r="AI174" t="inlineStr"/>
      <c r="AJ174" t="inlineStr">
        <is>
          <t>S3</t>
        </is>
      </c>
    </row>
    <row r="175">
      <c r="A175" t="inlineStr">
        <is>
          <t>B-C-174</t>
        </is>
      </c>
      <c r="B175" t="inlineStr">
        <is>
          <t>Deerfield Management</t>
        </is>
      </c>
      <c r="C175" s="2" t="inlineStr">
        <is>
          <t>https://www.deerfield.com/</t>
        </is>
      </c>
      <c r="D175" t="inlineStr">
        <is>
          <t>Healthcare investment firm</t>
        </is>
      </c>
      <c r="E175" t="inlineStr">
        <is>
          <t>B-B-058</t>
        </is>
      </c>
      <c r="F175" t="inlineStr">
        <is>
          <t>345 Park Avenue South</t>
        </is>
      </c>
      <c r="G175" t="inlineStr">
        <is>
          <t>unknown</t>
        </is>
      </c>
      <c r="H175" t="inlineStr">
        <is>
          <t>10010</t>
        </is>
      </c>
      <c r="I175" t="n">
        <v>40.741737</v>
      </c>
      <c r="J175" t="n">
        <v>-73.98485599999999</v>
      </c>
      <c r="K175" t="inlineStr">
        <is>
          <t>Y</t>
        </is>
      </c>
      <c r="L175" t="inlineStr">
        <is>
          <t>151-250</t>
        </is>
      </c>
      <c r="M175" t="inlineStr">
        <is>
          <t>whole-company</t>
        </is>
      </c>
      <c r="N175" s="2" t="inlineStr">
        <is>
          <t>https://en.wikipedia.org/wiki/Deerfield_Management</t>
        </is>
      </c>
      <c r="O175" s="2" t="inlineStr">
        <is>
          <t>https://www.deerfield.com/contact</t>
        </is>
      </c>
      <c r="P175" t="inlineStr">
        <is>
          <t>2026-10-24</t>
        </is>
      </c>
      <c r="Q175" s="2" t="inlineStr">
        <is>
          <t>https://en.wikipedia.org/wiki/Deerfield_Management</t>
        </is>
      </c>
      <c r="R175" t="inlineStr">
        <is>
          <t>high</t>
        </is>
      </c>
      <c r="S175" t="inlineStr">
        <is>
          <t>Y</t>
        </is>
      </c>
      <c r="T175" t="inlineStr">
        <is>
          <t>B-W-013</t>
        </is>
      </c>
      <c r="U175" t="inlineStr"/>
      <c r="V175" s="3" t="inlineStr">
        <is>
          <t>Company contact page (live): '345 Park Avenue South New York, NY 10010'. Wikipedia: HQ 345 PAS (bought the building in May 2019); 175 employees (March 2023). Deerfield also runs Cure, a healthcare coworking and lab hub in the same building, and appears on Cure's resident list; Deerfield's own office is treated as a direct office (not coworking), founder to confirm who controls its pantry. | Assembly 2026-10-24: Coworking check at assembly: Cure's residents page (wewillcure.com/community/residents, opened 2026-10-24) lists 'Deerfield Management Company' among Cure residents. Cure is operated by Cure Experience Services, LLC (site footer). Deerfield owns the building (Wikipedia). Flagged in_coworking = Y: approach Cure as the one office (coworking tab) rather than Deerfield separately. Founder to confirm whether Deerfield runs its own pantry.</t>
        </is>
      </c>
      <c r="W175" t="inlineStr">
        <is>
          <t>2026-10-23</t>
        </is>
      </c>
      <c r="X175" t="inlineStr">
        <is>
          <t>unknown</t>
        </is>
      </c>
      <c r="Y175" t="inlineStr">
        <is>
          <t>excluded-coworking</t>
        </is>
      </c>
      <c r="Z175" t="inlineStr">
        <is>
          <t>occupied</t>
        </is>
      </c>
      <c r="AA175" t="inlineStr"/>
      <c r="AB175" t="inlineStr">
        <is>
          <t>2023-03</t>
        </is>
      </c>
      <c r="AC175" s="3" t="inlineStr"/>
      <c r="AD175" t="inlineStr">
        <is>
          <t>company-site</t>
        </is>
      </c>
      <c r="AE175" t="inlineStr">
        <is>
          <t>2026-10-24</t>
        </is>
      </c>
      <c r="AF175" t="inlineStr">
        <is>
          <t>listed-as-resident</t>
        </is>
      </c>
      <c r="AG175" t="inlineStr">
        <is>
          <t>1008810001</t>
        </is>
      </c>
      <c r="AH175" t="n">
        <v>0</v>
      </c>
      <c r="AI175" t="inlineStr"/>
      <c r="AJ175" t="inlineStr">
        <is>
          <t>S3</t>
        </is>
      </c>
    </row>
    <row r="176">
      <c r="A176" t="inlineStr">
        <is>
          <t>B-C-175</t>
        </is>
      </c>
      <c r="B176" t="inlineStr">
        <is>
          <t>Insilico Medicine</t>
        </is>
      </c>
      <c r="C176" s="2" t="inlineStr">
        <is>
          <t>https://insilico.com/</t>
        </is>
      </c>
      <c r="D176" t="inlineStr">
        <is>
          <t>Biotech / AI drug discovery</t>
        </is>
      </c>
      <c r="E176" t="inlineStr">
        <is>
          <t>B-B-058</t>
        </is>
      </c>
      <c r="F176" t="inlineStr">
        <is>
          <t>345 Park Avenue South</t>
        </is>
      </c>
      <c r="G176" t="inlineStr">
        <is>
          <t>unknown</t>
        </is>
      </c>
      <c r="H176" t="inlineStr">
        <is>
          <t>10010</t>
        </is>
      </c>
      <c r="I176" t="n">
        <v>40.741737</v>
      </c>
      <c r="J176" t="n">
        <v>-73.98485599999999</v>
      </c>
      <c r="K176" t="inlineStr">
        <is>
          <t>Y</t>
        </is>
      </c>
      <c r="L176" t="inlineStr">
        <is>
          <t>76-150</t>
        </is>
      </c>
      <c r="M176" t="inlineStr">
        <is>
          <t>whole-company</t>
        </is>
      </c>
      <c r="N176" s="2" t="inlineStr">
        <is>
          <t>https://www.builtinnyc.com/company/insilico-medicine/offices</t>
        </is>
      </c>
      <c r="O176" s="2" t="inlineStr">
        <is>
          <t>https://wewillcure.com/community/residents</t>
        </is>
      </c>
      <c r="P176" t="inlineStr">
        <is>
          <t>2026-10-24</t>
        </is>
      </c>
      <c r="Q176" t="inlineStr"/>
      <c r="R176" t="inlineStr">
        <is>
          <t>medium</t>
        </is>
      </c>
      <c r="S176" t="inlineStr">
        <is>
          <t>Y</t>
        </is>
      </c>
      <c r="T176" t="inlineStr">
        <is>
          <t>B-W-013</t>
        </is>
      </c>
      <c r="U176" t="inlineStr"/>
      <c r="V176" s="3" t="inlineStr">
        <is>
          <t>Cure resident page (live): testimonial says Cure 'has since become our NYC headquarters'. Built In: 115 total employees (no office address shown). In coworking (Cure), so excluded later.</t>
        </is>
      </c>
      <c r="W176" t="inlineStr">
        <is>
          <t>2026-10-23</t>
        </is>
      </c>
      <c r="X176" t="inlineStr">
        <is>
          <t>unknown</t>
        </is>
      </c>
      <c r="Y176" t="inlineStr">
        <is>
          <t>excluded-coworking</t>
        </is>
      </c>
      <c r="Z176" t="inlineStr">
        <is>
          <t>occupied</t>
        </is>
      </c>
      <c r="AA176" t="inlineStr"/>
      <c r="AB176" t="inlineStr">
        <is>
          <t>2026-10-24</t>
        </is>
      </c>
      <c r="AC176" s="3" t="inlineStr"/>
      <c r="AD176" t="inlineStr">
        <is>
          <t>building-site</t>
        </is>
      </c>
      <c r="AE176" t="inlineStr"/>
      <c r="AF176" t="inlineStr">
        <is>
          <t>listed-as-resident</t>
        </is>
      </c>
      <c r="AG176" t="inlineStr">
        <is>
          <t>1008810001</t>
        </is>
      </c>
      <c r="AH176" t="n">
        <v>0</v>
      </c>
      <c r="AI176" t="inlineStr"/>
      <c r="AJ176" t="inlineStr">
        <is>
          <t>S3</t>
        </is>
      </c>
    </row>
    <row r="177">
      <c r="A177" t="inlineStr">
        <is>
          <t>B-C-176</t>
        </is>
      </c>
      <c r="B177" t="inlineStr">
        <is>
          <t>Lexeo Therapeutics</t>
        </is>
      </c>
      <c r="C177" s="2" t="inlineStr">
        <is>
          <t>https://www.lexeotx.com/</t>
        </is>
      </c>
      <c r="D177" t="inlineStr">
        <is>
          <t>Biotech (gene therapy)</t>
        </is>
      </c>
      <c r="E177" t="inlineStr">
        <is>
          <t>B-B-058</t>
        </is>
      </c>
      <c r="F177" t="inlineStr">
        <is>
          <t>345 Park Avenue South</t>
        </is>
      </c>
      <c r="G177" t="inlineStr">
        <is>
          <t>6</t>
        </is>
      </c>
      <c r="H177" t="inlineStr">
        <is>
          <t>10010</t>
        </is>
      </c>
      <c r="I177" t="n">
        <v>40.741737</v>
      </c>
      <c r="J177" t="n">
        <v>-73.98485599999999</v>
      </c>
      <c r="K177" t="inlineStr">
        <is>
          <t>Y</t>
        </is>
      </c>
      <c r="L177" t="inlineStr">
        <is>
          <t>40-75</t>
        </is>
      </c>
      <c r="M177" t="inlineStr">
        <is>
          <t>whole-company</t>
        </is>
      </c>
      <c r="N177" s="2" t="inlineStr">
        <is>
          <t>https://www.builtinnyc.com/company/lexeo-therapeutics/offices</t>
        </is>
      </c>
      <c r="O177" s="2" t="inlineStr">
        <is>
          <t>https://wewillcure.com/community/residents</t>
        </is>
      </c>
      <c r="P177" t="inlineStr">
        <is>
          <t>2026-10-24</t>
        </is>
      </c>
      <c r="Q177" s="2" t="inlineStr">
        <is>
          <t>https://www.builtinnyc.com/company/lexeo-therapeutics/offices</t>
        </is>
      </c>
      <c r="R177" t="inlineStr">
        <is>
          <t>high</t>
        </is>
      </c>
      <c r="S177" t="inlineStr">
        <is>
          <t>Y</t>
        </is>
      </c>
      <c r="T177" t="inlineStr">
        <is>
          <t>B-W-013</t>
        </is>
      </c>
      <c r="U177" t="inlineStr"/>
      <c r="V177" s="3" t="inlineStr">
        <is>
          <t>Listed as a current resident of Cure (Deerfield's healthcare coworking and lab hub at 345 PAS), with a CEO testimonial. Built In lists HQ 345 Park Avenue South, 6th Floor; 52 total employees. In coworking, so excluded later; Cure's residency includes a 'fully stocked pantry' run by the operator.</t>
        </is>
      </c>
      <c r="W177" t="inlineStr">
        <is>
          <t>2026-10-23</t>
        </is>
      </c>
      <c r="X177" t="inlineStr">
        <is>
          <t>unknown</t>
        </is>
      </c>
      <c r="Y177" t="inlineStr">
        <is>
          <t>excluded-coworking</t>
        </is>
      </c>
      <c r="Z177" t="inlineStr">
        <is>
          <t>occupied</t>
        </is>
      </c>
      <c r="AA177" t="inlineStr"/>
      <c r="AB177" t="inlineStr">
        <is>
          <t>2026-10-24</t>
        </is>
      </c>
      <c r="AC177" s="3" t="inlineStr"/>
      <c r="AD177" t="inlineStr">
        <is>
          <t>building-site</t>
        </is>
      </c>
      <c r="AE177" t="inlineStr">
        <is>
          <t>2026-10-24</t>
        </is>
      </c>
      <c r="AF177" t="inlineStr">
        <is>
          <t>listed-as-resident</t>
        </is>
      </c>
      <c r="AG177" t="inlineStr">
        <is>
          <t>1008810001</t>
        </is>
      </c>
      <c r="AH177" t="n">
        <v>0</v>
      </c>
      <c r="AI177" t="inlineStr"/>
      <c r="AJ177" t="inlineStr">
        <is>
          <t>S3</t>
        </is>
      </c>
    </row>
    <row r="178">
      <c r="A178" t="inlineStr">
        <is>
          <t>B-C-177</t>
        </is>
      </c>
      <c r="B178" t="inlineStr">
        <is>
          <t>Monte Carlo (Monte Carlo Data)</t>
        </is>
      </c>
      <c r="C178" s="2" t="inlineStr">
        <is>
          <t>https://montecarlo.ai</t>
        </is>
      </c>
      <c r="D178" t="inlineStr">
        <is>
          <t>software (data observability)</t>
        </is>
      </c>
      <c r="E178" t="inlineStr">
        <is>
          <t>B-B-076</t>
        </is>
      </c>
      <c r="F178" t="inlineStr">
        <is>
          <t>27 East 28th Street</t>
        </is>
      </c>
      <c r="G178" t="inlineStr">
        <is>
          <t>Suite 1656</t>
        </is>
      </c>
      <c r="H178" t="inlineStr">
        <is>
          <t>10016</t>
        </is>
      </c>
      <c r="I178" t="n">
        <v>40.744057</v>
      </c>
      <c r="J178" t="n">
        <v>-73.985252</v>
      </c>
      <c r="K178" t="inlineStr">
        <is>
          <t>Y</t>
        </is>
      </c>
      <c r="L178" t="inlineStr">
        <is>
          <t>76-150</t>
        </is>
      </c>
      <c r="M178" t="inlineStr">
        <is>
          <t>whole-company</t>
        </is>
      </c>
      <c r="N178" s="2" t="inlineStr">
        <is>
          <t>https://www.builtinnyc.com/company/monte-carlo/offices</t>
        </is>
      </c>
      <c r="O178" s="2" t="inlineStr">
        <is>
          <t>https://www.builtinnyc.com/company/monte-carlo/offices</t>
        </is>
      </c>
      <c r="P178" t="inlineStr">
        <is>
          <t>2026-10-23</t>
        </is>
      </c>
      <c r="Q178" s="2" t="inlineStr">
        <is>
          <t>https://liquidspace.com/us/ny/new-york/wework-27-e-28th-st</t>
        </is>
      </c>
      <c r="R178" t="inlineStr">
        <is>
          <t>medium</t>
        </is>
      </c>
      <c r="S178" t="inlineStr">
        <is>
          <t>Y</t>
        </is>
      </c>
      <c r="T178" t="inlineStr">
        <is>
          <t>B-W-020</t>
        </is>
      </c>
      <c r="U178" t="inlineStr"/>
      <c r="V178" s="3" t="inlineStr">
        <is>
          <t>Built In lists a 'New York Hub' at 27 E 28th St, Suite 1656; company is remote-first and covers coworking; 135 total employees (HQ San Francisco). LiquidSpace lists 'WeWork | 27 E 28th St' as confirmed open. 27 E 28th St shares a tax lot with 79 Madison Ave. Coworking: excluded.</t>
        </is>
      </c>
      <c r="W178" t="inlineStr">
        <is>
          <t>2026-10-23</t>
        </is>
      </c>
      <c r="X178" t="inlineStr">
        <is>
          <t>unknown</t>
        </is>
      </c>
      <c r="Y178" t="inlineStr">
        <is>
          <t>excluded-coworking</t>
        </is>
      </c>
      <c r="Z178" t="inlineStr">
        <is>
          <t>occupied</t>
        </is>
      </c>
      <c r="AA178" t="inlineStr"/>
      <c r="AB178" t="inlineStr">
        <is>
          <t>2026-10-23</t>
        </is>
      </c>
      <c r="AC178" s="3" t="inlineStr"/>
      <c r="AD178" t="inlineStr">
        <is>
          <t>builtin</t>
        </is>
      </c>
      <c r="AE178" t="inlineStr">
        <is>
          <t>2026-10-23</t>
        </is>
      </c>
      <c r="AF178" t="inlineStr">
        <is>
          <t>listed-as-resident</t>
        </is>
      </c>
      <c r="AG178" t="inlineStr">
        <is>
          <t>1008580022</t>
        </is>
      </c>
      <c r="AH178" t="n">
        <v>0</v>
      </c>
      <c r="AI178" t="inlineStr"/>
      <c r="AJ178" t="inlineStr">
        <is>
          <t>S4</t>
        </is>
      </c>
    </row>
    <row r="179">
      <c r="A179" t="inlineStr">
        <is>
          <t>B-C-178</t>
        </is>
      </c>
      <c r="B179" t="inlineStr">
        <is>
          <t>Augury</t>
        </is>
      </c>
      <c r="C179" s="2" t="inlineStr">
        <is>
          <t>https://www.augury.com</t>
        </is>
      </c>
      <c r="D179" t="inlineStr">
        <is>
          <t>industrial AI (machine health)</t>
        </is>
      </c>
      <c r="E179" t="inlineStr"/>
      <c r="F179" t="inlineStr">
        <is>
          <t>1178 Broadway</t>
        </is>
      </c>
      <c r="G179" t="inlineStr">
        <is>
          <t>3 (#169)</t>
        </is>
      </c>
      <c r="H179" t="inlineStr">
        <is>
          <t>10001</t>
        </is>
      </c>
      <c r="I179" t="n">
        <v>40.745316</v>
      </c>
      <c r="J179" t="n">
        <v>-73.988468</v>
      </c>
      <c r="K179" t="inlineStr">
        <is>
          <t>Y</t>
        </is>
      </c>
      <c r="L179" t="inlineStr">
        <is>
          <t>151-250</t>
        </is>
      </c>
      <c r="M179" t="inlineStr">
        <is>
          <t>whole-company</t>
        </is>
      </c>
      <c r="N179" s="2" t="inlineStr">
        <is>
          <t>https://www.builtinnyc.com/company/augury/offices</t>
        </is>
      </c>
      <c r="O179" s="2" t="inlineStr">
        <is>
          <t>https://www.builtinnyc.com/company/augury/offices</t>
        </is>
      </c>
      <c r="P179" t="inlineStr">
        <is>
          <t>2026-10-23</t>
        </is>
      </c>
      <c r="Q179" t="inlineStr"/>
      <c r="R179" t="inlineStr">
        <is>
          <t>medium</t>
        </is>
      </c>
      <c r="S179" t="inlineStr">
        <is>
          <t>N</t>
        </is>
      </c>
      <c r="T179" t="inlineStr"/>
      <c r="U179" t="inlineStr"/>
      <c r="V179" s="3" t="inlineStr">
        <is>
          <t>Built In lists HQ at 1178 Broadway, 3rd Floor #169 but marks the company 'Remote Workplace'; 203 total employees. The #169 suite number suggests a mailbox or shared suite, so probably no staffed office here. Founder to confirm; likely not a pantry host. | Assembly 2026-10-24: Excluded at assembly: Built In marks the company 'Remote Workplace' and the '#169' suite looks like a mailbox or shared suite, so there is probably no staffed office to host a pantry drop.</t>
        </is>
      </c>
      <c r="W179" t="inlineStr">
        <is>
          <t>2026-10-23</t>
        </is>
      </c>
      <c r="X179" t="inlineStr">
        <is>
          <t>unknown</t>
        </is>
      </c>
      <c r="Y179" t="inlineStr">
        <is>
          <t>excluded-not-office</t>
        </is>
      </c>
      <c r="Z179" t="inlineStr">
        <is>
          <t>occupancy-unconfirmed</t>
        </is>
      </c>
      <c r="AA179" t="inlineStr"/>
      <c r="AB179" t="inlineStr">
        <is>
          <t>2026-10-23</t>
        </is>
      </c>
      <c r="AC179" s="3" t="inlineStr"/>
      <c r="AD179" t="inlineStr">
        <is>
          <t>builtin</t>
        </is>
      </c>
      <c r="AE179" t="inlineStr"/>
      <c r="AF179" t="inlineStr">
        <is>
          <t>no-coworking-in-building</t>
        </is>
      </c>
      <c r="AG179" t="inlineStr">
        <is>
          <t>1008300028</t>
        </is>
      </c>
      <c r="AH179" t="n">
        <v>0</v>
      </c>
      <c r="AI179" t="inlineStr"/>
      <c r="AJ179" t="inlineStr">
        <is>
          <t>S4</t>
        </is>
      </c>
    </row>
  </sheetData>
  <autoFilter ref="A1:AJ179"/>
  <conditionalFormatting sqref="A2:AJ179">
    <cfRule type="expression" priority="1" dxfId="0">
      <formula>$Y2&lt;&gt;"candidate"</formula>
    </cfRule>
  </conditionalFormatting>
  <conditionalFormatting sqref="Z2:AA179">
    <cfRule type="expression" priority="2" dxfId="1">
      <formula>$Z2="signed-not-occupied"</formula>
    </cfRule>
  </conditionalFormatting>
  <hyperlinks>
    <hyperlink xmlns:r="http://schemas.openxmlformats.org/officeDocument/2006/relationships" ref="C2" r:id="rId1"/>
    <hyperlink xmlns:r="http://schemas.openxmlformats.org/officeDocument/2006/relationships" ref="N2" r:id="rId2"/>
    <hyperlink xmlns:r="http://schemas.openxmlformats.org/officeDocument/2006/relationships" ref="O2" r:id="rId3"/>
    <hyperlink xmlns:r="http://schemas.openxmlformats.org/officeDocument/2006/relationships" ref="Q2" r:id="rId4"/>
    <hyperlink xmlns:r="http://schemas.openxmlformats.org/officeDocument/2006/relationships" ref="O3" r:id="rId5"/>
    <hyperlink xmlns:r="http://schemas.openxmlformats.org/officeDocument/2006/relationships" ref="Q3" r:id="rId6"/>
    <hyperlink xmlns:r="http://schemas.openxmlformats.org/officeDocument/2006/relationships" ref="N4" r:id="rId7"/>
    <hyperlink xmlns:r="http://schemas.openxmlformats.org/officeDocument/2006/relationships" ref="O4" r:id="rId8"/>
    <hyperlink xmlns:r="http://schemas.openxmlformats.org/officeDocument/2006/relationships" ref="C5" r:id="rId9"/>
    <hyperlink xmlns:r="http://schemas.openxmlformats.org/officeDocument/2006/relationships" ref="O5" r:id="rId10"/>
    <hyperlink xmlns:r="http://schemas.openxmlformats.org/officeDocument/2006/relationships" ref="Q5" r:id="rId11"/>
    <hyperlink xmlns:r="http://schemas.openxmlformats.org/officeDocument/2006/relationships" ref="C6" r:id="rId12"/>
    <hyperlink xmlns:r="http://schemas.openxmlformats.org/officeDocument/2006/relationships" ref="N6" r:id="rId13"/>
    <hyperlink xmlns:r="http://schemas.openxmlformats.org/officeDocument/2006/relationships" ref="O6" r:id="rId14"/>
    <hyperlink xmlns:r="http://schemas.openxmlformats.org/officeDocument/2006/relationships" ref="Q6" r:id="rId15"/>
    <hyperlink xmlns:r="http://schemas.openxmlformats.org/officeDocument/2006/relationships" ref="C7" r:id="rId16"/>
    <hyperlink xmlns:r="http://schemas.openxmlformats.org/officeDocument/2006/relationships" ref="O7" r:id="rId17"/>
    <hyperlink xmlns:r="http://schemas.openxmlformats.org/officeDocument/2006/relationships" ref="Q7" r:id="rId18"/>
    <hyperlink xmlns:r="http://schemas.openxmlformats.org/officeDocument/2006/relationships" ref="C8" r:id="rId19"/>
    <hyperlink xmlns:r="http://schemas.openxmlformats.org/officeDocument/2006/relationships" ref="N8" r:id="rId20"/>
    <hyperlink xmlns:r="http://schemas.openxmlformats.org/officeDocument/2006/relationships" ref="O8" r:id="rId21"/>
    <hyperlink xmlns:r="http://schemas.openxmlformats.org/officeDocument/2006/relationships" ref="C9" r:id="rId22"/>
    <hyperlink xmlns:r="http://schemas.openxmlformats.org/officeDocument/2006/relationships" ref="O9" r:id="rId23"/>
    <hyperlink xmlns:r="http://schemas.openxmlformats.org/officeDocument/2006/relationships" ref="Q9" r:id="rId24"/>
    <hyperlink xmlns:r="http://schemas.openxmlformats.org/officeDocument/2006/relationships" ref="C10" r:id="rId25"/>
    <hyperlink xmlns:r="http://schemas.openxmlformats.org/officeDocument/2006/relationships" ref="N10" r:id="rId26"/>
    <hyperlink xmlns:r="http://schemas.openxmlformats.org/officeDocument/2006/relationships" ref="O10" r:id="rId27"/>
    <hyperlink xmlns:r="http://schemas.openxmlformats.org/officeDocument/2006/relationships" ref="Q10" r:id="rId28"/>
    <hyperlink xmlns:r="http://schemas.openxmlformats.org/officeDocument/2006/relationships" ref="C11" r:id="rId29"/>
    <hyperlink xmlns:r="http://schemas.openxmlformats.org/officeDocument/2006/relationships" ref="N11" r:id="rId30"/>
    <hyperlink xmlns:r="http://schemas.openxmlformats.org/officeDocument/2006/relationships" ref="O11" r:id="rId31"/>
    <hyperlink xmlns:r="http://schemas.openxmlformats.org/officeDocument/2006/relationships" ref="Q11" r:id="rId32"/>
    <hyperlink xmlns:r="http://schemas.openxmlformats.org/officeDocument/2006/relationships" ref="C12" r:id="rId33"/>
    <hyperlink xmlns:r="http://schemas.openxmlformats.org/officeDocument/2006/relationships" ref="O12" r:id="rId34"/>
    <hyperlink xmlns:r="http://schemas.openxmlformats.org/officeDocument/2006/relationships" ref="Q12" r:id="rId35"/>
    <hyperlink xmlns:r="http://schemas.openxmlformats.org/officeDocument/2006/relationships" ref="C13" r:id="rId36"/>
    <hyperlink xmlns:r="http://schemas.openxmlformats.org/officeDocument/2006/relationships" ref="N13" r:id="rId37"/>
    <hyperlink xmlns:r="http://schemas.openxmlformats.org/officeDocument/2006/relationships" ref="O13" r:id="rId38"/>
    <hyperlink xmlns:r="http://schemas.openxmlformats.org/officeDocument/2006/relationships" ref="C14" r:id="rId39"/>
    <hyperlink xmlns:r="http://schemas.openxmlformats.org/officeDocument/2006/relationships" ref="N14" r:id="rId40"/>
    <hyperlink xmlns:r="http://schemas.openxmlformats.org/officeDocument/2006/relationships" ref="O14" r:id="rId41"/>
    <hyperlink xmlns:r="http://schemas.openxmlformats.org/officeDocument/2006/relationships" ref="Q14" r:id="rId42"/>
    <hyperlink xmlns:r="http://schemas.openxmlformats.org/officeDocument/2006/relationships" ref="C15" r:id="rId43"/>
    <hyperlink xmlns:r="http://schemas.openxmlformats.org/officeDocument/2006/relationships" ref="N15" r:id="rId44"/>
    <hyperlink xmlns:r="http://schemas.openxmlformats.org/officeDocument/2006/relationships" ref="O15" r:id="rId45"/>
    <hyperlink xmlns:r="http://schemas.openxmlformats.org/officeDocument/2006/relationships" ref="C16" r:id="rId46"/>
    <hyperlink xmlns:r="http://schemas.openxmlformats.org/officeDocument/2006/relationships" ref="O16" r:id="rId47"/>
    <hyperlink xmlns:r="http://schemas.openxmlformats.org/officeDocument/2006/relationships" ref="Q16" r:id="rId48"/>
    <hyperlink xmlns:r="http://schemas.openxmlformats.org/officeDocument/2006/relationships" ref="C17" r:id="rId49"/>
    <hyperlink xmlns:r="http://schemas.openxmlformats.org/officeDocument/2006/relationships" ref="O17" r:id="rId50"/>
    <hyperlink xmlns:r="http://schemas.openxmlformats.org/officeDocument/2006/relationships" ref="Q17" r:id="rId51"/>
    <hyperlink xmlns:r="http://schemas.openxmlformats.org/officeDocument/2006/relationships" ref="C18" r:id="rId52"/>
    <hyperlink xmlns:r="http://schemas.openxmlformats.org/officeDocument/2006/relationships" ref="N18" r:id="rId53"/>
    <hyperlink xmlns:r="http://schemas.openxmlformats.org/officeDocument/2006/relationships" ref="O18" r:id="rId54"/>
    <hyperlink xmlns:r="http://schemas.openxmlformats.org/officeDocument/2006/relationships" ref="C19" r:id="rId55"/>
    <hyperlink xmlns:r="http://schemas.openxmlformats.org/officeDocument/2006/relationships" ref="O19" r:id="rId56"/>
    <hyperlink xmlns:r="http://schemas.openxmlformats.org/officeDocument/2006/relationships" ref="C20" r:id="rId57"/>
    <hyperlink xmlns:r="http://schemas.openxmlformats.org/officeDocument/2006/relationships" ref="N20" r:id="rId58"/>
    <hyperlink xmlns:r="http://schemas.openxmlformats.org/officeDocument/2006/relationships" ref="O20" r:id="rId59"/>
    <hyperlink xmlns:r="http://schemas.openxmlformats.org/officeDocument/2006/relationships" ref="C21" r:id="rId60"/>
    <hyperlink xmlns:r="http://schemas.openxmlformats.org/officeDocument/2006/relationships" ref="N21" r:id="rId61"/>
    <hyperlink xmlns:r="http://schemas.openxmlformats.org/officeDocument/2006/relationships" ref="O21" r:id="rId62"/>
    <hyperlink xmlns:r="http://schemas.openxmlformats.org/officeDocument/2006/relationships" ref="C22" r:id="rId63"/>
    <hyperlink xmlns:r="http://schemas.openxmlformats.org/officeDocument/2006/relationships" ref="N22" r:id="rId64"/>
    <hyperlink xmlns:r="http://schemas.openxmlformats.org/officeDocument/2006/relationships" ref="O22" r:id="rId65"/>
    <hyperlink xmlns:r="http://schemas.openxmlformats.org/officeDocument/2006/relationships" ref="Q22" r:id="rId66"/>
    <hyperlink xmlns:r="http://schemas.openxmlformats.org/officeDocument/2006/relationships" ref="O23" r:id="rId67"/>
    <hyperlink xmlns:r="http://schemas.openxmlformats.org/officeDocument/2006/relationships" ref="O24" r:id="rId68"/>
    <hyperlink xmlns:r="http://schemas.openxmlformats.org/officeDocument/2006/relationships" ref="O25" r:id="rId69"/>
    <hyperlink xmlns:r="http://schemas.openxmlformats.org/officeDocument/2006/relationships" ref="C26" r:id="rId70"/>
    <hyperlink xmlns:r="http://schemas.openxmlformats.org/officeDocument/2006/relationships" ref="N26" r:id="rId71"/>
    <hyperlink xmlns:r="http://schemas.openxmlformats.org/officeDocument/2006/relationships" ref="O26" r:id="rId72"/>
    <hyperlink xmlns:r="http://schemas.openxmlformats.org/officeDocument/2006/relationships" ref="O27" r:id="rId73"/>
    <hyperlink xmlns:r="http://schemas.openxmlformats.org/officeDocument/2006/relationships" ref="C28" r:id="rId74"/>
    <hyperlink xmlns:r="http://schemas.openxmlformats.org/officeDocument/2006/relationships" ref="N28" r:id="rId75"/>
    <hyperlink xmlns:r="http://schemas.openxmlformats.org/officeDocument/2006/relationships" ref="O28" r:id="rId76"/>
    <hyperlink xmlns:r="http://schemas.openxmlformats.org/officeDocument/2006/relationships" ref="Q28" r:id="rId77"/>
    <hyperlink xmlns:r="http://schemas.openxmlformats.org/officeDocument/2006/relationships" ref="C29" r:id="rId78"/>
    <hyperlink xmlns:r="http://schemas.openxmlformats.org/officeDocument/2006/relationships" ref="N29" r:id="rId79"/>
    <hyperlink xmlns:r="http://schemas.openxmlformats.org/officeDocument/2006/relationships" ref="O29" r:id="rId80"/>
    <hyperlink xmlns:r="http://schemas.openxmlformats.org/officeDocument/2006/relationships" ref="Q29" r:id="rId81"/>
    <hyperlink xmlns:r="http://schemas.openxmlformats.org/officeDocument/2006/relationships" ref="C30" r:id="rId82"/>
    <hyperlink xmlns:r="http://schemas.openxmlformats.org/officeDocument/2006/relationships" ref="O30" r:id="rId83"/>
    <hyperlink xmlns:r="http://schemas.openxmlformats.org/officeDocument/2006/relationships" ref="Q30" r:id="rId84"/>
    <hyperlink xmlns:r="http://schemas.openxmlformats.org/officeDocument/2006/relationships" ref="C31" r:id="rId85"/>
    <hyperlink xmlns:r="http://schemas.openxmlformats.org/officeDocument/2006/relationships" ref="N31" r:id="rId86"/>
    <hyperlink xmlns:r="http://schemas.openxmlformats.org/officeDocument/2006/relationships" ref="O31" r:id="rId87"/>
    <hyperlink xmlns:r="http://schemas.openxmlformats.org/officeDocument/2006/relationships" ref="C32" r:id="rId88"/>
    <hyperlink xmlns:r="http://schemas.openxmlformats.org/officeDocument/2006/relationships" ref="N32" r:id="rId89"/>
    <hyperlink xmlns:r="http://schemas.openxmlformats.org/officeDocument/2006/relationships" ref="O32" r:id="rId90"/>
    <hyperlink xmlns:r="http://schemas.openxmlformats.org/officeDocument/2006/relationships" ref="Q32" r:id="rId91"/>
    <hyperlink xmlns:r="http://schemas.openxmlformats.org/officeDocument/2006/relationships" ref="C33" r:id="rId92"/>
    <hyperlink xmlns:r="http://schemas.openxmlformats.org/officeDocument/2006/relationships" ref="N33" r:id="rId93"/>
    <hyperlink xmlns:r="http://schemas.openxmlformats.org/officeDocument/2006/relationships" ref="O33" r:id="rId94"/>
    <hyperlink xmlns:r="http://schemas.openxmlformats.org/officeDocument/2006/relationships" ref="C34" r:id="rId95"/>
    <hyperlink xmlns:r="http://schemas.openxmlformats.org/officeDocument/2006/relationships" ref="N34" r:id="rId96"/>
    <hyperlink xmlns:r="http://schemas.openxmlformats.org/officeDocument/2006/relationships" ref="O34" r:id="rId97"/>
    <hyperlink xmlns:r="http://schemas.openxmlformats.org/officeDocument/2006/relationships" ref="C35" r:id="rId98"/>
    <hyperlink xmlns:r="http://schemas.openxmlformats.org/officeDocument/2006/relationships" ref="N35" r:id="rId99"/>
    <hyperlink xmlns:r="http://schemas.openxmlformats.org/officeDocument/2006/relationships" ref="O35" r:id="rId100"/>
    <hyperlink xmlns:r="http://schemas.openxmlformats.org/officeDocument/2006/relationships" ref="Q35" r:id="rId101"/>
    <hyperlink xmlns:r="http://schemas.openxmlformats.org/officeDocument/2006/relationships" ref="C36" r:id="rId102"/>
    <hyperlink xmlns:r="http://schemas.openxmlformats.org/officeDocument/2006/relationships" ref="N36" r:id="rId103"/>
    <hyperlink xmlns:r="http://schemas.openxmlformats.org/officeDocument/2006/relationships" ref="O36" r:id="rId104"/>
    <hyperlink xmlns:r="http://schemas.openxmlformats.org/officeDocument/2006/relationships" ref="Q36" r:id="rId105"/>
    <hyperlink xmlns:r="http://schemas.openxmlformats.org/officeDocument/2006/relationships" ref="O37" r:id="rId106"/>
    <hyperlink xmlns:r="http://schemas.openxmlformats.org/officeDocument/2006/relationships" ref="C38" r:id="rId107"/>
    <hyperlink xmlns:r="http://schemas.openxmlformats.org/officeDocument/2006/relationships" ref="N38" r:id="rId108"/>
    <hyperlink xmlns:r="http://schemas.openxmlformats.org/officeDocument/2006/relationships" ref="O38" r:id="rId109"/>
    <hyperlink xmlns:r="http://schemas.openxmlformats.org/officeDocument/2006/relationships" ref="Q38" r:id="rId110"/>
    <hyperlink xmlns:r="http://schemas.openxmlformats.org/officeDocument/2006/relationships" ref="C39" r:id="rId111"/>
    <hyperlink xmlns:r="http://schemas.openxmlformats.org/officeDocument/2006/relationships" ref="N39" r:id="rId112"/>
    <hyperlink xmlns:r="http://schemas.openxmlformats.org/officeDocument/2006/relationships" ref="O39" r:id="rId113"/>
    <hyperlink xmlns:r="http://schemas.openxmlformats.org/officeDocument/2006/relationships" ref="Q39" r:id="rId114"/>
    <hyperlink xmlns:r="http://schemas.openxmlformats.org/officeDocument/2006/relationships" ref="O40" r:id="rId115"/>
    <hyperlink xmlns:r="http://schemas.openxmlformats.org/officeDocument/2006/relationships" ref="C41" r:id="rId116"/>
    <hyperlink xmlns:r="http://schemas.openxmlformats.org/officeDocument/2006/relationships" ref="O41" r:id="rId117"/>
    <hyperlink xmlns:r="http://schemas.openxmlformats.org/officeDocument/2006/relationships" ref="Q41" r:id="rId118"/>
    <hyperlink xmlns:r="http://schemas.openxmlformats.org/officeDocument/2006/relationships" ref="C42" r:id="rId119"/>
    <hyperlink xmlns:r="http://schemas.openxmlformats.org/officeDocument/2006/relationships" ref="O42" r:id="rId120"/>
    <hyperlink xmlns:r="http://schemas.openxmlformats.org/officeDocument/2006/relationships" ref="C43" r:id="rId121"/>
    <hyperlink xmlns:r="http://schemas.openxmlformats.org/officeDocument/2006/relationships" ref="N43" r:id="rId122"/>
    <hyperlink xmlns:r="http://schemas.openxmlformats.org/officeDocument/2006/relationships" ref="O43" r:id="rId123"/>
    <hyperlink xmlns:r="http://schemas.openxmlformats.org/officeDocument/2006/relationships" ref="C44" r:id="rId124"/>
    <hyperlink xmlns:r="http://schemas.openxmlformats.org/officeDocument/2006/relationships" ref="O44" r:id="rId125"/>
    <hyperlink xmlns:r="http://schemas.openxmlformats.org/officeDocument/2006/relationships" ref="Q44" r:id="rId126"/>
    <hyperlink xmlns:r="http://schemas.openxmlformats.org/officeDocument/2006/relationships" ref="C45" r:id="rId127"/>
    <hyperlink xmlns:r="http://schemas.openxmlformats.org/officeDocument/2006/relationships" ref="N45" r:id="rId128"/>
    <hyperlink xmlns:r="http://schemas.openxmlformats.org/officeDocument/2006/relationships" ref="O45" r:id="rId129"/>
    <hyperlink xmlns:r="http://schemas.openxmlformats.org/officeDocument/2006/relationships" ref="C46" r:id="rId130"/>
    <hyperlink xmlns:r="http://schemas.openxmlformats.org/officeDocument/2006/relationships" ref="O46" r:id="rId131"/>
    <hyperlink xmlns:r="http://schemas.openxmlformats.org/officeDocument/2006/relationships" ref="C47" r:id="rId132"/>
    <hyperlink xmlns:r="http://schemas.openxmlformats.org/officeDocument/2006/relationships" ref="N47" r:id="rId133"/>
    <hyperlink xmlns:r="http://schemas.openxmlformats.org/officeDocument/2006/relationships" ref="O47" r:id="rId134"/>
    <hyperlink xmlns:r="http://schemas.openxmlformats.org/officeDocument/2006/relationships" ref="C48" r:id="rId135"/>
    <hyperlink xmlns:r="http://schemas.openxmlformats.org/officeDocument/2006/relationships" ref="N48" r:id="rId136"/>
    <hyperlink xmlns:r="http://schemas.openxmlformats.org/officeDocument/2006/relationships" ref="O48" r:id="rId137"/>
    <hyperlink xmlns:r="http://schemas.openxmlformats.org/officeDocument/2006/relationships" ref="Q48" r:id="rId138"/>
    <hyperlink xmlns:r="http://schemas.openxmlformats.org/officeDocument/2006/relationships" ref="C49" r:id="rId139"/>
    <hyperlink xmlns:r="http://schemas.openxmlformats.org/officeDocument/2006/relationships" ref="N49" r:id="rId140"/>
    <hyperlink xmlns:r="http://schemas.openxmlformats.org/officeDocument/2006/relationships" ref="O49" r:id="rId141"/>
    <hyperlink xmlns:r="http://schemas.openxmlformats.org/officeDocument/2006/relationships" ref="Q49" r:id="rId142"/>
    <hyperlink xmlns:r="http://schemas.openxmlformats.org/officeDocument/2006/relationships" ref="C50" r:id="rId143"/>
    <hyperlink xmlns:r="http://schemas.openxmlformats.org/officeDocument/2006/relationships" ref="O50" r:id="rId144"/>
    <hyperlink xmlns:r="http://schemas.openxmlformats.org/officeDocument/2006/relationships" ref="C51" r:id="rId145"/>
    <hyperlink xmlns:r="http://schemas.openxmlformats.org/officeDocument/2006/relationships" ref="N51" r:id="rId146"/>
    <hyperlink xmlns:r="http://schemas.openxmlformats.org/officeDocument/2006/relationships" ref="O51" r:id="rId147"/>
    <hyperlink xmlns:r="http://schemas.openxmlformats.org/officeDocument/2006/relationships" ref="Q51" r:id="rId148"/>
    <hyperlink xmlns:r="http://schemas.openxmlformats.org/officeDocument/2006/relationships" ref="C52" r:id="rId149"/>
    <hyperlink xmlns:r="http://schemas.openxmlformats.org/officeDocument/2006/relationships" ref="N52" r:id="rId150"/>
    <hyperlink xmlns:r="http://schemas.openxmlformats.org/officeDocument/2006/relationships" ref="O52" r:id="rId151"/>
    <hyperlink xmlns:r="http://schemas.openxmlformats.org/officeDocument/2006/relationships" ref="Q52" r:id="rId152"/>
    <hyperlink xmlns:r="http://schemas.openxmlformats.org/officeDocument/2006/relationships" ref="C53" r:id="rId153"/>
    <hyperlink xmlns:r="http://schemas.openxmlformats.org/officeDocument/2006/relationships" ref="N53" r:id="rId154"/>
    <hyperlink xmlns:r="http://schemas.openxmlformats.org/officeDocument/2006/relationships" ref="O53" r:id="rId155"/>
    <hyperlink xmlns:r="http://schemas.openxmlformats.org/officeDocument/2006/relationships" ref="Q53" r:id="rId156"/>
    <hyperlink xmlns:r="http://schemas.openxmlformats.org/officeDocument/2006/relationships" ref="C54" r:id="rId157"/>
    <hyperlink xmlns:r="http://schemas.openxmlformats.org/officeDocument/2006/relationships" ref="O54" r:id="rId158"/>
    <hyperlink xmlns:r="http://schemas.openxmlformats.org/officeDocument/2006/relationships" ref="Q54" r:id="rId159"/>
    <hyperlink xmlns:r="http://schemas.openxmlformats.org/officeDocument/2006/relationships" ref="O55" r:id="rId160"/>
    <hyperlink xmlns:r="http://schemas.openxmlformats.org/officeDocument/2006/relationships" ref="C56" r:id="rId161"/>
    <hyperlink xmlns:r="http://schemas.openxmlformats.org/officeDocument/2006/relationships" ref="N56" r:id="rId162"/>
    <hyperlink xmlns:r="http://schemas.openxmlformats.org/officeDocument/2006/relationships" ref="O56" r:id="rId163"/>
    <hyperlink xmlns:r="http://schemas.openxmlformats.org/officeDocument/2006/relationships" ref="C57" r:id="rId164"/>
    <hyperlink xmlns:r="http://schemas.openxmlformats.org/officeDocument/2006/relationships" ref="N57" r:id="rId165"/>
    <hyperlink xmlns:r="http://schemas.openxmlformats.org/officeDocument/2006/relationships" ref="O57" r:id="rId166"/>
    <hyperlink xmlns:r="http://schemas.openxmlformats.org/officeDocument/2006/relationships" ref="Q57" r:id="rId167"/>
    <hyperlink xmlns:r="http://schemas.openxmlformats.org/officeDocument/2006/relationships" ref="C58" r:id="rId168"/>
    <hyperlink xmlns:r="http://schemas.openxmlformats.org/officeDocument/2006/relationships" ref="O58" r:id="rId169"/>
    <hyperlink xmlns:r="http://schemas.openxmlformats.org/officeDocument/2006/relationships" ref="Q58" r:id="rId170"/>
    <hyperlink xmlns:r="http://schemas.openxmlformats.org/officeDocument/2006/relationships" ref="C59" r:id="rId171"/>
    <hyperlink xmlns:r="http://schemas.openxmlformats.org/officeDocument/2006/relationships" ref="O59" r:id="rId172"/>
    <hyperlink xmlns:r="http://schemas.openxmlformats.org/officeDocument/2006/relationships" ref="Q59" r:id="rId173"/>
    <hyperlink xmlns:r="http://schemas.openxmlformats.org/officeDocument/2006/relationships" ref="N60" r:id="rId174"/>
    <hyperlink xmlns:r="http://schemas.openxmlformats.org/officeDocument/2006/relationships" ref="O60" r:id="rId175"/>
    <hyperlink xmlns:r="http://schemas.openxmlformats.org/officeDocument/2006/relationships" ref="C61" r:id="rId176"/>
    <hyperlink xmlns:r="http://schemas.openxmlformats.org/officeDocument/2006/relationships" ref="N61" r:id="rId177"/>
    <hyperlink xmlns:r="http://schemas.openxmlformats.org/officeDocument/2006/relationships" ref="O61" r:id="rId178"/>
    <hyperlink xmlns:r="http://schemas.openxmlformats.org/officeDocument/2006/relationships" ref="C62" r:id="rId179"/>
    <hyperlink xmlns:r="http://schemas.openxmlformats.org/officeDocument/2006/relationships" ref="N62" r:id="rId180"/>
    <hyperlink xmlns:r="http://schemas.openxmlformats.org/officeDocument/2006/relationships" ref="O62" r:id="rId181"/>
    <hyperlink xmlns:r="http://schemas.openxmlformats.org/officeDocument/2006/relationships" ref="C63" r:id="rId182"/>
    <hyperlink xmlns:r="http://schemas.openxmlformats.org/officeDocument/2006/relationships" ref="O63" r:id="rId183"/>
    <hyperlink xmlns:r="http://schemas.openxmlformats.org/officeDocument/2006/relationships" ref="C64" r:id="rId184"/>
    <hyperlink xmlns:r="http://schemas.openxmlformats.org/officeDocument/2006/relationships" ref="O64" r:id="rId185"/>
    <hyperlink xmlns:r="http://schemas.openxmlformats.org/officeDocument/2006/relationships" ref="Q64" r:id="rId186"/>
    <hyperlink xmlns:r="http://schemas.openxmlformats.org/officeDocument/2006/relationships" ref="C65" r:id="rId187"/>
    <hyperlink xmlns:r="http://schemas.openxmlformats.org/officeDocument/2006/relationships" ref="O65" r:id="rId188"/>
    <hyperlink xmlns:r="http://schemas.openxmlformats.org/officeDocument/2006/relationships" ref="Q65" r:id="rId189"/>
    <hyperlink xmlns:r="http://schemas.openxmlformats.org/officeDocument/2006/relationships" ref="C66" r:id="rId190"/>
    <hyperlink xmlns:r="http://schemas.openxmlformats.org/officeDocument/2006/relationships" ref="O66" r:id="rId191"/>
    <hyperlink xmlns:r="http://schemas.openxmlformats.org/officeDocument/2006/relationships" ref="Q66" r:id="rId192"/>
    <hyperlink xmlns:r="http://schemas.openxmlformats.org/officeDocument/2006/relationships" ref="C67" r:id="rId193"/>
    <hyperlink xmlns:r="http://schemas.openxmlformats.org/officeDocument/2006/relationships" ref="O67" r:id="rId194"/>
    <hyperlink xmlns:r="http://schemas.openxmlformats.org/officeDocument/2006/relationships" ref="C68" r:id="rId195"/>
    <hyperlink xmlns:r="http://schemas.openxmlformats.org/officeDocument/2006/relationships" ref="O68" r:id="rId196"/>
    <hyperlink xmlns:r="http://schemas.openxmlformats.org/officeDocument/2006/relationships" ref="C69" r:id="rId197"/>
    <hyperlink xmlns:r="http://schemas.openxmlformats.org/officeDocument/2006/relationships" ref="O69" r:id="rId198"/>
    <hyperlink xmlns:r="http://schemas.openxmlformats.org/officeDocument/2006/relationships" ref="C70" r:id="rId199"/>
    <hyperlink xmlns:r="http://schemas.openxmlformats.org/officeDocument/2006/relationships" ref="O70" r:id="rId200"/>
    <hyperlink xmlns:r="http://schemas.openxmlformats.org/officeDocument/2006/relationships" ref="O71" r:id="rId201"/>
    <hyperlink xmlns:r="http://schemas.openxmlformats.org/officeDocument/2006/relationships" ref="C72" r:id="rId202"/>
    <hyperlink xmlns:r="http://schemas.openxmlformats.org/officeDocument/2006/relationships" ref="O72" r:id="rId203"/>
    <hyperlink xmlns:r="http://schemas.openxmlformats.org/officeDocument/2006/relationships" ref="Q72" r:id="rId204"/>
    <hyperlink xmlns:r="http://schemas.openxmlformats.org/officeDocument/2006/relationships" ref="C73" r:id="rId205"/>
    <hyperlink xmlns:r="http://schemas.openxmlformats.org/officeDocument/2006/relationships" ref="N73" r:id="rId206"/>
    <hyperlink xmlns:r="http://schemas.openxmlformats.org/officeDocument/2006/relationships" ref="O73" r:id="rId207"/>
    <hyperlink xmlns:r="http://schemas.openxmlformats.org/officeDocument/2006/relationships" ref="Q73" r:id="rId208"/>
    <hyperlink xmlns:r="http://schemas.openxmlformats.org/officeDocument/2006/relationships" ref="C74" r:id="rId209"/>
    <hyperlink xmlns:r="http://schemas.openxmlformats.org/officeDocument/2006/relationships" ref="O74" r:id="rId210"/>
    <hyperlink xmlns:r="http://schemas.openxmlformats.org/officeDocument/2006/relationships" ref="Q74" r:id="rId211"/>
    <hyperlink xmlns:r="http://schemas.openxmlformats.org/officeDocument/2006/relationships" ref="O75" r:id="rId212"/>
    <hyperlink xmlns:r="http://schemas.openxmlformats.org/officeDocument/2006/relationships" ref="Q75" r:id="rId213"/>
    <hyperlink xmlns:r="http://schemas.openxmlformats.org/officeDocument/2006/relationships" ref="C76" r:id="rId214"/>
    <hyperlink xmlns:r="http://schemas.openxmlformats.org/officeDocument/2006/relationships" ref="N76" r:id="rId215"/>
    <hyperlink xmlns:r="http://schemas.openxmlformats.org/officeDocument/2006/relationships" ref="O76" r:id="rId216"/>
    <hyperlink xmlns:r="http://schemas.openxmlformats.org/officeDocument/2006/relationships" ref="O77" r:id="rId217"/>
    <hyperlink xmlns:r="http://schemas.openxmlformats.org/officeDocument/2006/relationships" ref="C78" r:id="rId218"/>
    <hyperlink xmlns:r="http://schemas.openxmlformats.org/officeDocument/2006/relationships" ref="O78" r:id="rId219"/>
    <hyperlink xmlns:r="http://schemas.openxmlformats.org/officeDocument/2006/relationships" ref="Q78" r:id="rId220"/>
    <hyperlink xmlns:r="http://schemas.openxmlformats.org/officeDocument/2006/relationships" ref="C79" r:id="rId221"/>
    <hyperlink xmlns:r="http://schemas.openxmlformats.org/officeDocument/2006/relationships" ref="N79" r:id="rId222"/>
    <hyperlink xmlns:r="http://schemas.openxmlformats.org/officeDocument/2006/relationships" ref="O79" r:id="rId223"/>
    <hyperlink xmlns:r="http://schemas.openxmlformats.org/officeDocument/2006/relationships" ref="C80" r:id="rId224"/>
    <hyperlink xmlns:r="http://schemas.openxmlformats.org/officeDocument/2006/relationships" ref="N80" r:id="rId225"/>
    <hyperlink xmlns:r="http://schemas.openxmlformats.org/officeDocument/2006/relationships" ref="O80" r:id="rId226"/>
    <hyperlink xmlns:r="http://schemas.openxmlformats.org/officeDocument/2006/relationships" ref="C81" r:id="rId227"/>
    <hyperlink xmlns:r="http://schemas.openxmlformats.org/officeDocument/2006/relationships" ref="O81" r:id="rId228"/>
    <hyperlink xmlns:r="http://schemas.openxmlformats.org/officeDocument/2006/relationships" ref="C82" r:id="rId229"/>
    <hyperlink xmlns:r="http://schemas.openxmlformats.org/officeDocument/2006/relationships" ref="O82" r:id="rId230"/>
    <hyperlink xmlns:r="http://schemas.openxmlformats.org/officeDocument/2006/relationships" ref="C83" r:id="rId231"/>
    <hyperlink xmlns:r="http://schemas.openxmlformats.org/officeDocument/2006/relationships" ref="N83" r:id="rId232"/>
    <hyperlink xmlns:r="http://schemas.openxmlformats.org/officeDocument/2006/relationships" ref="O83" r:id="rId233"/>
    <hyperlink xmlns:r="http://schemas.openxmlformats.org/officeDocument/2006/relationships" ref="Q83" r:id="rId234"/>
    <hyperlink xmlns:r="http://schemas.openxmlformats.org/officeDocument/2006/relationships" ref="C84" r:id="rId235"/>
    <hyperlink xmlns:r="http://schemas.openxmlformats.org/officeDocument/2006/relationships" ref="N84" r:id="rId236"/>
    <hyperlink xmlns:r="http://schemas.openxmlformats.org/officeDocument/2006/relationships" ref="O84" r:id="rId237"/>
    <hyperlink xmlns:r="http://schemas.openxmlformats.org/officeDocument/2006/relationships" ref="Q84" r:id="rId238"/>
    <hyperlink xmlns:r="http://schemas.openxmlformats.org/officeDocument/2006/relationships" ref="C85" r:id="rId239"/>
    <hyperlink xmlns:r="http://schemas.openxmlformats.org/officeDocument/2006/relationships" ref="N85" r:id="rId240"/>
    <hyperlink xmlns:r="http://schemas.openxmlformats.org/officeDocument/2006/relationships" ref="O85" r:id="rId241"/>
    <hyperlink xmlns:r="http://schemas.openxmlformats.org/officeDocument/2006/relationships" ref="C86" r:id="rId242"/>
    <hyperlink xmlns:r="http://schemas.openxmlformats.org/officeDocument/2006/relationships" ref="N86" r:id="rId243"/>
    <hyperlink xmlns:r="http://schemas.openxmlformats.org/officeDocument/2006/relationships" ref="O86" r:id="rId244"/>
    <hyperlink xmlns:r="http://schemas.openxmlformats.org/officeDocument/2006/relationships" ref="Q86" r:id="rId245"/>
    <hyperlink xmlns:r="http://schemas.openxmlformats.org/officeDocument/2006/relationships" ref="C87" r:id="rId246"/>
    <hyperlink xmlns:r="http://schemas.openxmlformats.org/officeDocument/2006/relationships" ref="O87" r:id="rId247"/>
    <hyperlink xmlns:r="http://schemas.openxmlformats.org/officeDocument/2006/relationships" ref="C88" r:id="rId248"/>
    <hyperlink xmlns:r="http://schemas.openxmlformats.org/officeDocument/2006/relationships" ref="O88" r:id="rId249"/>
    <hyperlink xmlns:r="http://schemas.openxmlformats.org/officeDocument/2006/relationships" ref="Q88" r:id="rId250"/>
    <hyperlink xmlns:r="http://schemas.openxmlformats.org/officeDocument/2006/relationships" ref="C89" r:id="rId251"/>
    <hyperlink xmlns:r="http://schemas.openxmlformats.org/officeDocument/2006/relationships" ref="O89" r:id="rId252"/>
    <hyperlink xmlns:r="http://schemas.openxmlformats.org/officeDocument/2006/relationships" ref="Q89" r:id="rId253"/>
    <hyperlink xmlns:r="http://schemas.openxmlformats.org/officeDocument/2006/relationships" ref="C90" r:id="rId254"/>
    <hyperlink xmlns:r="http://schemas.openxmlformats.org/officeDocument/2006/relationships" ref="O90" r:id="rId255"/>
    <hyperlink xmlns:r="http://schemas.openxmlformats.org/officeDocument/2006/relationships" ref="C91" r:id="rId256"/>
    <hyperlink xmlns:r="http://schemas.openxmlformats.org/officeDocument/2006/relationships" ref="N91" r:id="rId257"/>
    <hyperlink xmlns:r="http://schemas.openxmlformats.org/officeDocument/2006/relationships" ref="O91" r:id="rId258"/>
    <hyperlink xmlns:r="http://schemas.openxmlformats.org/officeDocument/2006/relationships" ref="C92" r:id="rId259"/>
    <hyperlink xmlns:r="http://schemas.openxmlformats.org/officeDocument/2006/relationships" ref="N92" r:id="rId260"/>
    <hyperlink xmlns:r="http://schemas.openxmlformats.org/officeDocument/2006/relationships" ref="O92" r:id="rId261"/>
    <hyperlink xmlns:r="http://schemas.openxmlformats.org/officeDocument/2006/relationships" ref="Q92" r:id="rId262"/>
    <hyperlink xmlns:r="http://schemas.openxmlformats.org/officeDocument/2006/relationships" ref="O93" r:id="rId263"/>
    <hyperlink xmlns:r="http://schemas.openxmlformats.org/officeDocument/2006/relationships" ref="Q93" r:id="rId264"/>
    <hyperlink xmlns:r="http://schemas.openxmlformats.org/officeDocument/2006/relationships" ref="C94" r:id="rId265"/>
    <hyperlink xmlns:r="http://schemas.openxmlformats.org/officeDocument/2006/relationships" ref="O94" r:id="rId266"/>
    <hyperlink xmlns:r="http://schemas.openxmlformats.org/officeDocument/2006/relationships" ref="Q94" r:id="rId267"/>
    <hyperlink xmlns:r="http://schemas.openxmlformats.org/officeDocument/2006/relationships" ref="C95" r:id="rId268"/>
    <hyperlink xmlns:r="http://schemas.openxmlformats.org/officeDocument/2006/relationships" ref="N95" r:id="rId269"/>
    <hyperlink xmlns:r="http://schemas.openxmlformats.org/officeDocument/2006/relationships" ref="O95" r:id="rId270"/>
    <hyperlink xmlns:r="http://schemas.openxmlformats.org/officeDocument/2006/relationships" ref="Q95" r:id="rId271"/>
    <hyperlink xmlns:r="http://schemas.openxmlformats.org/officeDocument/2006/relationships" ref="C96" r:id="rId272"/>
    <hyperlink xmlns:r="http://schemas.openxmlformats.org/officeDocument/2006/relationships" ref="N96" r:id="rId273"/>
    <hyperlink xmlns:r="http://schemas.openxmlformats.org/officeDocument/2006/relationships" ref="O96" r:id="rId274"/>
    <hyperlink xmlns:r="http://schemas.openxmlformats.org/officeDocument/2006/relationships" ref="Q96" r:id="rId275"/>
    <hyperlink xmlns:r="http://schemas.openxmlformats.org/officeDocument/2006/relationships" ref="C97" r:id="rId276"/>
    <hyperlink xmlns:r="http://schemas.openxmlformats.org/officeDocument/2006/relationships" ref="N97" r:id="rId277"/>
    <hyperlink xmlns:r="http://schemas.openxmlformats.org/officeDocument/2006/relationships" ref="O97" r:id="rId278"/>
    <hyperlink xmlns:r="http://schemas.openxmlformats.org/officeDocument/2006/relationships" ref="Q97" r:id="rId279"/>
    <hyperlink xmlns:r="http://schemas.openxmlformats.org/officeDocument/2006/relationships" ref="C98" r:id="rId280"/>
    <hyperlink xmlns:r="http://schemas.openxmlformats.org/officeDocument/2006/relationships" ref="N98" r:id="rId281"/>
    <hyperlink xmlns:r="http://schemas.openxmlformats.org/officeDocument/2006/relationships" ref="O98" r:id="rId282"/>
    <hyperlink xmlns:r="http://schemas.openxmlformats.org/officeDocument/2006/relationships" ref="Q98" r:id="rId283"/>
    <hyperlink xmlns:r="http://schemas.openxmlformats.org/officeDocument/2006/relationships" ref="C99" r:id="rId284"/>
    <hyperlink xmlns:r="http://schemas.openxmlformats.org/officeDocument/2006/relationships" ref="N99" r:id="rId285"/>
    <hyperlink xmlns:r="http://schemas.openxmlformats.org/officeDocument/2006/relationships" ref="O99" r:id="rId286"/>
    <hyperlink xmlns:r="http://schemas.openxmlformats.org/officeDocument/2006/relationships" ref="Q99" r:id="rId287"/>
    <hyperlink xmlns:r="http://schemas.openxmlformats.org/officeDocument/2006/relationships" ref="C100" r:id="rId288"/>
    <hyperlink xmlns:r="http://schemas.openxmlformats.org/officeDocument/2006/relationships" ref="N100" r:id="rId289"/>
    <hyperlink xmlns:r="http://schemas.openxmlformats.org/officeDocument/2006/relationships" ref="O100" r:id="rId290"/>
    <hyperlink xmlns:r="http://schemas.openxmlformats.org/officeDocument/2006/relationships" ref="C101" r:id="rId291"/>
    <hyperlink xmlns:r="http://schemas.openxmlformats.org/officeDocument/2006/relationships" ref="O101" r:id="rId292"/>
    <hyperlink xmlns:r="http://schemas.openxmlformats.org/officeDocument/2006/relationships" ref="C102" r:id="rId293"/>
    <hyperlink xmlns:r="http://schemas.openxmlformats.org/officeDocument/2006/relationships" ref="N102" r:id="rId294"/>
    <hyperlink xmlns:r="http://schemas.openxmlformats.org/officeDocument/2006/relationships" ref="O102" r:id="rId295"/>
    <hyperlink xmlns:r="http://schemas.openxmlformats.org/officeDocument/2006/relationships" ref="Q102" r:id="rId296"/>
    <hyperlink xmlns:r="http://schemas.openxmlformats.org/officeDocument/2006/relationships" ref="C103" r:id="rId297"/>
    <hyperlink xmlns:r="http://schemas.openxmlformats.org/officeDocument/2006/relationships" ref="N103" r:id="rId298"/>
    <hyperlink xmlns:r="http://schemas.openxmlformats.org/officeDocument/2006/relationships" ref="O103" r:id="rId299"/>
    <hyperlink xmlns:r="http://schemas.openxmlformats.org/officeDocument/2006/relationships" ref="Q103" r:id="rId300"/>
    <hyperlink xmlns:r="http://schemas.openxmlformats.org/officeDocument/2006/relationships" ref="C104" r:id="rId301"/>
    <hyperlink xmlns:r="http://schemas.openxmlformats.org/officeDocument/2006/relationships" ref="N104" r:id="rId302"/>
    <hyperlink xmlns:r="http://schemas.openxmlformats.org/officeDocument/2006/relationships" ref="O104" r:id="rId303"/>
    <hyperlink xmlns:r="http://schemas.openxmlformats.org/officeDocument/2006/relationships" ref="Q104" r:id="rId304"/>
    <hyperlink xmlns:r="http://schemas.openxmlformats.org/officeDocument/2006/relationships" ref="C105" r:id="rId305"/>
    <hyperlink xmlns:r="http://schemas.openxmlformats.org/officeDocument/2006/relationships" ref="O105" r:id="rId306"/>
    <hyperlink xmlns:r="http://schemas.openxmlformats.org/officeDocument/2006/relationships" ref="C106" r:id="rId307"/>
    <hyperlink xmlns:r="http://schemas.openxmlformats.org/officeDocument/2006/relationships" ref="N106" r:id="rId308"/>
    <hyperlink xmlns:r="http://schemas.openxmlformats.org/officeDocument/2006/relationships" ref="O106" r:id="rId309"/>
    <hyperlink xmlns:r="http://schemas.openxmlformats.org/officeDocument/2006/relationships" ref="C107" r:id="rId310"/>
    <hyperlink xmlns:r="http://schemas.openxmlformats.org/officeDocument/2006/relationships" ref="N107" r:id="rId311"/>
    <hyperlink xmlns:r="http://schemas.openxmlformats.org/officeDocument/2006/relationships" ref="O107" r:id="rId312"/>
    <hyperlink xmlns:r="http://schemas.openxmlformats.org/officeDocument/2006/relationships" ref="C108" r:id="rId313"/>
    <hyperlink xmlns:r="http://schemas.openxmlformats.org/officeDocument/2006/relationships" ref="O108" r:id="rId314"/>
    <hyperlink xmlns:r="http://schemas.openxmlformats.org/officeDocument/2006/relationships" ref="O109" r:id="rId315"/>
    <hyperlink xmlns:r="http://schemas.openxmlformats.org/officeDocument/2006/relationships" ref="Q109" r:id="rId316"/>
    <hyperlink xmlns:r="http://schemas.openxmlformats.org/officeDocument/2006/relationships" ref="C110" r:id="rId317"/>
    <hyperlink xmlns:r="http://schemas.openxmlformats.org/officeDocument/2006/relationships" ref="N110" r:id="rId318"/>
    <hyperlink xmlns:r="http://schemas.openxmlformats.org/officeDocument/2006/relationships" ref="O110" r:id="rId319"/>
    <hyperlink xmlns:r="http://schemas.openxmlformats.org/officeDocument/2006/relationships" ref="C111" r:id="rId320"/>
    <hyperlink xmlns:r="http://schemas.openxmlformats.org/officeDocument/2006/relationships" ref="O111" r:id="rId321"/>
    <hyperlink xmlns:r="http://schemas.openxmlformats.org/officeDocument/2006/relationships" ref="Q111" r:id="rId322"/>
    <hyperlink xmlns:r="http://schemas.openxmlformats.org/officeDocument/2006/relationships" ref="C112" r:id="rId323"/>
    <hyperlink xmlns:r="http://schemas.openxmlformats.org/officeDocument/2006/relationships" ref="N112" r:id="rId324"/>
    <hyperlink xmlns:r="http://schemas.openxmlformats.org/officeDocument/2006/relationships" ref="O112" r:id="rId325"/>
    <hyperlink xmlns:r="http://schemas.openxmlformats.org/officeDocument/2006/relationships" ref="Q112" r:id="rId326"/>
    <hyperlink xmlns:r="http://schemas.openxmlformats.org/officeDocument/2006/relationships" ref="C113" r:id="rId327"/>
    <hyperlink xmlns:r="http://schemas.openxmlformats.org/officeDocument/2006/relationships" ref="O113" r:id="rId328"/>
    <hyperlink xmlns:r="http://schemas.openxmlformats.org/officeDocument/2006/relationships" ref="O114" r:id="rId329"/>
    <hyperlink xmlns:r="http://schemas.openxmlformats.org/officeDocument/2006/relationships" ref="C115" r:id="rId330"/>
    <hyperlink xmlns:r="http://schemas.openxmlformats.org/officeDocument/2006/relationships" ref="O115" r:id="rId331"/>
    <hyperlink xmlns:r="http://schemas.openxmlformats.org/officeDocument/2006/relationships" ref="C116" r:id="rId332"/>
    <hyperlink xmlns:r="http://schemas.openxmlformats.org/officeDocument/2006/relationships" ref="O116" r:id="rId333"/>
    <hyperlink xmlns:r="http://schemas.openxmlformats.org/officeDocument/2006/relationships" ref="Q116" r:id="rId334"/>
    <hyperlink xmlns:r="http://schemas.openxmlformats.org/officeDocument/2006/relationships" ref="C117" r:id="rId335"/>
    <hyperlink xmlns:r="http://schemas.openxmlformats.org/officeDocument/2006/relationships" ref="O117" r:id="rId336"/>
    <hyperlink xmlns:r="http://schemas.openxmlformats.org/officeDocument/2006/relationships" ref="Q117" r:id="rId337"/>
    <hyperlink xmlns:r="http://schemas.openxmlformats.org/officeDocument/2006/relationships" ref="O118" r:id="rId338"/>
    <hyperlink xmlns:r="http://schemas.openxmlformats.org/officeDocument/2006/relationships" ref="O119" r:id="rId339"/>
    <hyperlink xmlns:r="http://schemas.openxmlformats.org/officeDocument/2006/relationships" ref="C120" r:id="rId340"/>
    <hyperlink xmlns:r="http://schemas.openxmlformats.org/officeDocument/2006/relationships" ref="O120" r:id="rId341"/>
    <hyperlink xmlns:r="http://schemas.openxmlformats.org/officeDocument/2006/relationships" ref="Q120" r:id="rId342"/>
    <hyperlink xmlns:r="http://schemas.openxmlformats.org/officeDocument/2006/relationships" ref="C121" r:id="rId343"/>
    <hyperlink xmlns:r="http://schemas.openxmlformats.org/officeDocument/2006/relationships" ref="O121" r:id="rId344"/>
    <hyperlink xmlns:r="http://schemas.openxmlformats.org/officeDocument/2006/relationships" ref="Q121" r:id="rId345"/>
    <hyperlink xmlns:r="http://schemas.openxmlformats.org/officeDocument/2006/relationships" ref="C122" r:id="rId346"/>
    <hyperlink xmlns:r="http://schemas.openxmlformats.org/officeDocument/2006/relationships" ref="O122" r:id="rId347"/>
    <hyperlink xmlns:r="http://schemas.openxmlformats.org/officeDocument/2006/relationships" ref="C123" r:id="rId348"/>
    <hyperlink xmlns:r="http://schemas.openxmlformats.org/officeDocument/2006/relationships" ref="O123" r:id="rId349"/>
    <hyperlink xmlns:r="http://schemas.openxmlformats.org/officeDocument/2006/relationships" ref="Q123" r:id="rId350"/>
    <hyperlink xmlns:r="http://schemas.openxmlformats.org/officeDocument/2006/relationships" ref="C124" r:id="rId351"/>
    <hyperlink xmlns:r="http://schemas.openxmlformats.org/officeDocument/2006/relationships" ref="N124" r:id="rId352"/>
    <hyperlink xmlns:r="http://schemas.openxmlformats.org/officeDocument/2006/relationships" ref="O124" r:id="rId353"/>
    <hyperlink xmlns:r="http://schemas.openxmlformats.org/officeDocument/2006/relationships" ref="Q124" r:id="rId354"/>
    <hyperlink xmlns:r="http://schemas.openxmlformats.org/officeDocument/2006/relationships" ref="C125" r:id="rId355"/>
    <hyperlink xmlns:r="http://schemas.openxmlformats.org/officeDocument/2006/relationships" ref="N125" r:id="rId356"/>
    <hyperlink xmlns:r="http://schemas.openxmlformats.org/officeDocument/2006/relationships" ref="O125" r:id="rId357"/>
    <hyperlink xmlns:r="http://schemas.openxmlformats.org/officeDocument/2006/relationships" ref="C126" r:id="rId358"/>
    <hyperlink xmlns:r="http://schemas.openxmlformats.org/officeDocument/2006/relationships" ref="O126" r:id="rId359"/>
    <hyperlink xmlns:r="http://schemas.openxmlformats.org/officeDocument/2006/relationships" ref="Q126" r:id="rId360"/>
    <hyperlink xmlns:r="http://schemas.openxmlformats.org/officeDocument/2006/relationships" ref="O127" r:id="rId361"/>
    <hyperlink xmlns:r="http://schemas.openxmlformats.org/officeDocument/2006/relationships" ref="C128" r:id="rId362"/>
    <hyperlink xmlns:r="http://schemas.openxmlformats.org/officeDocument/2006/relationships" ref="N128" r:id="rId363"/>
    <hyperlink xmlns:r="http://schemas.openxmlformats.org/officeDocument/2006/relationships" ref="O128" r:id="rId364"/>
    <hyperlink xmlns:r="http://schemas.openxmlformats.org/officeDocument/2006/relationships" ref="Q128" r:id="rId365"/>
    <hyperlink xmlns:r="http://schemas.openxmlformats.org/officeDocument/2006/relationships" ref="C129" r:id="rId366"/>
    <hyperlink xmlns:r="http://schemas.openxmlformats.org/officeDocument/2006/relationships" ref="N129" r:id="rId367"/>
    <hyperlink xmlns:r="http://schemas.openxmlformats.org/officeDocument/2006/relationships" ref="O129" r:id="rId368"/>
    <hyperlink xmlns:r="http://schemas.openxmlformats.org/officeDocument/2006/relationships" ref="Q129" r:id="rId369"/>
    <hyperlink xmlns:r="http://schemas.openxmlformats.org/officeDocument/2006/relationships" ref="C130" r:id="rId370"/>
    <hyperlink xmlns:r="http://schemas.openxmlformats.org/officeDocument/2006/relationships" ref="N130" r:id="rId371"/>
    <hyperlink xmlns:r="http://schemas.openxmlformats.org/officeDocument/2006/relationships" ref="O130" r:id="rId372"/>
    <hyperlink xmlns:r="http://schemas.openxmlformats.org/officeDocument/2006/relationships" ref="Q130" r:id="rId373"/>
    <hyperlink xmlns:r="http://schemas.openxmlformats.org/officeDocument/2006/relationships" ref="C131" r:id="rId374"/>
    <hyperlink xmlns:r="http://schemas.openxmlformats.org/officeDocument/2006/relationships" ref="N131" r:id="rId375"/>
    <hyperlink xmlns:r="http://schemas.openxmlformats.org/officeDocument/2006/relationships" ref="O131" r:id="rId376"/>
    <hyperlink xmlns:r="http://schemas.openxmlformats.org/officeDocument/2006/relationships" ref="Q131" r:id="rId377"/>
    <hyperlink xmlns:r="http://schemas.openxmlformats.org/officeDocument/2006/relationships" ref="C132" r:id="rId378"/>
    <hyperlink xmlns:r="http://schemas.openxmlformats.org/officeDocument/2006/relationships" ref="O132" r:id="rId379"/>
    <hyperlink xmlns:r="http://schemas.openxmlformats.org/officeDocument/2006/relationships" ref="Q132" r:id="rId380"/>
    <hyperlink xmlns:r="http://schemas.openxmlformats.org/officeDocument/2006/relationships" ref="O133" r:id="rId381"/>
    <hyperlink xmlns:r="http://schemas.openxmlformats.org/officeDocument/2006/relationships" ref="C134" r:id="rId382"/>
    <hyperlink xmlns:r="http://schemas.openxmlformats.org/officeDocument/2006/relationships" ref="N134" r:id="rId383"/>
    <hyperlink xmlns:r="http://schemas.openxmlformats.org/officeDocument/2006/relationships" ref="O134" r:id="rId384"/>
    <hyperlink xmlns:r="http://schemas.openxmlformats.org/officeDocument/2006/relationships" ref="C135" r:id="rId385"/>
    <hyperlink xmlns:r="http://schemas.openxmlformats.org/officeDocument/2006/relationships" ref="O135" r:id="rId386"/>
    <hyperlink xmlns:r="http://schemas.openxmlformats.org/officeDocument/2006/relationships" ref="Q135" r:id="rId387"/>
    <hyperlink xmlns:r="http://schemas.openxmlformats.org/officeDocument/2006/relationships" ref="C136" r:id="rId388"/>
    <hyperlink xmlns:r="http://schemas.openxmlformats.org/officeDocument/2006/relationships" ref="N136" r:id="rId389"/>
    <hyperlink xmlns:r="http://schemas.openxmlformats.org/officeDocument/2006/relationships" ref="O136" r:id="rId390"/>
    <hyperlink xmlns:r="http://schemas.openxmlformats.org/officeDocument/2006/relationships" ref="Q136" r:id="rId391"/>
    <hyperlink xmlns:r="http://schemas.openxmlformats.org/officeDocument/2006/relationships" ref="C137" r:id="rId392"/>
    <hyperlink xmlns:r="http://schemas.openxmlformats.org/officeDocument/2006/relationships" ref="O137" r:id="rId393"/>
    <hyperlink xmlns:r="http://schemas.openxmlformats.org/officeDocument/2006/relationships" ref="O138" r:id="rId394"/>
    <hyperlink xmlns:r="http://schemas.openxmlformats.org/officeDocument/2006/relationships" ref="C139" r:id="rId395"/>
    <hyperlink xmlns:r="http://schemas.openxmlformats.org/officeDocument/2006/relationships" ref="O139" r:id="rId396"/>
    <hyperlink xmlns:r="http://schemas.openxmlformats.org/officeDocument/2006/relationships" ref="Q139" r:id="rId397"/>
    <hyperlink xmlns:r="http://schemas.openxmlformats.org/officeDocument/2006/relationships" ref="O140" r:id="rId398"/>
    <hyperlink xmlns:r="http://schemas.openxmlformats.org/officeDocument/2006/relationships" ref="C141" r:id="rId399"/>
    <hyperlink xmlns:r="http://schemas.openxmlformats.org/officeDocument/2006/relationships" ref="O141" r:id="rId400"/>
    <hyperlink xmlns:r="http://schemas.openxmlformats.org/officeDocument/2006/relationships" ref="Q141" r:id="rId401"/>
    <hyperlink xmlns:r="http://schemas.openxmlformats.org/officeDocument/2006/relationships" ref="C142" r:id="rId402"/>
    <hyperlink xmlns:r="http://schemas.openxmlformats.org/officeDocument/2006/relationships" ref="O142" r:id="rId403"/>
    <hyperlink xmlns:r="http://schemas.openxmlformats.org/officeDocument/2006/relationships" ref="Q142" r:id="rId404"/>
    <hyperlink xmlns:r="http://schemas.openxmlformats.org/officeDocument/2006/relationships" ref="O143" r:id="rId405"/>
    <hyperlink xmlns:r="http://schemas.openxmlformats.org/officeDocument/2006/relationships" ref="O144" r:id="rId406"/>
    <hyperlink xmlns:r="http://schemas.openxmlformats.org/officeDocument/2006/relationships" ref="O145" r:id="rId407"/>
    <hyperlink xmlns:r="http://schemas.openxmlformats.org/officeDocument/2006/relationships" ref="C146" r:id="rId408"/>
    <hyperlink xmlns:r="http://schemas.openxmlformats.org/officeDocument/2006/relationships" ref="O146" r:id="rId409"/>
    <hyperlink xmlns:r="http://schemas.openxmlformats.org/officeDocument/2006/relationships" ref="Q146" r:id="rId410"/>
    <hyperlink xmlns:r="http://schemas.openxmlformats.org/officeDocument/2006/relationships" ref="C147" r:id="rId411"/>
    <hyperlink xmlns:r="http://schemas.openxmlformats.org/officeDocument/2006/relationships" ref="O147" r:id="rId412"/>
    <hyperlink xmlns:r="http://schemas.openxmlformats.org/officeDocument/2006/relationships" ref="C148" r:id="rId413"/>
    <hyperlink xmlns:r="http://schemas.openxmlformats.org/officeDocument/2006/relationships" ref="O148" r:id="rId414"/>
    <hyperlink xmlns:r="http://schemas.openxmlformats.org/officeDocument/2006/relationships" ref="C149" r:id="rId415"/>
    <hyperlink xmlns:r="http://schemas.openxmlformats.org/officeDocument/2006/relationships" ref="O149" r:id="rId416"/>
    <hyperlink xmlns:r="http://schemas.openxmlformats.org/officeDocument/2006/relationships" ref="Q149" r:id="rId417"/>
    <hyperlink xmlns:r="http://schemas.openxmlformats.org/officeDocument/2006/relationships" ref="O150" r:id="rId418"/>
    <hyperlink xmlns:r="http://schemas.openxmlformats.org/officeDocument/2006/relationships" ref="C151" r:id="rId419"/>
    <hyperlink xmlns:r="http://schemas.openxmlformats.org/officeDocument/2006/relationships" ref="O151" r:id="rId420"/>
    <hyperlink xmlns:r="http://schemas.openxmlformats.org/officeDocument/2006/relationships" ref="C152" r:id="rId421"/>
    <hyperlink xmlns:r="http://schemas.openxmlformats.org/officeDocument/2006/relationships" ref="N152" r:id="rId422"/>
    <hyperlink xmlns:r="http://schemas.openxmlformats.org/officeDocument/2006/relationships" ref="O152" r:id="rId423"/>
    <hyperlink xmlns:r="http://schemas.openxmlformats.org/officeDocument/2006/relationships" ref="Q152" r:id="rId424"/>
    <hyperlink xmlns:r="http://schemas.openxmlformats.org/officeDocument/2006/relationships" ref="C153" r:id="rId425"/>
    <hyperlink xmlns:r="http://schemas.openxmlformats.org/officeDocument/2006/relationships" ref="O153" r:id="rId426"/>
    <hyperlink xmlns:r="http://schemas.openxmlformats.org/officeDocument/2006/relationships" ref="C154" r:id="rId427"/>
    <hyperlink xmlns:r="http://schemas.openxmlformats.org/officeDocument/2006/relationships" ref="N154" r:id="rId428"/>
    <hyperlink xmlns:r="http://schemas.openxmlformats.org/officeDocument/2006/relationships" ref="O154" r:id="rId429"/>
    <hyperlink xmlns:r="http://schemas.openxmlformats.org/officeDocument/2006/relationships" ref="Q154" r:id="rId430"/>
    <hyperlink xmlns:r="http://schemas.openxmlformats.org/officeDocument/2006/relationships" ref="C155" r:id="rId431"/>
    <hyperlink xmlns:r="http://schemas.openxmlformats.org/officeDocument/2006/relationships" ref="O155" r:id="rId432"/>
    <hyperlink xmlns:r="http://schemas.openxmlformats.org/officeDocument/2006/relationships" ref="C156" r:id="rId433"/>
    <hyperlink xmlns:r="http://schemas.openxmlformats.org/officeDocument/2006/relationships" ref="N156" r:id="rId434"/>
    <hyperlink xmlns:r="http://schemas.openxmlformats.org/officeDocument/2006/relationships" ref="O156" r:id="rId435"/>
    <hyperlink xmlns:r="http://schemas.openxmlformats.org/officeDocument/2006/relationships" ref="Q156" r:id="rId436"/>
    <hyperlink xmlns:r="http://schemas.openxmlformats.org/officeDocument/2006/relationships" ref="O157" r:id="rId437"/>
    <hyperlink xmlns:r="http://schemas.openxmlformats.org/officeDocument/2006/relationships" ref="C158" r:id="rId438"/>
    <hyperlink xmlns:r="http://schemas.openxmlformats.org/officeDocument/2006/relationships" ref="N158" r:id="rId439"/>
    <hyperlink xmlns:r="http://schemas.openxmlformats.org/officeDocument/2006/relationships" ref="O158" r:id="rId440"/>
    <hyperlink xmlns:r="http://schemas.openxmlformats.org/officeDocument/2006/relationships" ref="Q158" r:id="rId441"/>
    <hyperlink xmlns:r="http://schemas.openxmlformats.org/officeDocument/2006/relationships" ref="C159" r:id="rId442"/>
    <hyperlink xmlns:r="http://schemas.openxmlformats.org/officeDocument/2006/relationships" ref="N159" r:id="rId443"/>
    <hyperlink xmlns:r="http://schemas.openxmlformats.org/officeDocument/2006/relationships" ref="O159" r:id="rId444"/>
    <hyperlink xmlns:r="http://schemas.openxmlformats.org/officeDocument/2006/relationships" ref="C160" r:id="rId445"/>
    <hyperlink xmlns:r="http://schemas.openxmlformats.org/officeDocument/2006/relationships" ref="N160" r:id="rId446"/>
    <hyperlink xmlns:r="http://schemas.openxmlformats.org/officeDocument/2006/relationships" ref="O160" r:id="rId447"/>
    <hyperlink xmlns:r="http://schemas.openxmlformats.org/officeDocument/2006/relationships" ref="Q160" r:id="rId448"/>
    <hyperlink xmlns:r="http://schemas.openxmlformats.org/officeDocument/2006/relationships" ref="C161" r:id="rId449"/>
    <hyperlink xmlns:r="http://schemas.openxmlformats.org/officeDocument/2006/relationships" ref="N161" r:id="rId450"/>
    <hyperlink xmlns:r="http://schemas.openxmlformats.org/officeDocument/2006/relationships" ref="O161" r:id="rId451"/>
    <hyperlink xmlns:r="http://schemas.openxmlformats.org/officeDocument/2006/relationships" ref="Q161" r:id="rId452"/>
    <hyperlink xmlns:r="http://schemas.openxmlformats.org/officeDocument/2006/relationships" ref="O162" r:id="rId453"/>
    <hyperlink xmlns:r="http://schemas.openxmlformats.org/officeDocument/2006/relationships" ref="C163" r:id="rId454"/>
    <hyperlink xmlns:r="http://schemas.openxmlformats.org/officeDocument/2006/relationships" ref="O163" r:id="rId455"/>
    <hyperlink xmlns:r="http://schemas.openxmlformats.org/officeDocument/2006/relationships" ref="C164" r:id="rId456"/>
    <hyperlink xmlns:r="http://schemas.openxmlformats.org/officeDocument/2006/relationships" ref="O164" r:id="rId457"/>
    <hyperlink xmlns:r="http://schemas.openxmlformats.org/officeDocument/2006/relationships" ref="Q164" r:id="rId458"/>
    <hyperlink xmlns:r="http://schemas.openxmlformats.org/officeDocument/2006/relationships" ref="O165" r:id="rId459"/>
    <hyperlink xmlns:r="http://schemas.openxmlformats.org/officeDocument/2006/relationships" ref="C166" r:id="rId460"/>
    <hyperlink xmlns:r="http://schemas.openxmlformats.org/officeDocument/2006/relationships" ref="O166" r:id="rId461"/>
    <hyperlink xmlns:r="http://schemas.openxmlformats.org/officeDocument/2006/relationships" ref="Q166" r:id="rId462"/>
    <hyperlink xmlns:r="http://schemas.openxmlformats.org/officeDocument/2006/relationships" ref="C167" r:id="rId463"/>
    <hyperlink xmlns:r="http://schemas.openxmlformats.org/officeDocument/2006/relationships" ref="O167" r:id="rId464"/>
    <hyperlink xmlns:r="http://schemas.openxmlformats.org/officeDocument/2006/relationships" ref="O168" r:id="rId465"/>
    <hyperlink xmlns:r="http://schemas.openxmlformats.org/officeDocument/2006/relationships" ref="O169" r:id="rId466"/>
    <hyperlink xmlns:r="http://schemas.openxmlformats.org/officeDocument/2006/relationships" ref="C170" r:id="rId467"/>
    <hyperlink xmlns:r="http://schemas.openxmlformats.org/officeDocument/2006/relationships" ref="N170" r:id="rId468"/>
    <hyperlink xmlns:r="http://schemas.openxmlformats.org/officeDocument/2006/relationships" ref="O170" r:id="rId469"/>
    <hyperlink xmlns:r="http://schemas.openxmlformats.org/officeDocument/2006/relationships" ref="Q170" r:id="rId470"/>
    <hyperlink xmlns:r="http://schemas.openxmlformats.org/officeDocument/2006/relationships" ref="C171" r:id="rId471"/>
    <hyperlink xmlns:r="http://schemas.openxmlformats.org/officeDocument/2006/relationships" ref="O171" r:id="rId472"/>
    <hyperlink xmlns:r="http://schemas.openxmlformats.org/officeDocument/2006/relationships" ref="Q171" r:id="rId473"/>
    <hyperlink xmlns:r="http://schemas.openxmlformats.org/officeDocument/2006/relationships" ref="C172" r:id="rId474"/>
    <hyperlink xmlns:r="http://schemas.openxmlformats.org/officeDocument/2006/relationships" ref="N172" r:id="rId475"/>
    <hyperlink xmlns:r="http://schemas.openxmlformats.org/officeDocument/2006/relationships" ref="O172" r:id="rId476"/>
    <hyperlink xmlns:r="http://schemas.openxmlformats.org/officeDocument/2006/relationships" ref="Q172" r:id="rId477"/>
    <hyperlink xmlns:r="http://schemas.openxmlformats.org/officeDocument/2006/relationships" ref="N173" r:id="rId478"/>
    <hyperlink xmlns:r="http://schemas.openxmlformats.org/officeDocument/2006/relationships" ref="O173" r:id="rId479"/>
    <hyperlink xmlns:r="http://schemas.openxmlformats.org/officeDocument/2006/relationships" ref="Q173" r:id="rId480"/>
    <hyperlink xmlns:r="http://schemas.openxmlformats.org/officeDocument/2006/relationships" ref="C174" r:id="rId481"/>
    <hyperlink xmlns:r="http://schemas.openxmlformats.org/officeDocument/2006/relationships" ref="O174" r:id="rId482"/>
    <hyperlink xmlns:r="http://schemas.openxmlformats.org/officeDocument/2006/relationships" ref="Q174" r:id="rId483"/>
    <hyperlink xmlns:r="http://schemas.openxmlformats.org/officeDocument/2006/relationships" ref="C175" r:id="rId484"/>
    <hyperlink xmlns:r="http://schemas.openxmlformats.org/officeDocument/2006/relationships" ref="N175" r:id="rId485"/>
    <hyperlink xmlns:r="http://schemas.openxmlformats.org/officeDocument/2006/relationships" ref="O175" r:id="rId486"/>
    <hyperlink xmlns:r="http://schemas.openxmlformats.org/officeDocument/2006/relationships" ref="Q175" r:id="rId487"/>
    <hyperlink xmlns:r="http://schemas.openxmlformats.org/officeDocument/2006/relationships" ref="C176" r:id="rId488"/>
    <hyperlink xmlns:r="http://schemas.openxmlformats.org/officeDocument/2006/relationships" ref="N176" r:id="rId489"/>
    <hyperlink xmlns:r="http://schemas.openxmlformats.org/officeDocument/2006/relationships" ref="O176" r:id="rId490"/>
    <hyperlink xmlns:r="http://schemas.openxmlformats.org/officeDocument/2006/relationships" ref="C177" r:id="rId491"/>
    <hyperlink xmlns:r="http://schemas.openxmlformats.org/officeDocument/2006/relationships" ref="N177" r:id="rId492"/>
    <hyperlink xmlns:r="http://schemas.openxmlformats.org/officeDocument/2006/relationships" ref="O177" r:id="rId493"/>
    <hyperlink xmlns:r="http://schemas.openxmlformats.org/officeDocument/2006/relationships" ref="Q177" r:id="rId494"/>
    <hyperlink xmlns:r="http://schemas.openxmlformats.org/officeDocument/2006/relationships" ref="C178" r:id="rId495"/>
    <hyperlink xmlns:r="http://schemas.openxmlformats.org/officeDocument/2006/relationships" ref="N178" r:id="rId496"/>
    <hyperlink xmlns:r="http://schemas.openxmlformats.org/officeDocument/2006/relationships" ref="O178" r:id="rId497"/>
    <hyperlink xmlns:r="http://schemas.openxmlformats.org/officeDocument/2006/relationships" ref="Q178" r:id="rId498"/>
    <hyperlink xmlns:r="http://schemas.openxmlformats.org/officeDocument/2006/relationships" ref="C179" r:id="rId499"/>
    <hyperlink xmlns:r="http://schemas.openxmlformats.org/officeDocument/2006/relationships" ref="N179" r:id="rId500"/>
    <hyperlink xmlns:r="http://schemas.openxmlformats.org/officeDocument/2006/relationships" ref="O179" r:id="rId50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8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34" customWidth="1" min="3" max="3"/>
    <col width="12" customWidth="1" min="4" max="4"/>
    <col width="12" customWidth="1" min="5" max="5"/>
    <col width="13" customWidth="1" min="6" max="6"/>
    <col width="19" customWidth="1" min="7" max="7"/>
    <col width="15" customWidth="1" min="8" max="8"/>
    <col width="17" customWidth="1" min="9" max="9"/>
    <col width="26" customWidth="1" min="10" max="10"/>
    <col width="19" customWidth="1" min="11" max="11"/>
    <col width="80" customWidth="1" min="12" max="12"/>
    <col width="12" customWidth="1" min="13" max="13"/>
    <col width="16" customWidth="1" min="14" max="14"/>
    <col width="12" customWidth="1" min="15" max="15"/>
    <col width="14" customWidth="1" min="16" max="16"/>
    <col width="24" customWidth="1" min="17" max="17"/>
    <col width="22" customWidth="1" min="18" max="18"/>
    <col width="16" customWidth="1" min="19" max="19"/>
    <col width="15" customWidth="1" min="20" max="20"/>
    <col width="18" customWidth="1" min="21" max="21"/>
    <col width="18" customWidth="1" min="22" max="22"/>
    <col width="18" customWidth="1" min="23" max="23"/>
    <col width="20" customWidth="1" min="24" max="24"/>
    <col width="16" customWidth="1" min="25" max="25"/>
    <col width="40" customWidth="1" min="26" max="26"/>
    <col width="18" customWidth="1" min="27" max="27"/>
  </cols>
  <sheetData>
    <row r="1">
      <c r="A1" s="1" t="inlineStr">
        <is>
          <t>building_id</t>
        </is>
      </c>
      <c r="B1" s="1" t="inlineStr">
        <is>
          <t>street_address</t>
        </is>
      </c>
      <c r="C1" s="1" t="inlineStr">
        <is>
          <t>building_name</t>
        </is>
      </c>
      <c r="D1" s="1" t="inlineStr">
        <is>
          <t>lat</t>
        </is>
      </c>
      <c r="E1" s="1" t="inlineStr">
        <is>
          <t>lon</t>
        </is>
      </c>
      <c r="F1" s="1" t="inlineStr">
        <is>
          <t>lobby_type</t>
        </is>
      </c>
      <c r="G1" s="1" t="inlineStr">
        <is>
          <t>lobby_source_url</t>
        </is>
      </c>
      <c r="H1" s="1" t="inlineStr">
        <is>
          <t>coi_required</t>
        </is>
      </c>
      <c r="I1" s="1" t="inlineStr">
        <is>
          <t>coi_source_url</t>
        </is>
      </c>
      <c r="J1" s="1" t="inlineStr">
        <is>
          <t>candidate_company_count</t>
        </is>
      </c>
      <c r="K1" s="1" t="inlineStr">
        <is>
          <t>verified_on_foot</t>
        </is>
      </c>
      <c r="L1" s="1" t="inlineStr">
        <is>
          <t>notes</t>
        </is>
      </c>
      <c r="M1" s="1" t="inlineStr">
        <is>
          <t>bbl</t>
        </is>
      </c>
      <c r="N1" s="1" t="inlineStr">
        <is>
          <t>also_known_as</t>
        </is>
      </c>
      <c r="O1" s="1" t="inlineStr">
        <is>
          <t>zip</t>
        </is>
      </c>
      <c r="P1" s="1" t="inlineStr">
        <is>
          <t>in_boundary</t>
        </is>
      </c>
      <c r="Q1" s="1" t="inlineStr">
        <is>
          <t>candidate_company_ids</t>
        </is>
      </c>
      <c r="R1" s="1" t="inlineStr">
        <is>
          <t>other_company_count</t>
        </is>
      </c>
      <c r="S1" s="1" t="inlineStr">
        <is>
          <t>coworking_ids</t>
        </is>
      </c>
      <c r="T1" s="1" t="inlineStr">
        <is>
          <t>retailer_ids</t>
        </is>
      </c>
      <c r="U1" s="1" t="inlineStr">
        <is>
          <t>pluto_numfloors</t>
        </is>
      </c>
      <c r="V1" s="1" t="inlineStr">
        <is>
          <t>pluto_yearbuilt</t>
        </is>
      </c>
      <c r="W1" s="1" t="inlineStr">
        <is>
          <t>pluto_bldgclass</t>
        </is>
      </c>
      <c r="X1" s="1" t="inlineStr">
        <is>
          <t>pluto_office_sqft</t>
        </is>
      </c>
      <c r="Y1" s="1" t="inlineStr">
        <is>
          <t>pluto_address</t>
        </is>
      </c>
      <c r="Z1" s="1" t="inlineStr">
        <is>
          <t>pin_check</t>
        </is>
      </c>
      <c r="AA1" s="1" t="inlineStr">
        <is>
          <t>research_slices</t>
        </is>
      </c>
    </row>
    <row r="2">
      <c r="A2" t="inlineStr">
        <is>
          <t>B-B-001</t>
        </is>
      </c>
      <c r="B2" t="inlineStr">
        <is>
          <t>853 Broadway</t>
        </is>
      </c>
      <c r="C2" t="inlineStr">
        <is>
          <t>853 Broadway (Union Building)</t>
        </is>
      </c>
      <c r="D2" t="n">
        <v>40.734626</v>
      </c>
      <c r="E2" t="n">
        <v>-73.9911</v>
      </c>
      <c r="F2" t="inlineStr">
        <is>
          <t>security desk</t>
        </is>
      </c>
      <c r="G2" s="2" t="inlineStr">
        <is>
          <t>https://853broadway.sharplaunch.com/</t>
        </is>
      </c>
      <c r="H2" t="inlineStr">
        <is>
          <t>unknown</t>
        </is>
      </c>
      <c r="I2" t="inlineStr"/>
      <c r="J2" t="n">
        <v>8</v>
      </c>
      <c r="K2" t="inlineStr"/>
      <c r="L2" s="3" t="inlineStr">
        <is>
          <t>[S1] Margin: SE corner of 14th St and Broadway (south side of 14th, same tax lot as 841 Broadway). Building marketing site: 'Security: 24-hour concierge desk, Security cameras in lobby'; 3 passenger and 1 freight elevator. Metro Manhattan also says professional staff around the clock. Owner Feil Organization; 100% occupied per Union Square Partnership 2026 report (NYREJ 2026-07-29). Rows: Lepercq, Nourish, Personetics, Perplexity, Casa Komos, USHG, First Look Media. [S1] Margin (south side of 14th). Shares tax lot 1005650015 with 853 Broadway per geocoder; Feil operates 841-853 as one 248,300 sf commercial site. 8 stories, 91,300 sf, fully leased (REBusiness 2026-06-22). Rows: Perplexity (4th floor), Robin Hood (5-8, future), Movable Ink, HUMAN Security.</t>
        </is>
      </c>
      <c r="M2" t="inlineStr">
        <is>
          <t>1005650015</t>
        </is>
      </c>
      <c r="N2" t="inlineStr">
        <is>
          <t>841 Broadway</t>
        </is>
      </c>
      <c r="O2" t="inlineStr">
        <is>
          <t>10003</t>
        </is>
      </c>
      <c r="P2" t="inlineStr">
        <is>
          <t>Y</t>
        </is>
      </c>
      <c r="Q2" t="inlineStr">
        <is>
          <t>B-C-001; B-C-002; B-C-003; B-C-004; B-C-005; B-C-006; B-C-007; B-C-008</t>
        </is>
      </c>
      <c r="R2" t="n">
        <v>2</v>
      </c>
      <c r="S2" t="inlineStr"/>
      <c r="T2" t="inlineStr"/>
      <c r="U2" t="n">
        <v>21</v>
      </c>
      <c r="V2" t="n">
        <v>1900</v>
      </c>
      <c r="W2" t="inlineStr">
        <is>
          <t>O4</t>
        </is>
      </c>
      <c r="X2" t="n">
        <v>207953</v>
      </c>
      <c r="Y2" t="inlineStr">
        <is>
          <t>849 BROADWAY</t>
        </is>
      </c>
      <c r="Z2" t="inlineStr">
        <is>
          <t>PLUTO lot 849 BROADWAY, centroid 21 m from pin</t>
        </is>
      </c>
      <c r="AA2" t="inlineStr">
        <is>
          <t>S1</t>
        </is>
      </c>
    </row>
    <row r="3">
      <c r="A3" t="inlineStr">
        <is>
          <t>B-B-002</t>
        </is>
      </c>
      <c r="B3" t="inlineStr">
        <is>
          <t>124 East 14th Street</t>
        </is>
      </c>
      <c r="C3" t="inlineStr">
        <is>
          <t>Zero Irving</t>
        </is>
      </c>
      <c r="D3" t="n">
        <v>40.733674</v>
      </c>
      <c r="E3" t="n">
        <v>-73.988766</v>
      </c>
      <c r="F3" t="inlineStr">
        <is>
          <t>unknown</t>
        </is>
      </c>
      <c r="G3" t="inlineStr"/>
      <c r="H3" t="inlineStr">
        <is>
          <t>unknown</t>
        </is>
      </c>
      <c r="I3" t="inlineStr"/>
      <c r="J3" t="n">
        <v>3</v>
      </c>
      <c r="K3" t="inlineStr"/>
      <c r="L3" s="3" t="inlineStr">
        <is>
          <t>[S1] Margin (south side of 14th between Irving Pl and Third Ave, tax block 559, same block as Trader Joe's). 21 stories, 240,000 sf, RAL Development and JRE Partners; fully leased by 2024 (CO 2024-08). Rows: Alpine Investors (12), GameChanger (17), Senator Investment Group (20). Civic Hall runs an 85,000 sf digital training center (CO 2022-10, not confirmed current). Ground-floor Time Out Market food hall.</t>
        </is>
      </c>
      <c r="M3" t="inlineStr">
        <is>
          <t>1005590016</t>
        </is>
      </c>
      <c r="N3" t="inlineStr"/>
      <c r="O3" t="inlineStr">
        <is>
          <t>10003</t>
        </is>
      </c>
      <c r="P3" t="inlineStr">
        <is>
          <t>Y</t>
        </is>
      </c>
      <c r="Q3" t="inlineStr">
        <is>
          <t>B-C-009; B-C-010; B-C-011</t>
        </is>
      </c>
      <c r="R3" t="n">
        <v>0</v>
      </c>
      <c r="S3" t="inlineStr">
        <is>
          <t>B-W-001</t>
        </is>
      </c>
      <c r="T3" t="inlineStr"/>
      <c r="U3" t="n">
        <v>22</v>
      </c>
      <c r="V3" t="n">
        <v>2020</v>
      </c>
      <c r="W3" t="inlineStr">
        <is>
          <t>O4</t>
        </is>
      </c>
      <c r="X3" t="n">
        <v>208479</v>
      </c>
      <c r="Y3" t="inlineStr">
        <is>
          <t>124 EAST 14 STREET</t>
        </is>
      </c>
      <c r="Z3" t="inlineStr">
        <is>
          <t>PLUTO lot 124 EAST 14 STREET, centroid 3 m from pin</t>
        </is>
      </c>
      <c r="AA3" t="inlineStr">
        <is>
          <t>S1</t>
        </is>
      </c>
    </row>
    <row r="4">
      <c r="A4" t="inlineStr">
        <is>
          <t>B-B-003</t>
        </is>
      </c>
      <c r="B4" t="inlineStr">
        <is>
          <t>5 Union Square West</t>
        </is>
      </c>
      <c r="C4" t="inlineStr">
        <is>
          <t>Spingler Building (5-9 Union Square West)</t>
        </is>
      </c>
      <c r="D4" t="n">
        <v>40.7357</v>
      </c>
      <c r="E4" t="n">
        <v>-73.991754</v>
      </c>
      <c r="F4" t="inlineStr">
        <is>
          <t>unknown</t>
        </is>
      </c>
      <c r="G4" t="inlineStr"/>
      <c r="H4" t="inlineStr">
        <is>
          <t>unknown</t>
        </is>
      </c>
      <c r="I4" t="inlineStr"/>
      <c r="J4" t="n">
        <v>2</v>
      </c>
      <c r="K4" t="inlineStr"/>
      <c r="L4" s="3" t="inlineStr">
        <is>
          <t>[S1] In-box (USW between E 14th and E 15th). Eight stories, GFP Real Estate. Rows: Rockwell Group (8th), Profound (two new floors, 2026). Pushkin Industries also here per 2022 press but skipped as likely under 40.</t>
        </is>
      </c>
      <c r="M4" t="inlineStr">
        <is>
          <t>1008420023</t>
        </is>
      </c>
      <c r="N4" t="inlineStr"/>
      <c r="O4" t="inlineStr">
        <is>
          <t>10003</t>
        </is>
      </c>
      <c r="P4" t="inlineStr">
        <is>
          <t>Y</t>
        </is>
      </c>
      <c r="Q4" t="inlineStr">
        <is>
          <t>B-C-012; B-C-013</t>
        </is>
      </c>
      <c r="R4" t="n">
        <v>0</v>
      </c>
      <c r="S4" t="inlineStr"/>
      <c r="T4" t="inlineStr"/>
      <c r="U4" t="n">
        <v>8</v>
      </c>
      <c r="V4" t="n">
        <v>1900</v>
      </c>
      <c r="W4" t="inlineStr">
        <is>
          <t>O6</t>
        </is>
      </c>
      <c r="X4" t="n">
        <v>74436</v>
      </c>
      <c r="Y4" t="inlineStr">
        <is>
          <t>5 UNION SQUARE</t>
        </is>
      </c>
      <c r="Z4" t="inlineStr">
        <is>
          <t>PLUTO lot 5 UNION SQUARE, centroid 4 m from pin</t>
        </is>
      </c>
      <c r="AA4" t="inlineStr">
        <is>
          <t>S1</t>
        </is>
      </c>
    </row>
    <row r="5">
      <c r="A5" t="inlineStr">
        <is>
          <t>B-B-004</t>
        </is>
      </c>
      <c r="B5" t="inlineStr">
        <is>
          <t>71 Fifth Avenue</t>
        </is>
      </c>
      <c r="C5" t="inlineStr">
        <is>
          <t>71 Fifth Avenue</t>
        </is>
      </c>
      <c r="D5" t="n">
        <v>40.736357</v>
      </c>
      <c r="E5" t="n">
        <v>-73.992824</v>
      </c>
      <c r="F5" t="inlineStr">
        <is>
          <t>unknown</t>
        </is>
      </c>
      <c r="G5" t="inlineStr"/>
      <c r="H5" t="inlineStr">
        <is>
          <t>unknown</t>
        </is>
      </c>
      <c r="I5" t="inlineStr"/>
      <c r="J5" t="n">
        <v>1</v>
      </c>
      <c r="K5" t="inlineStr"/>
      <c r="L5" s="3" t="inlineStr">
        <is>
          <t>[S1] In-box (E side of Fifth, 14th-15th). 11 stories, 1907, Madison Capital / Lubert Adler. Rows: Adyen (10-11; leasing 90k sf at 111-115 Fifth in 2026, so may leave), Mirage/Captions (6th, 2024 lease).</t>
        </is>
      </c>
      <c r="M5" t="inlineStr">
        <is>
          <t>1008420042</t>
        </is>
      </c>
      <c r="N5" t="inlineStr"/>
      <c r="O5" t="inlineStr">
        <is>
          <t>10003</t>
        </is>
      </c>
      <c r="P5" t="inlineStr">
        <is>
          <t>Y</t>
        </is>
      </c>
      <c r="Q5" t="inlineStr">
        <is>
          <t>B-C-014</t>
        </is>
      </c>
      <c r="R5" t="n">
        <v>1</v>
      </c>
      <c r="S5" t="inlineStr"/>
      <c r="T5" t="inlineStr"/>
      <c r="U5" t="n">
        <v>11</v>
      </c>
      <c r="V5" t="n">
        <v>1907</v>
      </c>
      <c r="W5" t="inlineStr">
        <is>
          <t>O6</t>
        </is>
      </c>
      <c r="X5" t="n">
        <v>122121</v>
      </c>
      <c r="Y5" t="inlineStr">
        <is>
          <t>71 5 AVENUE</t>
        </is>
      </c>
      <c r="Z5" t="inlineStr">
        <is>
          <t>PLUTO lot 71 5 AVENUE, centroid 2 m from pin</t>
        </is>
      </c>
      <c r="AA5" t="inlineStr">
        <is>
          <t>S1</t>
        </is>
      </c>
    </row>
    <row r="6">
      <c r="A6" t="inlineStr">
        <is>
          <t>B-B-005</t>
        </is>
      </c>
      <c r="B6" t="inlineStr">
        <is>
          <t>19 Union Square West</t>
        </is>
      </c>
      <c r="C6" t="inlineStr">
        <is>
          <t>19 Union Square West</t>
        </is>
      </c>
      <c r="D6" t="n">
        <v>40.736171</v>
      </c>
      <c r="E6" t="n">
        <v>-73.991456</v>
      </c>
      <c r="F6" t="inlineStr">
        <is>
          <t>unknown</t>
        </is>
      </c>
      <c r="G6" t="inlineStr"/>
      <c r="H6" t="inlineStr">
        <is>
          <t>unknown</t>
        </is>
      </c>
      <c r="I6" t="inlineStr"/>
      <c r="J6" t="n">
        <v>1</v>
      </c>
      <c r="K6" t="inlineStr"/>
      <c r="L6" s="3" t="inlineStr">
        <is>
          <t>[S1] In-box (USW at E 15th). 12-story office and retail, landlord 17-19 Associates (ABS Partners). Row: Gresham Investment Management (11th). Updater (2018 leases on 6th and 12th) not confirmed current; UnionDerm (medical) on 5th, skipped.</t>
        </is>
      </c>
      <c r="M6" t="inlineStr">
        <is>
          <t>1008430020</t>
        </is>
      </c>
      <c r="N6" t="inlineStr"/>
      <c r="O6" t="inlineStr">
        <is>
          <t>10003</t>
        </is>
      </c>
      <c r="P6" t="inlineStr">
        <is>
          <t>Y</t>
        </is>
      </c>
      <c r="Q6" t="inlineStr">
        <is>
          <t>B-C-015</t>
        </is>
      </c>
      <c r="R6" t="n">
        <v>0</v>
      </c>
      <c r="S6" t="inlineStr"/>
      <c r="T6" t="inlineStr"/>
      <c r="U6" t="n">
        <v>12</v>
      </c>
      <c r="V6" t="n">
        <v>1912</v>
      </c>
      <c r="W6" t="inlineStr">
        <is>
          <t>O6</t>
        </is>
      </c>
      <c r="X6" t="n">
        <v>81845</v>
      </c>
      <c r="Y6" t="inlineStr">
        <is>
          <t>17 UNION SQUARE</t>
        </is>
      </c>
      <c r="Z6" t="inlineStr">
        <is>
          <t>PLUTO lot 17 UNION SQUARE, centroid 2 m from pin</t>
        </is>
      </c>
      <c r="AA6" t="inlineStr">
        <is>
          <t>S1</t>
        </is>
      </c>
    </row>
    <row r="7">
      <c r="A7" t="inlineStr">
        <is>
          <t>B-B-006</t>
        </is>
      </c>
      <c r="B7" t="inlineStr">
        <is>
          <t>100 Fifth Avenue</t>
        </is>
      </c>
      <c r="C7" t="inlineStr">
        <is>
          <t>100-104 Fifth Avenue</t>
        </is>
      </c>
      <c r="D7" t="n">
        <v>40.737051</v>
      </c>
      <c r="E7" t="n">
        <v>-73.993359</v>
      </c>
      <c r="F7" t="inlineStr">
        <is>
          <t>unknown</t>
        </is>
      </c>
      <c r="G7" t="inlineStr"/>
      <c r="H7" t="inlineStr">
        <is>
          <t>unknown</t>
        </is>
      </c>
      <c r="I7" t="inlineStr"/>
      <c r="J7" t="n">
        <v>3</v>
      </c>
      <c r="K7" t="inlineStr"/>
      <c r="L7" s="3" t="inlineStr">
        <is>
          <t>[S1] In-box (SW corner Fifth and W 15th; two joined buildings, 20 stories). Sovereign Partners; 100% leased per CO 2026-08-26. Rows: Biohub (9th), Fundraise Up (7th), Battery Ventures (3rd). Accrue Savings also here but Built In shows 30 employees, skipped.</t>
        </is>
      </c>
      <c r="M7" t="inlineStr">
        <is>
          <t>1008177502</t>
        </is>
      </c>
      <c r="N7" t="inlineStr"/>
      <c r="O7" t="inlineStr">
        <is>
          <t>10011</t>
        </is>
      </c>
      <c r="P7" t="inlineStr">
        <is>
          <t>Y</t>
        </is>
      </c>
      <c r="Q7" t="inlineStr">
        <is>
          <t>B-C-016; B-C-017; B-C-018</t>
        </is>
      </c>
      <c r="R7" t="n">
        <v>0</v>
      </c>
      <c r="S7" t="inlineStr"/>
      <c r="T7" t="inlineStr"/>
      <c r="U7" t="n">
        <v>19</v>
      </c>
      <c r="V7" t="n">
        <v>1906</v>
      </c>
      <c r="W7" t="inlineStr">
        <is>
          <t>RC</t>
        </is>
      </c>
      <c r="X7" t="n">
        <v>224260</v>
      </c>
      <c r="Y7" t="inlineStr">
        <is>
          <t>100 5 AVENUE</t>
        </is>
      </c>
      <c r="Z7" t="inlineStr">
        <is>
          <t>PLUTO lot 100 5 AVENUE, centroid 4 m from pin</t>
        </is>
      </c>
      <c r="AA7" t="inlineStr">
        <is>
          <t>S1</t>
        </is>
      </c>
    </row>
    <row r="8">
      <c r="A8" t="inlineStr">
        <is>
          <t>B-B-007</t>
        </is>
      </c>
      <c r="B8" t="inlineStr">
        <is>
          <t>79 Fifth Avenue</t>
        </is>
      </c>
      <c r="C8" t="inlineStr">
        <is>
          <t>79 Fifth Avenue</t>
        </is>
      </c>
      <c r="D8" t="n">
        <v>40.736971</v>
      </c>
      <c r="E8" t="n">
        <v>-73.992389</v>
      </c>
      <c r="F8" t="inlineStr">
        <is>
          <t>unknown</t>
        </is>
      </c>
      <c r="G8" t="inlineStr"/>
      <c r="H8" t="inlineStr">
        <is>
          <t>unknown</t>
        </is>
      </c>
      <c r="I8" t="inlineStr"/>
      <c r="J8" t="n">
        <v>1</v>
      </c>
      <c r="K8" t="inlineStr"/>
      <c r="L8" s="3" t="inlineStr">
        <is>
          <t>[S1] In-box (E side of Fifth, 15th-16th). Kalimian Properties. Rows: Thinking Machines Lab (4th, 2026), Capgemini America (may be leaving for Penn 2), Hulu. The New School also listed (university, not recorded). Free People retail.</t>
        </is>
      </c>
      <c r="M8" t="inlineStr">
        <is>
          <t>1008430045</t>
        </is>
      </c>
      <c r="N8" t="inlineStr"/>
      <c r="O8" t="inlineStr">
        <is>
          <t>10003</t>
        </is>
      </c>
      <c r="P8" t="inlineStr">
        <is>
          <t>Y</t>
        </is>
      </c>
      <c r="Q8" t="inlineStr">
        <is>
          <t>B-C-019</t>
        </is>
      </c>
      <c r="R8" t="n">
        <v>2</v>
      </c>
      <c r="S8" t="inlineStr"/>
      <c r="T8" t="inlineStr"/>
      <c r="U8" t="n">
        <v>16</v>
      </c>
      <c r="V8" t="n">
        <v>1906</v>
      </c>
      <c r="W8" t="inlineStr">
        <is>
          <t>O6</t>
        </is>
      </c>
      <c r="X8" t="n">
        <v>256266</v>
      </c>
      <c r="Y8" t="inlineStr">
        <is>
          <t>79 5 AVENUE</t>
        </is>
      </c>
      <c r="Z8" t="inlineStr">
        <is>
          <t>PLUTO lot 79 5 AVENUE, centroid 1 m from pin</t>
        </is>
      </c>
      <c r="AA8" t="inlineStr">
        <is>
          <t>S1</t>
        </is>
      </c>
    </row>
    <row r="9">
      <c r="A9" t="inlineStr">
        <is>
          <t>B-B-008</t>
        </is>
      </c>
      <c r="B9" t="inlineStr">
        <is>
          <t>26 West 17th Street</t>
        </is>
      </c>
      <c r="C9" t="inlineStr">
        <is>
          <t>26 West 17th Street</t>
        </is>
      </c>
      <c r="D9" t="n">
        <v>40.738405</v>
      </c>
      <c r="E9" t="n">
        <v>-73.99393999999999</v>
      </c>
      <c r="F9" t="inlineStr">
        <is>
          <t>unknown</t>
        </is>
      </c>
      <c r="G9" t="inlineStr"/>
      <c r="H9" t="inlineStr">
        <is>
          <t>unknown</t>
        </is>
      </c>
      <c r="I9" t="inlineStr"/>
      <c r="J9" t="n">
        <v>2</v>
      </c>
      <c r="K9" t="inlineStr"/>
      <c r="L9" s="3" t="inlineStr">
        <is>
          <t>[S1] In-box. 12-story midblock building, Winter Properties; 100% occupied after 2025 leases (CO 2025-03-27). Rows: Faire (9, 12), Mercury (10), Scale Microgrids (11).</t>
        </is>
      </c>
      <c r="M9" t="inlineStr">
        <is>
          <t>1008180066</t>
        </is>
      </c>
      <c r="N9" t="inlineStr"/>
      <c r="O9" t="inlineStr">
        <is>
          <t>10011</t>
        </is>
      </c>
      <c r="P9" t="inlineStr">
        <is>
          <t>Y</t>
        </is>
      </c>
      <c r="Q9" t="inlineStr">
        <is>
          <t>B-C-020; B-C-021</t>
        </is>
      </c>
      <c r="R9" t="n">
        <v>1</v>
      </c>
      <c r="S9" t="inlineStr"/>
      <c r="T9" t="inlineStr"/>
      <c r="U9" t="n">
        <v>12</v>
      </c>
      <c r="V9" t="n">
        <v>1908</v>
      </c>
      <c r="W9" t="inlineStr">
        <is>
          <t>O6</t>
        </is>
      </c>
      <c r="X9" t="n">
        <v>101226</v>
      </c>
      <c r="Y9" t="inlineStr">
        <is>
          <t>26 WEST 17 STREET</t>
        </is>
      </c>
      <c r="Z9" t="inlineStr">
        <is>
          <t>PLUTO lot 26 WEST 17 STREET, centroid 1 m from pin</t>
        </is>
      </c>
      <c r="AA9" t="inlineStr">
        <is>
          <t>S1</t>
        </is>
      </c>
    </row>
    <row r="10">
      <c r="A10" t="inlineStr">
        <is>
          <t>B-B-009</t>
        </is>
      </c>
      <c r="B10" t="inlineStr">
        <is>
          <t>114 Fifth Avenue</t>
        </is>
      </c>
      <c r="C10" t="inlineStr">
        <is>
          <t>114 Fifth Avenue</t>
        </is>
      </c>
      <c r="D10" t="n">
        <v>40.737923</v>
      </c>
      <c r="E10" t="n">
        <v>-73.992752</v>
      </c>
      <c r="F10" t="inlineStr">
        <is>
          <t>unknown</t>
        </is>
      </c>
      <c r="G10" t="inlineStr"/>
      <c r="H10" t="inlineStr">
        <is>
          <t>unknown</t>
        </is>
      </c>
      <c r="I10" t="inlineStr"/>
      <c r="J10" t="n">
        <v>0</v>
      </c>
      <c r="K10" t="inlineStr"/>
      <c r="L10" s="3" t="inlineStr">
        <is>
          <t>[S1] In-box (W side of Fifth, 16th-17th). About 350,000 sf, L&amp;L Holding / Columbia Property Trust / Allianz. Coworking: Hub Seventeen (CO 2025-02). Rows: Capital One, Acxiom, Chainalysis. Lululemon retail.</t>
        </is>
      </c>
      <c r="M10" t="inlineStr">
        <is>
          <t>1008180051</t>
        </is>
      </c>
      <c r="N10" t="inlineStr"/>
      <c r="O10" t="inlineStr">
        <is>
          <t>10011</t>
        </is>
      </c>
      <c r="P10" t="inlineStr">
        <is>
          <t>Y</t>
        </is>
      </c>
      <c r="Q10" t="inlineStr"/>
      <c r="R10" t="n">
        <v>3</v>
      </c>
      <c r="S10" t="inlineStr">
        <is>
          <t>B-W-002</t>
        </is>
      </c>
      <c r="T10" t="inlineStr"/>
      <c r="U10" t="n">
        <v>18</v>
      </c>
      <c r="V10" t="n">
        <v>1909</v>
      </c>
      <c r="W10" t="inlineStr">
        <is>
          <t>O6</t>
        </is>
      </c>
      <c r="X10" t="n">
        <v>328682</v>
      </c>
      <c r="Y10" t="inlineStr">
        <is>
          <t>114 5 AVENUE</t>
        </is>
      </c>
      <c r="Z10" t="inlineStr">
        <is>
          <t>PLUTO lot 114 5 AVENUE, centroid 3 m from pin</t>
        </is>
      </c>
      <c r="AA10" t="inlineStr">
        <is>
          <t>S1</t>
        </is>
      </c>
    </row>
    <row r="11">
      <c r="A11" t="inlineStr">
        <is>
          <t>B-B-010</t>
        </is>
      </c>
      <c r="B11" t="inlineStr">
        <is>
          <t>120 Fifth Avenue</t>
        </is>
      </c>
      <c r="C11" t="inlineStr">
        <is>
          <t>120 Fifth Avenue</t>
        </is>
      </c>
      <c r="D11" t="n">
        <v>40.738186</v>
      </c>
      <c r="E11" t="n">
        <v>-73.992429</v>
      </c>
      <c r="F11" t="inlineStr">
        <is>
          <t>unknown</t>
        </is>
      </c>
      <c r="G11" t="inlineStr"/>
      <c r="H11" t="inlineStr">
        <is>
          <t>unknown</t>
        </is>
      </c>
      <c r="I11" t="inlineStr"/>
      <c r="J11" t="n">
        <v>5</v>
      </c>
      <c r="K11" t="inlineStr"/>
      <c r="L11" s="3" t="inlineStr">
        <is>
          <t>[S1] In-box (W side of Fifth at W 17th). 11 stories, Bromley Companies, prebuilt full floors about 6,500 sf; 100% leased per CO 2026-10-19. Rows: Kharon, Iterative Scopes, Eagle AI, Delos Capital, U.S. News (conflicting), Walleye Financial.</t>
        </is>
      </c>
      <c r="M11" t="inlineStr">
        <is>
          <t>1008190037</t>
        </is>
      </c>
      <c r="N11" t="inlineStr"/>
      <c r="O11" t="inlineStr">
        <is>
          <t>10011</t>
        </is>
      </c>
      <c r="P11" t="inlineStr">
        <is>
          <t>Y</t>
        </is>
      </c>
      <c r="Q11" t="inlineStr">
        <is>
          <t>B-C-022; B-C-023; B-C-024; B-C-025; B-C-026</t>
        </is>
      </c>
      <c r="R11" t="n">
        <v>1</v>
      </c>
      <c r="S11" t="inlineStr"/>
      <c r="T11" t="inlineStr"/>
      <c r="U11" t="n">
        <v>11</v>
      </c>
      <c r="V11" t="n">
        <v>1906</v>
      </c>
      <c r="W11" t="inlineStr">
        <is>
          <t>O6</t>
        </is>
      </c>
      <c r="X11" t="n">
        <v>60257</v>
      </c>
      <c r="Y11" t="inlineStr">
        <is>
          <t>118 5 AVENUE</t>
        </is>
      </c>
      <c r="Z11" t="inlineStr">
        <is>
          <t>PLUTO lot 118 5 AVENUE, centroid 3 m from pin</t>
        </is>
      </c>
      <c r="AA11" t="inlineStr">
        <is>
          <t>S1</t>
        </is>
      </c>
    </row>
    <row r="12">
      <c r="A12" t="inlineStr">
        <is>
          <t>B-B-011</t>
        </is>
      </c>
      <c r="B12" t="inlineStr">
        <is>
          <t>860 Broadway</t>
        </is>
      </c>
      <c r="C12" t="inlineStr">
        <is>
          <t>860 Broadway</t>
        </is>
      </c>
      <c r="D12" t="n">
        <v>40.737158</v>
      </c>
      <c r="E12" t="n">
        <v>-73.989808</v>
      </c>
      <c r="F12" t="inlineStr">
        <is>
          <t>unknown</t>
        </is>
      </c>
      <c r="G12" t="inlineStr"/>
      <c r="H12" t="inlineStr">
        <is>
          <t>unknown</t>
        </is>
      </c>
      <c r="I12" t="inlineStr"/>
      <c r="J12" t="n">
        <v>2</v>
      </c>
      <c r="K12" t="inlineStr"/>
      <c r="L12" s="3" t="inlineStr">
        <is>
          <t>[S1] In-box (Union Sq West / Broadway at E 17th). Six stories, 1926, Gordon Property Group. Coworking: Industrious (27,630 sf incl. 5th floor from Q1 2025, CO 2024-04). Retail: Uniqlo flagship. Rows: Selldorf Architects, Valon (4th), Kaltura (3rd).</t>
        </is>
      </c>
      <c r="M12" t="inlineStr">
        <is>
          <t>1008460026</t>
        </is>
      </c>
      <c r="N12" t="inlineStr"/>
      <c r="O12" t="inlineStr">
        <is>
          <t>10003</t>
        </is>
      </c>
      <c r="P12" t="inlineStr">
        <is>
          <t>Y</t>
        </is>
      </c>
      <c r="Q12" t="inlineStr">
        <is>
          <t>B-C-027; B-C-028</t>
        </is>
      </c>
      <c r="R12" t="n">
        <v>1</v>
      </c>
      <c r="S12" t="inlineStr">
        <is>
          <t>B-W-003</t>
        </is>
      </c>
      <c r="T12" t="inlineStr"/>
      <c r="U12" t="n">
        <v>6</v>
      </c>
      <c r="V12" t="n">
        <v>1884</v>
      </c>
      <c r="W12" t="inlineStr">
        <is>
          <t>O5</t>
        </is>
      </c>
      <c r="X12" t="n">
        <v>64799</v>
      </c>
      <c r="Y12" t="inlineStr">
        <is>
          <t>860 BROADWAY</t>
        </is>
      </c>
      <c r="Z12" t="inlineStr">
        <is>
          <t>PLUTO lot 860 BROADWAY, centroid 8 m from pin</t>
        </is>
      </c>
      <c r="AA12" t="inlineStr">
        <is>
          <t>S1</t>
        </is>
      </c>
    </row>
    <row r="13">
      <c r="A13" t="inlineStr">
        <is>
          <t>B-B-012</t>
        </is>
      </c>
      <c r="B13" t="inlineStr">
        <is>
          <t>101 Fifth Avenue</t>
        </is>
      </c>
      <c r="C13" t="inlineStr">
        <is>
          <t>101 Fifth Avenue</t>
        </is>
      </c>
      <c r="D13" t="n">
        <v>40.738006</v>
      </c>
      <c r="E13" t="n">
        <v>-73.99176199999999</v>
      </c>
      <c r="F13" t="inlineStr">
        <is>
          <t>unknown</t>
        </is>
      </c>
      <c r="G13" t="inlineStr"/>
      <c r="H13" t="inlineStr">
        <is>
          <t>unknown</t>
        </is>
      </c>
      <c r="I13" t="inlineStr"/>
      <c r="J13" t="n">
        <v>2</v>
      </c>
      <c r="K13" t="inlineStr"/>
      <c r="L13" s="3" t="inlineStr">
        <is>
          <t>[S1] In-box (E side of Fifth, 17th-18th). 11 stories, full occupancy after 2025 (CO 2025-08-04). Rows: LUMA Partners (9th), Prepared 911. Vine Ventures (VC) also listed, likely small, not recorded. Zara retail.</t>
        </is>
      </c>
      <c r="M13" t="inlineStr">
        <is>
          <t>1008460002</t>
        </is>
      </c>
      <c r="N13" t="inlineStr"/>
      <c r="O13" t="inlineStr">
        <is>
          <t>10003</t>
        </is>
      </c>
      <c r="P13" t="inlineStr">
        <is>
          <t>Y</t>
        </is>
      </c>
      <c r="Q13" t="inlineStr">
        <is>
          <t>B-C-029; B-C-030</t>
        </is>
      </c>
      <c r="R13" t="n">
        <v>0</v>
      </c>
      <c r="S13" t="inlineStr"/>
      <c r="T13" t="inlineStr"/>
      <c r="U13" t="n">
        <v>11</v>
      </c>
      <c r="V13" t="n">
        <v>1909</v>
      </c>
      <c r="W13" t="inlineStr">
        <is>
          <t>O6</t>
        </is>
      </c>
      <c r="X13" t="n">
        <v>55405</v>
      </c>
      <c r="Y13" t="inlineStr">
        <is>
          <t>101 5 AVENUE</t>
        </is>
      </c>
      <c r="Z13" t="inlineStr">
        <is>
          <t>PLUTO lot 101 5 AVENUE, centroid 1 m from pin</t>
        </is>
      </c>
      <c r="AA13" t="inlineStr">
        <is>
          <t>S1</t>
        </is>
      </c>
    </row>
    <row r="14">
      <c r="A14" t="inlineStr">
        <is>
          <t>B-B-013</t>
        </is>
      </c>
      <c r="B14" t="inlineStr">
        <is>
          <t>44 West 18th Street</t>
        </is>
      </c>
      <c r="C14" t="inlineStr">
        <is>
          <t>44 West 18th Street</t>
        </is>
      </c>
      <c r="D14" t="n">
        <v>40.73921</v>
      </c>
      <c r="E14" t="n">
        <v>-73.994384</v>
      </c>
      <c r="F14" t="inlineStr">
        <is>
          <t>unknown</t>
        </is>
      </c>
      <c r="G14" t="inlineStr"/>
      <c r="H14" t="inlineStr">
        <is>
          <t>unknown</t>
        </is>
      </c>
      <c r="I14" t="inlineStr"/>
      <c r="J14" t="n">
        <v>1</v>
      </c>
      <c r="K14" t="inlineStr"/>
      <c r="L14" s="3" t="inlineStr">
        <is>
          <t>[S2] Dashlane U.S. office (4th fl); Hex Technologies' prior NYC office.</t>
        </is>
      </c>
      <c r="M14" t="inlineStr">
        <is>
          <t>1008190010</t>
        </is>
      </c>
      <c r="N14" t="inlineStr"/>
      <c r="O14" t="inlineStr">
        <is>
          <t>10011</t>
        </is>
      </c>
      <c r="P14" t="inlineStr">
        <is>
          <t>Y</t>
        </is>
      </c>
      <c r="Q14" t="inlineStr">
        <is>
          <t>B-C-031</t>
        </is>
      </c>
      <c r="R14" t="n">
        <v>0</v>
      </c>
      <c r="S14" t="inlineStr"/>
      <c r="T14" t="inlineStr"/>
      <c r="U14" t="n">
        <v>12</v>
      </c>
      <c r="V14" t="n">
        <v>1907</v>
      </c>
      <c r="W14" t="inlineStr">
        <is>
          <t>O6</t>
        </is>
      </c>
      <c r="X14" t="n">
        <v>165186</v>
      </c>
      <c r="Y14" t="inlineStr">
        <is>
          <t>47 WEST 17 STREET</t>
        </is>
      </c>
      <c r="Z14" t="inlineStr">
        <is>
          <t>PLUTO lot 47 WEST 17 STREET, centroid 1 m from pin</t>
        </is>
      </c>
      <c r="AA14" t="inlineStr">
        <is>
          <t>S2</t>
        </is>
      </c>
    </row>
    <row r="15">
      <c r="A15" t="inlineStr">
        <is>
          <t>B-B-014</t>
        </is>
      </c>
      <c r="B15" t="inlineStr">
        <is>
          <t>18 West 18th Street</t>
        </is>
      </c>
      <c r="C15" t="inlineStr">
        <is>
          <t>18 West 18th Street</t>
        </is>
      </c>
      <c r="D15" t="n">
        <v>40.738811</v>
      </c>
      <c r="E15" t="n">
        <v>-73.993425</v>
      </c>
      <c r="F15" t="inlineStr">
        <is>
          <t>unknown</t>
        </is>
      </c>
      <c r="G15" t="inlineStr"/>
      <c r="H15" t="inlineStr">
        <is>
          <t>unknown</t>
        </is>
      </c>
      <c r="I15" t="inlineStr"/>
      <c r="J15" t="n">
        <v>0</v>
      </c>
      <c r="K15" t="inlineStr"/>
      <c r="L15" s="3" t="inlineStr">
        <is>
          <t>[S2] WW International principal executive offices, 7th floor (10-Q, Aug 2026).</t>
        </is>
      </c>
      <c r="M15" t="inlineStr">
        <is>
          <t>1008190056</t>
        </is>
      </c>
      <c r="N15" t="inlineStr"/>
      <c r="O15" t="inlineStr">
        <is>
          <t>10011</t>
        </is>
      </c>
      <c r="P15" t="inlineStr">
        <is>
          <t>Y</t>
        </is>
      </c>
      <c r="Q15" t="inlineStr"/>
      <c r="R15" t="n">
        <v>1</v>
      </c>
      <c r="S15" t="inlineStr">
        <is>
          <t>B-W-004</t>
        </is>
      </c>
      <c r="T15" t="inlineStr"/>
      <c r="U15" t="n">
        <v>11</v>
      </c>
      <c r="V15" t="n">
        <v>1904</v>
      </c>
      <c r="W15" t="inlineStr">
        <is>
          <t>O6</t>
        </is>
      </c>
      <c r="X15" t="n">
        <v>157500</v>
      </c>
      <c r="Y15" t="inlineStr">
        <is>
          <t>18 WEST 18 STREET</t>
        </is>
      </c>
      <c r="Z15" t="inlineStr">
        <is>
          <t>PLUTO lot 18 WEST 18 STREET, centroid 1 m from pin</t>
        </is>
      </c>
      <c r="AA15" t="inlineStr">
        <is>
          <t>S2</t>
        </is>
      </c>
    </row>
    <row r="16">
      <c r="A16" t="inlineStr">
        <is>
          <t>B-B-015</t>
        </is>
      </c>
      <c r="B16" t="inlineStr">
        <is>
          <t>10 West 18th Street</t>
        </is>
      </c>
      <c r="C16" t="inlineStr">
        <is>
          <t>10 West 18th Street</t>
        </is>
      </c>
      <c r="D16" t="n">
        <v>40.738754</v>
      </c>
      <c r="E16" t="n">
        <v>-73.99292199999999</v>
      </c>
      <c r="F16" t="inlineStr">
        <is>
          <t>unknown</t>
        </is>
      </c>
      <c r="G16" t="inlineStr"/>
      <c r="H16" t="inlineStr">
        <is>
          <t>unknown</t>
        </is>
      </c>
      <c r="I16" t="inlineStr"/>
      <c r="J16" t="n">
        <v>1</v>
      </c>
      <c r="K16" t="inlineStr"/>
      <c r="L16" s="3" t="inlineStr">
        <is>
          <t>[S1] In-box. Moinian Group. Row: Roboflow (2025). Oden Technologies renewed 3,000 sf on 5th in 2024 but Built In shows 37 employees (under 40), skipped.</t>
        </is>
      </c>
      <c r="M16" t="inlineStr">
        <is>
          <t>1008190052</t>
        </is>
      </c>
      <c r="N16" t="inlineStr"/>
      <c r="O16" t="inlineStr">
        <is>
          <t>10011</t>
        </is>
      </c>
      <c r="P16" t="inlineStr">
        <is>
          <t>Y</t>
        </is>
      </c>
      <c r="Q16" t="inlineStr">
        <is>
          <t>B-C-032</t>
        </is>
      </c>
      <c r="R16" t="n">
        <v>0</v>
      </c>
      <c r="S16" t="inlineStr"/>
      <c r="T16" t="inlineStr"/>
      <c r="U16" t="n">
        <v>9</v>
      </c>
      <c r="V16" t="n">
        <v>1901</v>
      </c>
      <c r="W16" t="inlineStr">
        <is>
          <t>O6</t>
        </is>
      </c>
      <c r="X16" t="n">
        <v>17980</v>
      </c>
      <c r="Y16" t="inlineStr">
        <is>
          <t>10 WEST 18 STREET</t>
        </is>
      </c>
      <c r="Z16" t="inlineStr">
        <is>
          <t>PLUTO lot 10 WEST 18 STREET, centroid 1 m from pin</t>
        </is>
      </c>
      <c r="AA16" t="inlineStr">
        <is>
          <t>S1</t>
        </is>
      </c>
    </row>
    <row r="17">
      <c r="A17" t="inlineStr">
        <is>
          <t>B-B-016</t>
        </is>
      </c>
      <c r="B17" t="inlineStr">
        <is>
          <t>215 Park Avenue South</t>
        </is>
      </c>
      <c r="C17" t="inlineStr">
        <is>
          <t>215 Park Avenue South (SL Green managed)</t>
        </is>
      </c>
      <c r="D17" t="n">
        <v>40.736801</v>
      </c>
      <c r="E17" t="n">
        <v>-73.98824999999999</v>
      </c>
      <c r="F17" t="inlineStr">
        <is>
          <t>security desk</t>
        </is>
      </c>
      <c r="G17" s="2" t="inlineStr">
        <is>
          <t>https://www.metro-manhattan.com/buildings/215-park-avenue-south/</t>
        </is>
      </c>
      <c r="H17" t="inlineStr">
        <is>
          <t>unknown</t>
        </is>
      </c>
      <c r="I17" t="inlineStr"/>
      <c r="J17" t="n">
        <v>7</v>
      </c>
      <c r="K17" t="inlineStr"/>
      <c r="L17" s="3" t="inlineStr">
        <is>
          <t>[S1] In-box (E side of PAS, 17th-18th). Metro Manhattan: renovated lobby, '24/7 access and security'. 20 stories, 346,216 sf, 89.9% leased to 25 tenants per SEC CMBS prospectus rent roll 2026-02-05; managed by SL Green. Coworking: Industrious NYC holds three floors (51,765 sf, to 2035). Candidate rows: Nayya, Cognitiv, Stellar Health, Global Strategy Group, Baseten, Rakuten USA, Charlie Health, Matador Content, Stone Source. Also Kimball International Brands (showroom) and CVS (retail). [S2] Broker page (modified 2025-10-24): renovated lobby, 24/7 access and security. Tenants recorded by S1 (Nayya, Stellar Health, Global Strategy Group and others); Industrious coworking here.</t>
        </is>
      </c>
      <c r="M17" t="inlineStr">
        <is>
          <t>1008730067</t>
        </is>
      </c>
      <c r="N17" t="inlineStr"/>
      <c r="O17" t="inlineStr">
        <is>
          <t>10003</t>
        </is>
      </c>
      <c r="P17" t="inlineStr">
        <is>
          <t>Y</t>
        </is>
      </c>
      <c r="Q17" t="inlineStr">
        <is>
          <t>B-C-033; B-C-034; B-C-035; B-C-036; B-C-037; B-C-038; B-C-039</t>
        </is>
      </c>
      <c r="R17" t="n">
        <v>2</v>
      </c>
      <c r="S17" t="inlineStr">
        <is>
          <t>B-W-005</t>
        </is>
      </c>
      <c r="T17" t="inlineStr"/>
      <c r="U17" t="n">
        <v>20</v>
      </c>
      <c r="V17" t="n">
        <v>1910</v>
      </c>
      <c r="W17" t="inlineStr">
        <is>
          <t>O4</t>
        </is>
      </c>
      <c r="X17" t="n">
        <v>275213</v>
      </c>
      <c r="Y17" t="inlineStr">
        <is>
          <t>215 PARK AVENUE SOUTH</t>
        </is>
      </c>
      <c r="Z17" t="inlineStr">
        <is>
          <t>PLUTO lot 215 PARK AVENUE SOUTH, centroid 2 m from pin</t>
        </is>
      </c>
      <c r="AA17" t="inlineStr">
        <is>
          <t>S1;S2</t>
        </is>
      </c>
    </row>
    <row r="18">
      <c r="A18" t="inlineStr">
        <is>
          <t>B-B-017</t>
        </is>
      </c>
      <c r="B18" t="inlineStr">
        <is>
          <t>130 Fifth Avenue</t>
        </is>
      </c>
      <c r="C18" t="inlineStr">
        <is>
          <t>130 Fifth Avenue (Olnick Organization)</t>
        </is>
      </c>
      <c r="D18" t="n">
        <v>40.738835</v>
      </c>
      <c r="E18" t="n">
        <v>-73.992046</v>
      </c>
      <c r="F18" t="inlineStr">
        <is>
          <t>unknown</t>
        </is>
      </c>
      <c r="G18" t="inlineStr"/>
      <c r="H18" t="inlineStr">
        <is>
          <t>unknown</t>
        </is>
      </c>
      <c r="I18" t="inlineStr"/>
      <c r="J18" t="n">
        <v>3</v>
      </c>
      <c r="K18" t="inlineStr"/>
      <c r="L18" s="3" t="inlineStr">
        <is>
          <t>[S2] At W 18th St; 100% leased (CO 2024-12). Tenants: Airbnb (3), Fresh, Farmacy Beauty (4), VidMob.</t>
        </is>
      </c>
      <c r="M18" t="inlineStr">
        <is>
          <t>1008200038</t>
        </is>
      </c>
      <c r="N18" t="inlineStr"/>
      <c r="O18" t="inlineStr">
        <is>
          <t>10011</t>
        </is>
      </c>
      <c r="P18" t="inlineStr">
        <is>
          <t>Y</t>
        </is>
      </c>
      <c r="Q18" t="inlineStr">
        <is>
          <t>B-C-040; B-C-041; B-C-042</t>
        </is>
      </c>
      <c r="R18" t="n">
        <v>1</v>
      </c>
      <c r="S18" t="inlineStr"/>
      <c r="T18" t="inlineStr"/>
      <c r="U18" t="n">
        <v>11</v>
      </c>
      <c r="V18" t="n">
        <v>1903</v>
      </c>
      <c r="W18" t="inlineStr">
        <is>
          <t>O6</t>
        </is>
      </c>
      <c r="X18" t="n">
        <v>104140</v>
      </c>
      <c r="Y18" t="inlineStr">
        <is>
          <t>130 5 AVENUE</t>
        </is>
      </c>
      <c r="Z18" t="inlineStr">
        <is>
          <t>PLUTO lot 130 5 AVENUE, centroid 2 m from pin</t>
        </is>
      </c>
      <c r="AA18" t="inlineStr">
        <is>
          <t>S2</t>
        </is>
      </c>
    </row>
    <row r="19">
      <c r="A19" t="inlineStr">
        <is>
          <t>B-B-018</t>
        </is>
      </c>
      <c r="B19" t="inlineStr">
        <is>
          <t>111 Fifth Avenue</t>
        </is>
      </c>
      <c r="C19" t="inlineStr">
        <is>
          <t>111 Fifth Avenue (Winter Organization)</t>
        </is>
      </c>
      <c r="D19" t="n">
        <v>40.738502</v>
      </c>
      <c r="E19" t="n">
        <v>-73.991191</v>
      </c>
      <c r="F19" t="inlineStr">
        <is>
          <t>unknown</t>
        </is>
      </c>
      <c r="G19" t="inlineStr"/>
      <c r="H19" t="inlineStr">
        <is>
          <t>unknown</t>
        </is>
      </c>
      <c r="I19" t="inlineStr"/>
      <c r="J19" t="n">
        <v>4</v>
      </c>
      <c r="K19" t="inlineStr"/>
      <c r="L19" s="3" t="inlineStr">
        <is>
          <t>[S1] Margin (E side of Fifth, 18th-19th). 13 stories, Winter Organization, joined to 115 Fifth on the 4th floor. Rows: Radar, Galvanize Climate Solutions (3rd); Adyen taking floors 4-5 (2026). [S2] 13-story; conjoined with 115 Fifth. Tenants: The Vita Coco Company (HQ, 2nd fl per FY2025 10-K), LoveShackFancy (8), Adyen (4-5), Galvanize (3), Radar (12), Douglas Elliman teams; H&amp;M retail. S1 also covers this building.</t>
        </is>
      </c>
      <c r="M19" t="inlineStr">
        <is>
          <t>1008470001</t>
        </is>
      </c>
      <c r="N19" t="inlineStr"/>
      <c r="O19" t="inlineStr">
        <is>
          <t>10003</t>
        </is>
      </c>
      <c r="P19" t="inlineStr">
        <is>
          <t>Y</t>
        </is>
      </c>
      <c r="Q19" t="inlineStr">
        <is>
          <t>B-C-044; B-C-045; B-C-046; B-C-047</t>
        </is>
      </c>
      <c r="R19" t="n">
        <v>0</v>
      </c>
      <c r="S19" t="inlineStr"/>
      <c r="T19" t="inlineStr"/>
      <c r="U19" t="n">
        <v>13</v>
      </c>
      <c r="V19" t="n">
        <v>1895</v>
      </c>
      <c r="W19" t="inlineStr">
        <is>
          <t>O6</t>
        </is>
      </c>
      <c r="X19" t="n">
        <v>189151</v>
      </c>
      <c r="Y19" t="inlineStr">
        <is>
          <t>109 5 AVENUE</t>
        </is>
      </c>
      <c r="Z19" t="inlineStr">
        <is>
          <t>PLUTO lot 109 5 AVENUE, centroid 2 m from pin</t>
        </is>
      </c>
      <c r="AA19" t="inlineStr">
        <is>
          <t>S1;S2</t>
        </is>
      </c>
    </row>
    <row r="20">
      <c r="A20" t="inlineStr">
        <is>
          <t>B-B-019</t>
        </is>
      </c>
      <c r="B20" t="inlineStr">
        <is>
          <t>37 East 18th Street</t>
        </is>
      </c>
      <c r="C20" t="inlineStr">
        <is>
          <t>37 East 18th Street (Zar Property NY)</t>
        </is>
      </c>
      <c r="D20" t="n">
        <v>40.737722</v>
      </c>
      <c r="E20" t="n">
        <v>-73.989367</v>
      </c>
      <c r="F20" t="inlineStr">
        <is>
          <t>unknown</t>
        </is>
      </c>
      <c r="G20" t="inlineStr"/>
      <c r="H20" t="inlineStr">
        <is>
          <t>unknown</t>
        </is>
      </c>
      <c r="I20" t="inlineStr"/>
      <c r="J20" t="n">
        <v>2</v>
      </c>
      <c r="K20" t="inlineStr"/>
      <c r="L20" s="3" t="inlineStr">
        <is>
          <t>[S1] Margin (north side of E 18th between Broadway and Park Ave S, tax block 847). Zar Property NY. Row: Phia (penthouse, 2026). [S2] 10-story office building bought by Zar in 2024. Tenants: Phia (PH), Aterian (formerly Mohawk Group), Color Aid; Ann Sacks retail.</t>
        </is>
      </c>
      <c r="M20" t="inlineStr">
        <is>
          <t>1008470029</t>
        </is>
      </c>
      <c r="N20" t="inlineStr"/>
      <c r="O20" t="inlineStr">
        <is>
          <t>10003</t>
        </is>
      </c>
      <c r="P20" t="inlineStr">
        <is>
          <t>Y</t>
        </is>
      </c>
      <c r="Q20" t="inlineStr">
        <is>
          <t>B-C-048; B-C-049</t>
        </is>
      </c>
      <c r="R20" t="n">
        <v>0</v>
      </c>
      <c r="S20" t="inlineStr"/>
      <c r="T20" t="inlineStr"/>
      <c r="U20" t="n">
        <v>10</v>
      </c>
      <c r="V20" t="n">
        <v>1897</v>
      </c>
      <c r="W20" t="inlineStr">
        <is>
          <t>O6</t>
        </is>
      </c>
      <c r="X20" t="n">
        <v>45328</v>
      </c>
      <c r="Y20" t="inlineStr">
        <is>
          <t>37 EAST 18 STREET</t>
        </is>
      </c>
      <c r="Z20" t="inlineStr">
        <is>
          <t>PLUTO lot 37 EAST 18 STREET, centroid 2 m from pin</t>
        </is>
      </c>
      <c r="AA20" t="inlineStr">
        <is>
          <t>S1;S2</t>
        </is>
      </c>
    </row>
    <row r="21">
      <c r="A21" t="inlineStr">
        <is>
          <t>B-B-020</t>
        </is>
      </c>
      <c r="B21" t="inlineStr">
        <is>
          <t>625 Avenue of the Americas</t>
        </is>
      </c>
      <c r="C21" t="inlineStr">
        <is>
          <t>625 Avenue of the Americas (Taub family)</t>
        </is>
      </c>
      <c r="D21" t="n">
        <v>40.740326</v>
      </c>
      <c r="E21" t="n">
        <v>-73.99520099999999</v>
      </c>
      <c r="F21" t="inlineStr">
        <is>
          <t>unknown</t>
        </is>
      </c>
      <c r="G21" t="inlineStr"/>
      <c r="H21" t="inlineStr">
        <is>
          <t>unknown</t>
        </is>
      </c>
      <c r="I21" t="inlineStr"/>
      <c r="J21" t="n">
        <v>1</v>
      </c>
      <c r="K21" t="inlineStr"/>
      <c r="L21" s="3" t="inlineStr">
        <is>
          <t>[S2] Five-story, between W 18th and W 19th St; renovated lobby (no staffing stated). Ro HQ (4), GTS (3).</t>
        </is>
      </c>
      <c r="M21" t="inlineStr">
        <is>
          <t>1007940030</t>
        </is>
      </c>
      <c r="N21" t="inlineStr"/>
      <c r="O21" t="inlineStr">
        <is>
          <t>10011</t>
        </is>
      </c>
      <c r="P21" t="inlineStr">
        <is>
          <t>Y</t>
        </is>
      </c>
      <c r="Q21" t="inlineStr">
        <is>
          <t>B-C-050</t>
        </is>
      </c>
      <c r="R21" t="n">
        <v>1</v>
      </c>
      <c r="S21" t="inlineStr"/>
      <c r="T21" t="inlineStr"/>
      <c r="U21" t="n">
        <v>5</v>
      </c>
      <c r="V21" t="n">
        <v>1877</v>
      </c>
      <c r="W21" t="inlineStr">
        <is>
          <t>O5</t>
        </is>
      </c>
      <c r="X21" t="n">
        <v>77005</v>
      </c>
      <c r="Y21" t="inlineStr">
        <is>
          <t>615 AVENUE OF THE AMERICAS</t>
        </is>
      </c>
      <c r="Z21" t="inlineStr">
        <is>
          <t>PLUTO lot 615 AVENUE OF THE AMERICAS, centroid 1 m from pin</t>
        </is>
      </c>
      <c r="AA21" t="inlineStr">
        <is>
          <t>S2</t>
        </is>
      </c>
    </row>
    <row r="22">
      <c r="A22" t="inlineStr">
        <is>
          <t>B-B-021</t>
        </is>
      </c>
      <c r="B22" t="inlineStr">
        <is>
          <t>620 Avenue of the Americas</t>
        </is>
      </c>
      <c r="C22" t="inlineStr">
        <is>
          <t>Siegel-Cooper Building (RXR / Hudson Bay)</t>
        </is>
      </c>
      <c r="D22" t="n">
        <v>40.739927</v>
      </c>
      <c r="E22" t="n">
        <v>-73.99424</v>
      </c>
      <c r="F22" t="inlineStr">
        <is>
          <t>loading dock</t>
        </is>
      </c>
      <c r="G22" s="2" t="inlineStr">
        <is>
          <t>https://www.metro-manhattan.com/buildings/620-avenue-of-the-americas/</t>
        </is>
      </c>
      <c r="H22" t="inlineStr">
        <is>
          <t>unknown</t>
        </is>
      </c>
      <c r="I22" t="inlineStr"/>
      <c r="J22" t="n">
        <v>1</v>
      </c>
      <c r="K22" t="inlineStr"/>
      <c r="L22" s="3" t="inlineStr">
        <is>
          <t>[S1] Margin (east side of Sixth Ave, 18th-19th; 25 West 18th St is its 18th St side). Seven stories, RXR. WeWork leased 212,387 sf in 2019 and handed spaces to tenants after its 2023 bankruptcy (CO 2024-05). Rows: SEIU 32BJ, Cole Haan, Palantir. Current (fintech) is leaving for Penn 2 (CO 2025-11). Retail: Burlington, Ulta. [S2] Broker page (modified 2025-06-16): seven loading docks and a redesigned atrium lobby. 25 and 45 West 18th Street are the same tax lot. Office tenants: Cole Haan (3), 32BJ union and benefit funds, Palantir (S1); big-box retail below.</t>
        </is>
      </c>
      <c r="M22" t="inlineStr">
        <is>
          <t>1008207505</t>
        </is>
      </c>
      <c r="N22" t="inlineStr"/>
      <c r="O22" t="inlineStr">
        <is>
          <t>10011</t>
        </is>
      </c>
      <c r="P22" t="inlineStr">
        <is>
          <t>Y</t>
        </is>
      </c>
      <c r="Q22" t="inlineStr">
        <is>
          <t>B-C-043</t>
        </is>
      </c>
      <c r="R22" t="n">
        <v>2</v>
      </c>
      <c r="S22" t="inlineStr"/>
      <c r="T22" t="inlineStr"/>
      <c r="U22" t="n">
        <v>7</v>
      </c>
      <c r="V22" t="n">
        <v>1900</v>
      </c>
      <c r="W22" t="inlineStr">
        <is>
          <t>RB</t>
        </is>
      </c>
      <c r="X22" t="n">
        <v>210854</v>
      </c>
      <c r="Y22" t="inlineStr">
        <is>
          <t>620 AVENUE OF THE AMERICAS</t>
        </is>
      </c>
      <c r="Z22" t="inlineStr">
        <is>
          <t>PLUTO lot 620 AVENUE OF THE AMERICAS, centroid 34 m from pin</t>
        </is>
      </c>
      <c r="AA22" t="inlineStr">
        <is>
          <t>S1;S2</t>
        </is>
      </c>
    </row>
    <row r="23">
      <c r="A23" t="inlineStr">
        <is>
          <t>B-B-022</t>
        </is>
      </c>
      <c r="B23" t="inlineStr">
        <is>
          <t>22 West 19th Street</t>
        </is>
      </c>
      <c r="C23" t="inlineStr">
        <is>
          <t>Cluett Building (Kaufman Organization)</t>
        </is>
      </c>
      <c r="D23" t="n">
        <v>40.739399</v>
      </c>
      <c r="E23" t="n">
        <v>-73.992895</v>
      </c>
      <c r="F23" t="inlineStr">
        <is>
          <t>unknown</t>
        </is>
      </c>
      <c r="G23" t="inlineStr"/>
      <c r="H23" t="inlineStr">
        <is>
          <t>unknown</t>
        </is>
      </c>
      <c r="I23" t="inlineStr"/>
      <c r="J23" t="n">
        <v>1</v>
      </c>
      <c r="K23" t="inlineStr"/>
      <c r="L23" s="3" t="inlineStr">
        <is>
          <t>[S1] Margin (south side of 19th, between Fifth and Sixth). 191,400 sf, Kaufman Organization; lobby recently renovated with a tenant entrance on West 18th St (CO 2023-10). Rows: Morning Brew (low). 32BJ Health Fund has 37,650 sf here (see Benefit Funds row at 25 W 18th). [S2] 215,000 sf; 24/7 key-card access and restored lobby, staffing not stated (broker page 2025-06-16). Morning Brew HQ (floors 3-4).</t>
        </is>
      </c>
      <c r="M23" t="inlineStr">
        <is>
          <t>1008200026</t>
        </is>
      </c>
      <c r="N23" t="inlineStr"/>
      <c r="O23" t="inlineStr">
        <is>
          <t>10011</t>
        </is>
      </c>
      <c r="P23" t="inlineStr">
        <is>
          <t>Y</t>
        </is>
      </c>
      <c r="Q23" t="inlineStr">
        <is>
          <t>B-C-051</t>
        </is>
      </c>
      <c r="R23" t="n">
        <v>0</v>
      </c>
      <c r="S23" t="inlineStr"/>
      <c r="T23" t="inlineStr"/>
      <c r="U23" t="n">
        <v>11</v>
      </c>
      <c r="V23" t="n">
        <v>1902</v>
      </c>
      <c r="W23" t="inlineStr">
        <is>
          <t>O6</t>
        </is>
      </c>
      <c r="X23" t="n">
        <v>165500</v>
      </c>
      <c r="Y23" t="inlineStr">
        <is>
          <t>23 WEST 18 STREET</t>
        </is>
      </c>
      <c r="Z23" t="inlineStr">
        <is>
          <t>PLUTO lot 23 WEST 18 STREET, centroid 4 m from pin</t>
        </is>
      </c>
      <c r="AA23" t="inlineStr">
        <is>
          <t>S1;S2</t>
        </is>
      </c>
    </row>
    <row r="24">
      <c r="A24" t="inlineStr">
        <is>
          <t>B-B-023</t>
        </is>
      </c>
      <c r="B24" t="inlineStr">
        <is>
          <t>115 Fifth Avenue</t>
        </is>
      </c>
      <c r="C24" t="inlineStr">
        <is>
          <t>115 Fifth Avenue / 881 Broadway (Arnold Constable block)</t>
        </is>
      </c>
      <c r="D24" t="n">
        <v>40.738555</v>
      </c>
      <c r="E24" t="n">
        <v>-73.990623</v>
      </c>
      <c r="F24" t="inlineStr">
        <is>
          <t>security desk</t>
        </is>
      </c>
      <c r="G24" s="2" t="inlineStr">
        <is>
          <t>https://www.metro-manhattan.com/buildings/115-fifth-avenue/</t>
        </is>
      </c>
      <c r="H24" t="inlineStr">
        <is>
          <t>unknown</t>
        </is>
      </c>
      <c r="I24" t="inlineStr"/>
      <c r="J24" t="n">
        <v>1</v>
      </c>
      <c r="K24" t="inlineStr"/>
      <c r="L24" s="3" t="inlineStr">
        <is>
          <t>[S1] Margin (Fifth at E 19th). 12 stories, Winter Organization. Row: Prophet; Adyen taking the 4th floor (2026). [S2] 115 Fifth and 881 Broadway share tax lot 1008470062. Broker page (modified 2023-12-21) lists 24/7 security and access and one freight elevator. Tenants: Bombas (881 Broadway per Built In), Perkins Eastman (NY studio), Prophet, Adyen (4th fl).</t>
        </is>
      </c>
      <c r="M24" t="inlineStr">
        <is>
          <t>1008470062</t>
        </is>
      </c>
      <c r="N24" t="inlineStr"/>
      <c r="O24" t="inlineStr">
        <is>
          <t>10003</t>
        </is>
      </c>
      <c r="P24" t="inlineStr">
        <is>
          <t>Y</t>
        </is>
      </c>
      <c r="Q24" t="inlineStr">
        <is>
          <t>B-C-052</t>
        </is>
      </c>
      <c r="R24" t="n">
        <v>2</v>
      </c>
      <c r="S24" t="inlineStr"/>
      <c r="T24" t="inlineStr"/>
      <c r="U24" t="n">
        <v>7</v>
      </c>
      <c r="V24" t="n">
        <v>1896</v>
      </c>
      <c r="W24" t="inlineStr">
        <is>
          <t>O6</t>
        </is>
      </c>
      <c r="X24" t="n">
        <v>208000</v>
      </c>
      <c r="Y24" t="inlineStr">
        <is>
          <t>881 BROADWAY</t>
        </is>
      </c>
      <c r="Z24" t="inlineStr">
        <is>
          <t>PLUTO lot 881 BROADWAY, centroid 11 m from pin</t>
        </is>
      </c>
      <c r="AA24" t="inlineStr">
        <is>
          <t>S1;S2</t>
        </is>
      </c>
    </row>
    <row r="25">
      <c r="A25" t="inlineStr">
        <is>
          <t>B-B-024</t>
        </is>
      </c>
      <c r="B25" t="inlineStr">
        <is>
          <t>119 Fifth Avenue</t>
        </is>
      </c>
      <c r="C25" t="inlineStr">
        <is>
          <t>119 Fifth Avenue</t>
        </is>
      </c>
      <c r="D25" t="n">
        <v>40.739071</v>
      </c>
      <c r="E25" t="n">
        <v>-73.990897</v>
      </c>
      <c r="F25" t="inlineStr">
        <is>
          <t>unknown</t>
        </is>
      </c>
      <c r="G25" t="inlineStr"/>
      <c r="H25" t="inlineStr">
        <is>
          <t>unknown</t>
        </is>
      </c>
      <c r="I25" t="inlineStr"/>
      <c r="J25" t="n">
        <v>1</v>
      </c>
      <c r="K25" t="inlineStr"/>
      <c r="L25" s="3" t="inlineStr">
        <is>
          <t>[S2] 1906 building at E 19th St, owned by the Haddad family per CO. Extend AI took the full 6th floor (2026).</t>
        </is>
      </c>
      <c r="M25" t="inlineStr">
        <is>
          <t>1008480001</t>
        </is>
      </c>
      <c r="N25" t="inlineStr"/>
      <c r="O25" t="inlineStr">
        <is>
          <t>10003</t>
        </is>
      </c>
      <c r="P25" t="inlineStr">
        <is>
          <t>Y</t>
        </is>
      </c>
      <c r="Q25" t="inlineStr">
        <is>
          <t>B-C-053</t>
        </is>
      </c>
      <c r="R25" t="n">
        <v>0</v>
      </c>
      <c r="S25" t="inlineStr"/>
      <c r="T25" t="inlineStr"/>
      <c r="U25" t="n">
        <v>8</v>
      </c>
      <c r="V25" t="n">
        <v>1906</v>
      </c>
      <c r="W25" t="inlineStr">
        <is>
          <t>O6</t>
        </is>
      </c>
      <c r="X25" t="n">
        <v>50031</v>
      </c>
      <c r="Y25" t="inlineStr">
        <is>
          <t>119 5 AVENUE</t>
        </is>
      </c>
      <c r="Z25" t="inlineStr">
        <is>
          <t>PLUTO lot 119 5 AVENUE, centroid 0 m from pin</t>
        </is>
      </c>
      <c r="AA25" t="inlineStr">
        <is>
          <t>S2</t>
        </is>
      </c>
    </row>
    <row r="26">
      <c r="A26" t="inlineStr">
        <is>
          <t>B-B-025</t>
        </is>
      </c>
      <c r="B26" t="inlineStr">
        <is>
          <t>39 West 19th Street</t>
        </is>
      </c>
      <c r="C26" t="inlineStr">
        <is>
          <t>39 West 19th Street (Rosen family)</t>
        </is>
      </c>
      <c r="D26" t="n">
        <v>40.740157</v>
      </c>
      <c r="E26" t="n">
        <v>-73.993377</v>
      </c>
      <c r="F26" t="inlineStr">
        <is>
          <t>unknown</t>
        </is>
      </c>
      <c r="G26" t="inlineStr"/>
      <c r="H26" t="inlineStr">
        <is>
          <t>unknown</t>
        </is>
      </c>
      <c r="I26" t="inlineStr"/>
      <c r="J26" t="n">
        <v>1</v>
      </c>
      <c r="K26" t="inlineStr"/>
      <c r="L26" s="3" t="inlineStr">
        <is>
          <t>[S2] 12-story. ZGF Architects (12th fl penthouse), Left/Right (7, 9-10).</t>
        </is>
      </c>
      <c r="M26" t="inlineStr">
        <is>
          <t>1008210014</t>
        </is>
      </c>
      <c r="N26" t="inlineStr"/>
      <c r="O26" t="inlineStr">
        <is>
          <t>10011</t>
        </is>
      </c>
      <c r="P26" t="inlineStr">
        <is>
          <t>Y</t>
        </is>
      </c>
      <c r="Q26" t="inlineStr">
        <is>
          <t>B-C-054</t>
        </is>
      </c>
      <c r="R26" t="n">
        <v>1</v>
      </c>
      <c r="S26" t="inlineStr"/>
      <c r="T26" t="inlineStr"/>
      <c r="U26" t="n">
        <v>12</v>
      </c>
      <c r="V26" t="n">
        <v>1910</v>
      </c>
      <c r="W26" t="inlineStr">
        <is>
          <t>O6</t>
        </is>
      </c>
      <c r="X26" t="n">
        <v>97652</v>
      </c>
      <c r="Y26" t="inlineStr">
        <is>
          <t>39 WEST 19 STREET</t>
        </is>
      </c>
      <c r="Z26" t="inlineStr">
        <is>
          <t>PLUTO lot 39 WEST 19 STREET, centroid 0 m from pin</t>
        </is>
      </c>
      <c r="AA26" t="inlineStr">
        <is>
          <t>S2</t>
        </is>
      </c>
    </row>
    <row r="27">
      <c r="A27" t="inlineStr">
        <is>
          <t>B-B-026</t>
        </is>
      </c>
      <c r="B27" t="inlineStr">
        <is>
          <t>641 Avenue of the Americas</t>
        </is>
      </c>
      <c r="C27" t="inlineStr">
        <is>
          <t>635-641 Avenue of the Americas (Spear Street Capital)</t>
        </is>
      </c>
      <c r="D27" t="n">
        <v>40.741004</v>
      </c>
      <c r="E27" t="n">
        <v>-73.99475700000001</v>
      </c>
      <c r="F27" t="inlineStr">
        <is>
          <t>unknown</t>
        </is>
      </c>
      <c r="G27" t="inlineStr"/>
      <c r="H27" t="inlineStr">
        <is>
          <t>unknown</t>
        </is>
      </c>
      <c r="I27" t="inlineStr"/>
      <c r="J27" t="n">
        <v>1</v>
      </c>
      <c r="K27" t="inlineStr"/>
      <c r="L27" s="3" t="inlineStr">
        <is>
          <t>[S2] Eight-story Beaux Arts building between W 19th and W 20th St. Tenants: Stash (part 6), Infor, dsm-firmenich.</t>
        </is>
      </c>
      <c r="M27" t="inlineStr">
        <is>
          <t>1007950044</t>
        </is>
      </c>
      <c r="N27" t="inlineStr"/>
      <c r="O27" t="inlineStr">
        <is>
          <t>10011</t>
        </is>
      </c>
      <c r="P27" t="inlineStr">
        <is>
          <t>Y</t>
        </is>
      </c>
      <c r="Q27" t="inlineStr">
        <is>
          <t>B-C-055</t>
        </is>
      </c>
      <c r="R27" t="n">
        <v>2</v>
      </c>
      <c r="S27" t="inlineStr"/>
      <c r="T27" t="inlineStr"/>
      <c r="U27" t="n">
        <v>8</v>
      </c>
      <c r="V27" t="n">
        <v>1902</v>
      </c>
      <c r="W27" t="inlineStr">
        <is>
          <t>O6</t>
        </is>
      </c>
      <c r="X27" t="n">
        <v>121885</v>
      </c>
      <c r="Y27" t="inlineStr">
        <is>
          <t>641 AVENUE OF THE AMERICAS</t>
        </is>
      </c>
      <c r="Z27" t="inlineStr">
        <is>
          <t>PLUTO lot 641 AVENUE OF THE AMERICAS, centroid 3 m from pin</t>
        </is>
      </c>
      <c r="AA27" t="inlineStr">
        <is>
          <t>S2</t>
        </is>
      </c>
    </row>
    <row r="28">
      <c r="A28" t="inlineStr">
        <is>
          <t>B-B-027</t>
        </is>
      </c>
      <c r="B28" t="inlineStr">
        <is>
          <t>895 Broadway</t>
        </is>
      </c>
      <c r="C28" t="inlineStr">
        <is>
          <t>Equinox Building</t>
        </is>
      </c>
      <c r="D28" t="n">
        <v>40.739084</v>
      </c>
      <c r="E28" t="n">
        <v>-73.99020400000001</v>
      </c>
      <c r="F28" t="inlineStr">
        <is>
          <t>unknown</t>
        </is>
      </c>
      <c r="G28" t="inlineStr"/>
      <c r="H28" t="inlineStr">
        <is>
          <t>unknown</t>
        </is>
      </c>
      <c r="I28" t="inlineStr"/>
      <c r="J28" t="n">
        <v>0</v>
      </c>
      <c r="K28" t="inlineStr"/>
      <c r="L28" s="3" t="inlineStr">
        <is>
          <t>[S2] The Malin Flatiron coworking, 32,700 sf on two floors (opened 2025): coworking location, see coworking list.</t>
        </is>
      </c>
      <c r="M28" t="inlineStr">
        <is>
          <t>1008480015</t>
        </is>
      </c>
      <c r="N28" t="inlineStr"/>
      <c r="O28" t="inlineStr">
        <is>
          <t>10003</t>
        </is>
      </c>
      <c r="P28" t="inlineStr">
        <is>
          <t>Y</t>
        </is>
      </c>
      <c r="Q28" t="inlineStr"/>
      <c r="R28" t="n">
        <v>0</v>
      </c>
      <c r="S28" t="inlineStr">
        <is>
          <t>B-W-006</t>
        </is>
      </c>
      <c r="T28" t="inlineStr"/>
      <c r="U28" t="n">
        <v>5</v>
      </c>
      <c r="V28" t="n">
        <v>1869</v>
      </c>
      <c r="W28" t="inlineStr">
        <is>
          <t>O5</t>
        </is>
      </c>
      <c r="X28" t="n">
        <v>49930</v>
      </c>
      <c r="Y28" t="inlineStr">
        <is>
          <t>895 BROADWAY</t>
        </is>
      </c>
      <c r="Z28" t="inlineStr">
        <is>
          <t>PLUTO lot 895 BROADWAY, centroid 3 m from pin</t>
        </is>
      </c>
      <c r="AA28" t="inlineStr">
        <is>
          <t>S2</t>
        </is>
      </c>
    </row>
    <row r="29">
      <c r="A29" t="inlineStr">
        <is>
          <t>B-B-028</t>
        </is>
      </c>
      <c r="B29" t="inlineStr">
        <is>
          <t>250 Park Avenue South</t>
        </is>
      </c>
      <c r="C29" t="inlineStr">
        <is>
          <t>250 Park Avenue South (Feil Organization)</t>
        </is>
      </c>
      <c r="D29" t="n">
        <v>40.73827</v>
      </c>
      <c r="E29" t="n">
        <v>-73.98819899999999</v>
      </c>
      <c r="F29" t="inlineStr">
        <is>
          <t>unknown</t>
        </is>
      </c>
      <c r="G29" t="inlineStr"/>
      <c r="H29" t="inlineStr">
        <is>
          <t>unknown</t>
        </is>
      </c>
      <c r="I29" t="inlineStr"/>
      <c r="J29" t="n">
        <v>3</v>
      </c>
      <c r="K29" t="inlineStr"/>
      <c r="L29" s="3" t="inlineStr">
        <is>
          <t>[S2] 12-story Feil building at E 20th St. Tenants: Hex Technologies (fl 7), Wilson Daniels (fl 8), Pentagram; Gramercy Park Digestive Disease Center; retail Barbounia, Ligne Roset (CO 2026-01-09). Vita Coco left for 111 Fifth. SEC lists Kaltura's business address here (10th fl); S1 records Kaltura at 860 Broadway.</t>
        </is>
      </c>
      <c r="M29" t="inlineStr">
        <is>
          <t>1008480043</t>
        </is>
      </c>
      <c r="N29" t="inlineStr"/>
      <c r="O29" t="inlineStr">
        <is>
          <t>10003</t>
        </is>
      </c>
      <c r="P29" t="inlineStr">
        <is>
          <t>Y</t>
        </is>
      </c>
      <c r="Q29" t="inlineStr">
        <is>
          <t>B-C-056; B-C-057; B-C-058</t>
        </is>
      </c>
      <c r="R29" t="n">
        <v>0</v>
      </c>
      <c r="S29" t="inlineStr"/>
      <c r="T29" t="inlineStr"/>
      <c r="U29" t="n">
        <v>12</v>
      </c>
      <c r="V29" t="n">
        <v>1911</v>
      </c>
      <c r="W29" t="inlineStr">
        <is>
          <t>O6</t>
        </is>
      </c>
      <c r="X29" t="n">
        <v>103069</v>
      </c>
      <c r="Y29" t="inlineStr">
        <is>
          <t>242 PARK AVENUE SOUTH</t>
        </is>
      </c>
      <c r="Z29" t="inlineStr">
        <is>
          <t>PLUTO lot 242 PARK AVENUE SOUTH, centroid 3 m from pin</t>
        </is>
      </c>
      <c r="AA29" t="inlineStr">
        <is>
          <t>S2</t>
        </is>
      </c>
    </row>
    <row r="30">
      <c r="A30" t="inlineStr">
        <is>
          <t>B-B-029</t>
        </is>
      </c>
      <c r="B30" t="inlineStr">
        <is>
          <t>156 Fifth Avenue</t>
        </is>
      </c>
      <c r="C30" t="inlineStr">
        <is>
          <t>Presbyterian Building / Flatiron Suites (HRC)</t>
        </is>
      </c>
      <c r="D30" t="n">
        <v>40.740038</v>
      </c>
      <c r="E30" t="n">
        <v>-73.991401</v>
      </c>
      <c r="F30" t="inlineStr">
        <is>
          <t>unknown</t>
        </is>
      </c>
      <c r="G30" t="inlineStr"/>
      <c r="H30" t="inlineStr">
        <is>
          <t>unknown</t>
        </is>
      </c>
      <c r="I30" t="inlineStr"/>
      <c r="J30" t="n">
        <v>2</v>
      </c>
      <c r="K30" t="inlineStr"/>
      <c r="L30" s="3" t="inlineStr">
        <is>
          <t>[S2] 13-story; 100% occupied after Warp's expansion (CO 2026-08); new 3rd-floor amenity space. Tenants: Warp (7-8), Christie's International Real Estate Group (9); Codat and Encourage Capital (2022).</t>
        </is>
      </c>
      <c r="M30" t="inlineStr">
        <is>
          <t>1008220031</t>
        </is>
      </c>
      <c r="N30" t="inlineStr"/>
      <c r="O30" t="inlineStr">
        <is>
          <t>10010</t>
        </is>
      </c>
      <c r="P30" t="inlineStr">
        <is>
          <t>Y</t>
        </is>
      </c>
      <c r="Q30" t="inlineStr">
        <is>
          <t>B-C-059; B-C-060</t>
        </is>
      </c>
      <c r="R30" t="n">
        <v>0</v>
      </c>
      <c r="S30" t="inlineStr">
        <is>
          <t>B-W-007</t>
        </is>
      </c>
      <c r="T30" t="inlineStr"/>
      <c r="U30" t="n">
        <v>13</v>
      </c>
      <c r="V30" t="n">
        <v>1895</v>
      </c>
      <c r="W30" t="inlineStr">
        <is>
          <t>O6</t>
        </is>
      </c>
      <c r="X30" t="n">
        <v>169109</v>
      </c>
      <c r="Y30" t="inlineStr">
        <is>
          <t>154 5 AVENUE</t>
        </is>
      </c>
      <c r="Z30" t="inlineStr">
        <is>
          <t>PLUTO lot 154 5 AVENUE, centroid 11 m from pin</t>
        </is>
      </c>
      <c r="AA30" t="inlineStr">
        <is>
          <t>S2</t>
        </is>
      </c>
    </row>
    <row r="31">
      <c r="A31" t="inlineStr">
        <is>
          <t>B-B-030</t>
        </is>
      </c>
      <c r="B31" t="inlineStr">
        <is>
          <t>37 West 20th Street</t>
        </is>
      </c>
      <c r="C31" t="inlineStr">
        <is>
          <t>37 West 20th Street</t>
        </is>
      </c>
      <c r="D31" t="n">
        <v>40.740813</v>
      </c>
      <c r="E31" t="n">
        <v>-73.99310699999999</v>
      </c>
      <c r="F31" t="inlineStr">
        <is>
          <t>security desk</t>
        </is>
      </c>
      <c r="G31" s="2" t="inlineStr">
        <is>
          <t>https://www.metro-manhattan.com/buildings/37-west-20th-street-office-space-for-lease/</t>
        </is>
      </c>
      <c r="H31" t="inlineStr">
        <is>
          <t>unknown</t>
        </is>
      </c>
      <c r="I31" t="inlineStr"/>
      <c r="J31" t="n">
        <v>1</v>
      </c>
      <c r="K31" t="inlineStr"/>
      <c r="L31" s="3" t="inlineStr">
        <is>
          <t>[S2] Broker page (modified 2025-10-24): on-site security and management. Broker-listed tenants not verified.</t>
        </is>
      </c>
      <c r="M31" t="inlineStr">
        <is>
          <t>1008220009</t>
        </is>
      </c>
      <c r="N31" t="inlineStr"/>
      <c r="O31" t="inlineStr">
        <is>
          <t>10011</t>
        </is>
      </c>
      <c r="P31" t="inlineStr">
        <is>
          <t>Y</t>
        </is>
      </c>
      <c r="Q31" t="inlineStr">
        <is>
          <t>B-C-061</t>
        </is>
      </c>
      <c r="R31" t="n">
        <v>0</v>
      </c>
      <c r="S31" t="inlineStr"/>
      <c r="T31" t="inlineStr"/>
      <c r="U31" t="n">
        <v>12</v>
      </c>
      <c r="V31" t="n">
        <v>1910</v>
      </c>
      <c r="W31" t="inlineStr">
        <is>
          <t>O6</t>
        </is>
      </c>
      <c r="X31" t="n">
        <v>96942</v>
      </c>
      <c r="Y31" t="inlineStr">
        <is>
          <t>37 WEST 20 STREET</t>
        </is>
      </c>
      <c r="Z31" t="inlineStr">
        <is>
          <t>PLUTO lot 37 WEST 20 STREET, centroid 1 m from pin</t>
        </is>
      </c>
      <c r="AA31" t="inlineStr">
        <is>
          <t>S2</t>
        </is>
      </c>
    </row>
    <row r="32">
      <c r="A32" t="inlineStr">
        <is>
          <t>B-B-031</t>
        </is>
      </c>
      <c r="B32" t="inlineStr">
        <is>
          <t>902 Broadway</t>
        </is>
      </c>
      <c r="C32" t="inlineStr">
        <is>
          <t>902 Broadway (Rosen family / Koeppel Rosen)</t>
        </is>
      </c>
      <c r="D32" t="n">
        <v>40.739291</v>
      </c>
      <c r="E32" t="n">
        <v>-73.989363</v>
      </c>
      <c r="F32" t="inlineStr">
        <is>
          <t>security desk</t>
        </is>
      </c>
      <c r="G32" s="2" t="inlineStr">
        <is>
          <t>https://www.metro-manhattan.com/buildings/902-broadway/</t>
        </is>
      </c>
      <c r="H32" t="inlineStr">
        <is>
          <t>unknown</t>
        </is>
      </c>
      <c r="I32" t="inlineStr"/>
      <c r="J32" t="n">
        <v>3</v>
      </c>
      <c r="K32" t="inlineStr"/>
      <c r="L32" s="3" t="inlineStr">
        <is>
          <t>[S2] 20-story, spans Broadway between E 20th and E 21st St. Broker page: 24/7 security, freight entrance at 20 East 21st Street, three freight elevators. Tenants: Fenwick &amp; West, William Grant &amp; Sons (2-3), Industrious coworking (7), Manifest Law (8), Hudson Companies and Broadway Builders (12), MD2.</t>
        </is>
      </c>
      <c r="M32" t="inlineStr">
        <is>
          <t>1008490016</t>
        </is>
      </c>
      <c r="N32" t="inlineStr"/>
      <c r="O32" t="inlineStr">
        <is>
          <t>10010</t>
        </is>
      </c>
      <c r="P32" t="inlineStr">
        <is>
          <t>Y</t>
        </is>
      </c>
      <c r="Q32" t="inlineStr">
        <is>
          <t>B-C-062; B-C-063; B-C-064</t>
        </is>
      </c>
      <c r="R32" t="n">
        <v>2</v>
      </c>
      <c r="S32" t="inlineStr">
        <is>
          <t>B-W-008</t>
        </is>
      </c>
      <c r="T32" t="inlineStr"/>
      <c r="U32" t="n">
        <v>20</v>
      </c>
      <c r="V32" t="n">
        <v>1913</v>
      </c>
      <c r="W32" t="inlineStr">
        <is>
          <t>O4</t>
        </is>
      </c>
      <c r="X32" t="n">
        <v>309550</v>
      </c>
      <c r="Y32" t="inlineStr">
        <is>
          <t>902 BROADWAY</t>
        </is>
      </c>
      <c r="Z32" t="inlineStr">
        <is>
          <t>PLUTO lot 902 BROADWAY, centroid 4 m from pin</t>
        </is>
      </c>
      <c r="AA32" t="inlineStr">
        <is>
          <t>S2</t>
        </is>
      </c>
    </row>
    <row r="33">
      <c r="A33" t="inlineStr">
        <is>
          <t>B-B-032</t>
        </is>
      </c>
      <c r="B33" t="inlineStr">
        <is>
          <t>257 Park Avenue South</t>
        </is>
      </c>
      <c r="C33" t="inlineStr">
        <is>
          <t>Gramercy Park Building (Feil Organization)</t>
        </is>
      </c>
      <c r="D33" t="n">
        <v>40.738577</v>
      </c>
      <c r="E33" t="n">
        <v>-73.987151</v>
      </c>
      <c r="F33" t="inlineStr">
        <is>
          <t>unknown</t>
        </is>
      </c>
      <c r="G33" t="inlineStr"/>
      <c r="H33" t="inlineStr">
        <is>
          <t>unknown</t>
        </is>
      </c>
      <c r="I33" t="inlineStr"/>
      <c r="J33" t="n">
        <v>7</v>
      </c>
      <c r="K33" t="inlineStr"/>
      <c r="L33" s="3" t="inlineStr">
        <is>
          <t>[S2] 20-story Art Deco, 238,000 sf, 97% leased (CO 2026-07). Tenants: AngelList (18), Options Group (7), Argentic (20), ISAIA (10), Phipps Houses (11-12, 15), Pei Architects (19), Paul Smith (5), Beachwold (13); Maharam and AIS showrooms.</t>
        </is>
      </c>
      <c r="M33" t="inlineStr">
        <is>
          <t>1008767504</t>
        </is>
      </c>
      <c r="N33" t="inlineStr"/>
      <c r="O33" t="inlineStr">
        <is>
          <t>10010</t>
        </is>
      </c>
      <c r="P33" t="inlineStr">
        <is>
          <t>Y</t>
        </is>
      </c>
      <c r="Q33" t="inlineStr">
        <is>
          <t>B-C-065; B-C-066; B-C-067; B-C-068; B-C-069; B-C-070; B-C-071</t>
        </is>
      </c>
      <c r="R33" t="n">
        <v>1</v>
      </c>
      <c r="S33" t="inlineStr"/>
      <c r="T33" t="inlineStr"/>
      <c r="U33" t="n">
        <v>20</v>
      </c>
      <c r="V33" t="n">
        <v>1913</v>
      </c>
      <c r="W33" t="inlineStr">
        <is>
          <t>RB</t>
        </is>
      </c>
      <c r="X33" t="n">
        <v>189547</v>
      </c>
      <c r="Y33" t="inlineStr">
        <is>
          <t>257 PARK AVENUE SOUTH</t>
        </is>
      </c>
      <c r="Z33" t="inlineStr">
        <is>
          <t>PLUTO lot 257 PARK AVENUE SOUTH, centroid 1 m from pin</t>
        </is>
      </c>
      <c r="AA33" t="inlineStr">
        <is>
          <t>S2</t>
        </is>
      </c>
    </row>
    <row r="34">
      <c r="A34" t="inlineStr">
        <is>
          <t>B-B-033</t>
        </is>
      </c>
      <c r="B34" t="inlineStr">
        <is>
          <t>30 West 21st Street</t>
        </is>
      </c>
      <c r="C34" t="inlineStr">
        <is>
          <t>30 West 21st Street (Skyway Development Group)</t>
        </is>
      </c>
      <c r="D34" t="n">
        <v>40.74082</v>
      </c>
      <c r="E34" t="n">
        <v>-73.992366</v>
      </c>
      <c r="F34" t="inlineStr">
        <is>
          <t>unknown</t>
        </is>
      </c>
      <c r="G34" t="inlineStr"/>
      <c r="H34" t="inlineStr">
        <is>
          <t>unknown</t>
        </is>
      </c>
      <c r="I34" t="inlineStr"/>
      <c r="J34" t="n">
        <v>2</v>
      </c>
      <c r="K34" t="inlineStr"/>
      <c r="L34" s="3" t="inlineStr">
        <is>
          <t>[S2] 15-story. Tenants: Actively AI (9-10), Vivaldi (12), Reaktor (14), New York Stone.</t>
        </is>
      </c>
      <c r="M34" t="inlineStr">
        <is>
          <t>1008220058</t>
        </is>
      </c>
      <c r="N34" t="inlineStr"/>
      <c r="O34" t="inlineStr">
        <is>
          <t>10010</t>
        </is>
      </c>
      <c r="P34" t="inlineStr">
        <is>
          <t>Y</t>
        </is>
      </c>
      <c r="Q34" t="inlineStr">
        <is>
          <t>B-C-072; B-C-073</t>
        </is>
      </c>
      <c r="R34" t="n">
        <v>1</v>
      </c>
      <c r="S34" t="inlineStr"/>
      <c r="T34" t="inlineStr"/>
      <c r="U34" t="n">
        <v>15</v>
      </c>
      <c r="V34" t="n">
        <v>1907</v>
      </c>
      <c r="W34" t="inlineStr">
        <is>
          <t>O6</t>
        </is>
      </c>
      <c r="X34" t="n">
        <v>58280</v>
      </c>
      <c r="Y34" t="inlineStr">
        <is>
          <t>30 WEST 21 STREET</t>
        </is>
      </c>
      <c r="Z34" t="inlineStr">
        <is>
          <t>PLUTO lot 30 WEST 21 STREET, centroid 2 m from pin</t>
        </is>
      </c>
      <c r="AA34" t="inlineStr">
        <is>
          <t>S2</t>
        </is>
      </c>
    </row>
    <row r="35">
      <c r="A35" t="inlineStr">
        <is>
          <t>B-B-034</t>
        </is>
      </c>
      <c r="B35" t="inlineStr">
        <is>
          <t>915 Broadway</t>
        </is>
      </c>
      <c r="C35" t="inlineStr">
        <is>
          <t>915 Broadway (ABS Partners)</t>
        </is>
      </c>
      <c r="D35" t="n">
        <v>40.739825</v>
      </c>
      <c r="E35" t="n">
        <v>-73.990005</v>
      </c>
      <c r="F35" t="inlineStr">
        <is>
          <t>security desk</t>
        </is>
      </c>
      <c r="G35" s="2" t="inlineStr">
        <is>
          <t>https://www.metro-manhattan.com/buildings/915-broadway-office-space-for-lease/</t>
        </is>
      </c>
      <c r="H35" t="inlineStr">
        <is>
          <t>unknown</t>
        </is>
      </c>
      <c r="I35" t="inlineStr"/>
      <c r="J35" t="n">
        <v>2</v>
      </c>
      <c r="K35" t="inlineStr"/>
      <c r="L35" s="3" t="inlineStr">
        <is>
          <t>[S2] 20-story at E 21st St. Broker page (modified 2025-10-29): two lobbies including a renovated marble lobby with concierge service. Tenants: General Assembly (2-4), Stanford in New York; Athena Club moved out in 2026.</t>
        </is>
      </c>
      <c r="M35" t="inlineStr">
        <is>
          <t>1008490070</t>
        </is>
      </c>
      <c r="N35" t="inlineStr"/>
      <c r="O35" t="inlineStr">
        <is>
          <t>10010</t>
        </is>
      </c>
      <c r="P35" t="inlineStr">
        <is>
          <t>Y</t>
        </is>
      </c>
      <c r="Q35" t="inlineStr">
        <is>
          <t>B-C-074; B-C-075</t>
        </is>
      </c>
      <c r="R35" t="n">
        <v>0</v>
      </c>
      <c r="S35" t="inlineStr"/>
      <c r="T35" t="inlineStr"/>
      <c r="U35" t="n">
        <v>20</v>
      </c>
      <c r="V35" t="n">
        <v>1926</v>
      </c>
      <c r="W35" t="inlineStr">
        <is>
          <t>O4</t>
        </is>
      </c>
      <c r="X35" t="n">
        <v>197340</v>
      </c>
      <c r="Y35" t="inlineStr">
        <is>
          <t>915 BROADWAY</t>
        </is>
      </c>
      <c r="Z35" t="inlineStr">
        <is>
          <t>PLUTO lot 915 BROADWAY, centroid 1 m from pin</t>
        </is>
      </c>
      <c r="AA35" t="inlineStr">
        <is>
          <t>S2</t>
        </is>
      </c>
    </row>
    <row r="36">
      <c r="A36" t="inlineStr">
        <is>
          <t>B-B-035</t>
        </is>
      </c>
      <c r="B36" t="inlineStr">
        <is>
          <t>149 Fifth Avenue</t>
        </is>
      </c>
      <c r="C36" t="inlineStr">
        <is>
          <t>149 Fifth Avenue</t>
        </is>
      </c>
      <c r="D36" t="n">
        <v>40.740215</v>
      </c>
      <c r="E36" t="n">
        <v>-73.990004</v>
      </c>
      <c r="F36" t="inlineStr">
        <is>
          <t>unknown</t>
        </is>
      </c>
      <c r="G36" t="inlineStr"/>
      <c r="H36" t="inlineStr">
        <is>
          <t>unknown</t>
        </is>
      </c>
      <c r="I36" t="inlineStr"/>
      <c r="J36" t="n">
        <v>1</v>
      </c>
      <c r="K36" t="inlineStr"/>
      <c r="L36" s="3" t="inlineStr">
        <is>
          <t>[S2] 16-story, between E 21st and E 22nd St (William Colavito Inc.). Tenants: Euclidean Capital (two floors), Core real estate, Arc'teryx retail; small biotechs MiNK and Protagenic file SEC reports from Suite 500.</t>
        </is>
      </c>
      <c r="M36" t="inlineStr">
        <is>
          <t>1008500001</t>
        </is>
      </c>
      <c r="N36" t="inlineStr"/>
      <c r="O36" t="inlineStr">
        <is>
          <t>10010</t>
        </is>
      </c>
      <c r="P36" t="inlineStr">
        <is>
          <t>Y</t>
        </is>
      </c>
      <c r="Q36" t="inlineStr">
        <is>
          <t>B-C-076</t>
        </is>
      </c>
      <c r="R36" t="n">
        <v>0</v>
      </c>
      <c r="S36" t="inlineStr"/>
      <c r="T36" t="inlineStr"/>
      <c r="U36" t="n">
        <v>16</v>
      </c>
      <c r="V36" t="n">
        <v>1918</v>
      </c>
      <c r="W36" t="inlineStr">
        <is>
          <t>O6</t>
        </is>
      </c>
      <c r="X36" t="n">
        <v>165619</v>
      </c>
      <c r="Y36" t="inlineStr">
        <is>
          <t>149 5 AVENUE</t>
        </is>
      </c>
      <c r="Z36" t="inlineStr">
        <is>
          <t>PLUTO lot 149 5 AVENUE, centroid 2 m from pin</t>
        </is>
      </c>
      <c r="AA36" t="inlineStr">
        <is>
          <t>S2</t>
        </is>
      </c>
    </row>
    <row r="37">
      <c r="A37" t="inlineStr">
        <is>
          <t>B-B-036</t>
        </is>
      </c>
      <c r="B37" t="inlineStr">
        <is>
          <t>53 West 21st Street</t>
        </is>
      </c>
      <c r="C37" t="inlineStr">
        <is>
          <t>53-55 West 21st Street (Moinian Group)</t>
        </is>
      </c>
      <c r="D37" t="n">
        <v>40.741548</v>
      </c>
      <c r="E37" t="n">
        <v>-73.99300700000001</v>
      </c>
      <c r="F37" t="inlineStr">
        <is>
          <t>unknown</t>
        </is>
      </c>
      <c r="G37" t="inlineStr"/>
      <c r="H37" t="inlineStr">
        <is>
          <t>unknown</t>
        </is>
      </c>
      <c r="I37" t="inlineStr"/>
      <c r="J37" t="n">
        <v>3</v>
      </c>
      <c r="K37" t="inlineStr"/>
      <c r="L37" s="3" t="inlineStr">
        <is>
          <t>[S2] Moinian furnished short-term office suites. Tenants: Instant, Cobalt Service Partners, PlayPlay.</t>
        </is>
      </c>
      <c r="M37" t="inlineStr">
        <is>
          <t>1008230009</t>
        </is>
      </c>
      <c r="N37" t="inlineStr"/>
      <c r="O37" t="inlineStr">
        <is>
          <t>10010</t>
        </is>
      </c>
      <c r="P37" t="inlineStr">
        <is>
          <t>Y</t>
        </is>
      </c>
      <c r="Q37" t="inlineStr">
        <is>
          <t>B-C-077; B-C-078; B-C-079</t>
        </is>
      </c>
      <c r="R37" t="n">
        <v>0</v>
      </c>
      <c r="S37" t="inlineStr"/>
      <c r="T37" t="inlineStr"/>
      <c r="U37" t="n">
        <v>6</v>
      </c>
      <c r="V37" t="n">
        <v>1902</v>
      </c>
      <c r="W37" t="inlineStr">
        <is>
          <t>K4</t>
        </is>
      </c>
      <c r="X37" t="n">
        <v>10000</v>
      </c>
      <c r="Y37" t="inlineStr">
        <is>
          <t>53 WEST 21 STREET</t>
        </is>
      </c>
      <c r="Z37" t="inlineStr">
        <is>
          <t>PLUTO lot 53 WEST 21 STREET, centroid 1 m from pin</t>
        </is>
      </c>
      <c r="AA37" t="inlineStr">
        <is>
          <t>S2</t>
        </is>
      </c>
    </row>
    <row r="38">
      <c r="A38" t="inlineStr">
        <is>
          <t>B-B-037</t>
        </is>
      </c>
      <c r="B38" t="inlineStr">
        <is>
          <t>155 Fifth Avenue</t>
        </is>
      </c>
      <c r="C38" t="inlineStr">
        <is>
          <t>Scribner Building</t>
        </is>
      </c>
      <c r="D38" t="n">
        <v>40.740438</v>
      </c>
      <c r="E38" t="n">
        <v>-73.99003399999999</v>
      </c>
      <c r="F38" t="inlineStr">
        <is>
          <t>unknown</t>
        </is>
      </c>
      <c r="G38" t="inlineStr"/>
      <c r="H38" t="inlineStr">
        <is>
          <t>unknown</t>
        </is>
      </c>
      <c r="I38" t="inlineStr"/>
      <c r="J38" t="n">
        <v>2</v>
      </c>
      <c r="K38" t="inlineStr"/>
      <c r="L38" s="3" t="inlineStr">
        <is>
          <t>[S2] Six-story, between E 21st and E 22nd St. Tenants: Vitesse PSP, Varley offices (CO 2025-04).</t>
        </is>
      </c>
      <c r="M38" t="inlineStr">
        <is>
          <t>1008500004</t>
        </is>
      </c>
      <c r="N38" t="inlineStr"/>
      <c r="O38" t="inlineStr">
        <is>
          <t>10010</t>
        </is>
      </c>
      <c r="P38" t="inlineStr">
        <is>
          <t>Y</t>
        </is>
      </c>
      <c r="Q38" t="inlineStr">
        <is>
          <t>B-C-080; B-C-081</t>
        </is>
      </c>
      <c r="R38" t="n">
        <v>0</v>
      </c>
      <c r="S38" t="inlineStr"/>
      <c r="T38" t="inlineStr"/>
      <c r="U38" t="n">
        <v>7</v>
      </c>
      <c r="V38" t="n">
        <v>1894</v>
      </c>
      <c r="W38" t="inlineStr">
        <is>
          <t>O6</t>
        </is>
      </c>
      <c r="X38" t="n">
        <v>31788</v>
      </c>
      <c r="Y38" t="inlineStr">
        <is>
          <t>153 5 AVENUE</t>
        </is>
      </c>
      <c r="Z38" t="inlineStr">
        <is>
          <t>PLUTO lot 153 5 AVENUE, centroid 1 m from pin</t>
        </is>
      </c>
      <c r="AA38" t="inlineStr">
        <is>
          <t>S2</t>
        </is>
      </c>
    </row>
    <row r="39">
      <c r="A39" t="inlineStr">
        <is>
          <t>B-B-038</t>
        </is>
      </c>
      <c r="B39" t="inlineStr">
        <is>
          <t>675 Avenue of the Americas</t>
        </is>
      </c>
      <c r="C39" t="inlineStr">
        <is>
          <t>Adams Dry Goods / Mattel Building (GFP Real Estate)</t>
        </is>
      </c>
      <c r="D39" t="n">
        <v>40.742133</v>
      </c>
      <c r="E39" t="n">
        <v>-73.99399099999999</v>
      </c>
      <c r="F39" t="inlineStr">
        <is>
          <t>unknown</t>
        </is>
      </c>
      <c r="G39" t="inlineStr"/>
      <c r="H39" t="inlineStr">
        <is>
          <t>unknown</t>
        </is>
      </c>
      <c r="I39" t="inlineStr"/>
      <c r="J39" t="n">
        <v>3</v>
      </c>
      <c r="K39" t="inlineStr"/>
      <c r="L39" s="3" t="inlineStr">
        <is>
          <t>[S2] Between W 21st and W 22nd St. Tenants: Synthesia (50,000 sf, future HQ), Candid Health (3), CompStak (4); Built In lists WeightWatchers HQ here; Trader Joe's and DXL retail.</t>
        </is>
      </c>
      <c r="M39" t="inlineStr">
        <is>
          <t>1007970037</t>
        </is>
      </c>
      <c r="N39" t="inlineStr"/>
      <c r="O39" t="inlineStr">
        <is>
          <t>10010</t>
        </is>
      </c>
      <c r="P39" t="inlineStr">
        <is>
          <t>Y</t>
        </is>
      </c>
      <c r="Q39" t="inlineStr">
        <is>
          <t>B-C-082; B-C-083; B-C-084</t>
        </is>
      </c>
      <c r="R39" t="n">
        <v>0</v>
      </c>
      <c r="S39" t="inlineStr"/>
      <c r="T39" t="inlineStr">
        <is>
          <t>B-R-008</t>
        </is>
      </c>
      <c r="U39" t="n">
        <v>6</v>
      </c>
      <c r="V39" t="n">
        <v>1902</v>
      </c>
      <c r="W39" t="inlineStr">
        <is>
          <t>O5</t>
        </is>
      </c>
      <c r="X39" t="n">
        <v>200000</v>
      </c>
      <c r="Y39" t="inlineStr">
        <is>
          <t>675 AVENUE OF THE AMERICAS</t>
        </is>
      </c>
      <c r="Z39" t="inlineStr">
        <is>
          <t>PLUTO lot 675 AVENUE OF THE AMERICAS, centroid 1 m from pin</t>
        </is>
      </c>
      <c r="AA39" t="inlineStr">
        <is>
          <t>S2</t>
        </is>
      </c>
    </row>
    <row r="40">
      <c r="A40" t="inlineStr">
        <is>
          <t>B-B-039</t>
        </is>
      </c>
      <c r="B40" t="inlineStr">
        <is>
          <t>56 West 22nd Street</t>
        </is>
      </c>
      <c r="C40" t="inlineStr">
        <is>
          <t>56 West 22nd Street (Kaufman Organization)</t>
        </is>
      </c>
      <c r="D40" t="n">
        <v>40.741838</v>
      </c>
      <c r="E40" t="n">
        <v>-73.992892</v>
      </c>
      <c r="F40" t="inlineStr">
        <is>
          <t>unknown</t>
        </is>
      </c>
      <c r="G40" t="inlineStr"/>
      <c r="H40" t="inlineStr">
        <is>
          <t>unknown</t>
        </is>
      </c>
      <c r="I40" t="inlineStr"/>
      <c r="J40" t="n">
        <v>2</v>
      </c>
      <c r="K40" t="inlineStr"/>
      <c r="L40" s="3" t="inlineStr">
        <is>
          <t>[S2] 12-story. Empathy HQ (PH), Sharma Brands (11), Hope Street Capital (10, 2021).</t>
        </is>
      </c>
      <c r="M40" t="inlineStr">
        <is>
          <t>1008230073</t>
        </is>
      </c>
      <c r="N40" t="inlineStr"/>
      <c r="O40" t="inlineStr">
        <is>
          <t>10010</t>
        </is>
      </c>
      <c r="P40" t="inlineStr">
        <is>
          <t>Y</t>
        </is>
      </c>
      <c r="Q40" t="inlineStr">
        <is>
          <t>B-C-085; B-C-086</t>
        </is>
      </c>
      <c r="R40" t="n">
        <v>0</v>
      </c>
      <c r="S40" t="inlineStr"/>
      <c r="T40" t="inlineStr"/>
      <c r="U40" t="n">
        <v>12</v>
      </c>
      <c r="V40" t="n">
        <v>1908</v>
      </c>
      <c r="W40" t="inlineStr">
        <is>
          <t>O6</t>
        </is>
      </c>
      <c r="X40" t="n">
        <v>50600</v>
      </c>
      <c r="Y40" t="inlineStr">
        <is>
          <t>56 WEST 22 STREET</t>
        </is>
      </c>
      <c r="Z40" t="inlineStr">
        <is>
          <t>PLUTO lot 56 WEST 22 STREET, centroid 2 m from pin</t>
        </is>
      </c>
      <c r="AA40" t="inlineStr">
        <is>
          <t>S2</t>
        </is>
      </c>
    </row>
    <row r="41">
      <c r="A41" t="inlineStr">
        <is>
          <t>B-B-040</t>
        </is>
      </c>
      <c r="B41" t="inlineStr">
        <is>
          <t>20 West 22nd Street</t>
        </is>
      </c>
      <c r="C41" t="inlineStr">
        <is>
          <t>20 West 22nd Street (ABS Partners, managing agent)</t>
        </is>
      </c>
      <c r="D41" t="n">
        <v>40.74129</v>
      </c>
      <c r="E41" t="n">
        <v>-73.991589</v>
      </c>
      <c r="F41" t="inlineStr">
        <is>
          <t>security desk</t>
        </is>
      </c>
      <c r="G41" s="2" t="inlineStr">
        <is>
          <t>https://commercialobserver.com/2022/06/the-information-20-west-22nd-street/</t>
        </is>
      </c>
      <c r="H41" t="inlineStr">
        <is>
          <t>unknown</t>
        </is>
      </c>
      <c r="I41" t="inlineStr"/>
      <c r="J41" t="n">
        <v>1</v>
      </c>
      <c r="K41" t="inlineStr"/>
      <c r="L41" s="3" t="inlineStr">
        <is>
          <t>[S2] 16-story, 175,000 sf. Tenant broker quoted in CO (2022): 'they have a doorman and security'. The Information East Coast bureau (Suite 1006). [S3] 16-story 1911 multi-tenant building described as multi-tenant with about 72 tenants (CommercialCafe listing seen in search results; page returned 403, unverified, founder to confirm); 97% leased in 2023 (FNP Nov 2023 roundup). The Information's East Coast bureau is in Suite 1006 (theinformation.com/about, live); CO 2022-06-15 quotes its broker saying the building has 'a doorman and security'. S2 records The Information.</t>
        </is>
      </c>
      <c r="M41" t="inlineStr">
        <is>
          <t>1008230055</t>
        </is>
      </c>
      <c r="N41" t="inlineStr"/>
      <c r="O41" t="inlineStr">
        <is>
          <t>10010</t>
        </is>
      </c>
      <c r="P41" t="inlineStr">
        <is>
          <t>Y</t>
        </is>
      </c>
      <c r="Q41" t="inlineStr">
        <is>
          <t>B-C-087</t>
        </is>
      </c>
      <c r="R41" t="n">
        <v>0</v>
      </c>
      <c r="S41" t="inlineStr"/>
      <c r="T41" t="inlineStr"/>
      <c r="U41" t="n">
        <v>16</v>
      </c>
      <c r="V41" t="n">
        <v>1911</v>
      </c>
      <c r="W41" t="inlineStr">
        <is>
          <t>O6</t>
        </is>
      </c>
      <c r="X41" t="n">
        <v>144393</v>
      </c>
      <c r="Y41" t="inlineStr">
        <is>
          <t>20 WEST 22 STREET</t>
        </is>
      </c>
      <c r="Z41" t="inlineStr">
        <is>
          <t>PLUTO lot 20 WEST 22 STREET, centroid 2 m from pin</t>
        </is>
      </c>
      <c r="AA41" t="inlineStr">
        <is>
          <t>S2;S3</t>
        </is>
      </c>
    </row>
    <row r="42">
      <c r="A42" t="inlineStr">
        <is>
          <t>B-B-041</t>
        </is>
      </c>
      <c r="B42" t="inlineStr">
        <is>
          <t>16 West 22nd Street</t>
        </is>
      </c>
      <c r="C42" t="inlineStr">
        <is>
          <t>16 West 22nd Street (Meysar Realty / GFP)</t>
        </is>
      </c>
      <c r="D42" t="n">
        <v>40.741269</v>
      </c>
      <c r="E42" t="n">
        <v>-73.991221</v>
      </c>
      <c r="F42" t="inlineStr">
        <is>
          <t>unknown</t>
        </is>
      </c>
      <c r="G42" t="inlineStr"/>
      <c r="H42" t="inlineStr">
        <is>
          <t>unknown</t>
        </is>
      </c>
      <c r="I42" t="inlineStr"/>
      <c r="J42" t="n">
        <v>2</v>
      </c>
      <c r="K42" t="inlineStr"/>
      <c r="L42" s="3" t="inlineStr">
        <is>
          <t>[S2] 1910 building. Tenants: e.l.f. Beauty (39,000 sf), M&amp;C Saatchi (9), Heard City (5), Sussex Publishers (2). [S3] 12-story 1910 neo-Renaissance loft building, about 165,000 sf (CO 2024-08-27). Tenants: e.l.f. Beauty (NYC HQ office, 4th floor per elfbeauty.com/contact-us, 39,000 sf total; S2 recorded it), M&amp;C Saatchi Group (entire 9th floor, about 13,000 sf, per Built In and FNP Jan 2024), Sussex Publishers / Psychology Today (3,285 sf) and Heard City (5th floor) (both recorded by S2).</t>
        </is>
      </c>
      <c r="M42" t="inlineStr">
        <is>
          <t>1008230029</t>
        </is>
      </c>
      <c r="N42" t="inlineStr"/>
      <c r="O42" t="inlineStr">
        <is>
          <t>10010</t>
        </is>
      </c>
      <c r="P42" t="inlineStr">
        <is>
          <t>Y</t>
        </is>
      </c>
      <c r="Q42" t="inlineStr">
        <is>
          <t>B-C-088; B-C-089</t>
        </is>
      </c>
      <c r="R42" t="n">
        <v>2</v>
      </c>
      <c r="S42" t="inlineStr"/>
      <c r="T42" t="inlineStr"/>
      <c r="U42" t="n">
        <v>12</v>
      </c>
      <c r="V42" t="n">
        <v>1910</v>
      </c>
      <c r="W42" t="inlineStr">
        <is>
          <t>O6</t>
        </is>
      </c>
      <c r="X42" t="n">
        <v>117007</v>
      </c>
      <c r="Y42" t="inlineStr">
        <is>
          <t>15 WEST 21 STREET</t>
        </is>
      </c>
      <c r="Z42" t="inlineStr">
        <is>
          <t>PLUTO lot 15 WEST 21 STREET, centroid 31 m from pin; Pin moved at assembly from street index 21.30 to the south frontage of 22th St named by the address (tax lot unchanged; the geocoder had placed it on the far side of the lot).</t>
        </is>
      </c>
      <c r="AA42" t="inlineStr">
        <is>
          <t>S2;S3</t>
        </is>
      </c>
    </row>
    <row r="43">
      <c r="A43" t="inlineStr">
        <is>
          <t>B-B-042</t>
        </is>
      </c>
      <c r="B43" t="inlineStr">
        <is>
          <t>287 Park Avenue South</t>
        </is>
      </c>
      <c r="C43" t="inlineStr">
        <is>
          <t>United Charities Building</t>
        </is>
      </c>
      <c r="D43" t="n">
        <v>40.739504</v>
      </c>
      <c r="E43" t="n">
        <v>-73.98639900000001</v>
      </c>
      <c r="F43" t="inlineStr">
        <is>
          <t>unknown</t>
        </is>
      </c>
      <c r="G43" t="inlineStr"/>
      <c r="H43" t="inlineStr">
        <is>
          <t>unknown</t>
        </is>
      </c>
      <c r="I43" t="inlineStr"/>
      <c r="J43" t="n">
        <v>0</v>
      </c>
      <c r="K43" t="inlineStr"/>
      <c r="L43" s="3" t="inlineStr">
        <is>
          <t>[S2] Margin (E 22nd St corner, 22nd-23rd block). Spaces (IWG) leased the whole office portion, floors 2-9, about 100,613 sf (CO 2018). Current operation not re-confirmed; coworking location, see coworking list.</t>
        </is>
      </c>
      <c r="M43" t="inlineStr">
        <is>
          <t>1008780001</t>
        </is>
      </c>
      <c r="N43" t="inlineStr"/>
      <c r="O43" t="inlineStr">
        <is>
          <t>10010</t>
        </is>
      </c>
      <c r="P43" t="inlineStr">
        <is>
          <t>Y</t>
        </is>
      </c>
      <c r="Q43" t="inlineStr"/>
      <c r="R43" t="n">
        <v>0</v>
      </c>
      <c r="S43" t="inlineStr">
        <is>
          <t>B-W-009</t>
        </is>
      </c>
      <c r="T43" t="inlineStr"/>
      <c r="U43" t="n">
        <v>9</v>
      </c>
      <c r="V43" t="n">
        <v>1893</v>
      </c>
      <c r="W43" t="inlineStr">
        <is>
          <t>O6</t>
        </is>
      </c>
      <c r="X43" t="n">
        <v>96453</v>
      </c>
      <c r="Y43" t="inlineStr">
        <is>
          <t>287 PARK AVENUE SOUTH</t>
        </is>
      </c>
      <c r="Z43" t="inlineStr">
        <is>
          <t>PLUTO lot 287 PARK AVENUE SOUTH, centroid 7 m from pin</t>
        </is>
      </c>
      <c r="AA43" t="inlineStr">
        <is>
          <t>S2</t>
        </is>
      </c>
    </row>
    <row r="44">
      <c r="A44" t="inlineStr">
        <is>
          <t>B-B-043</t>
        </is>
      </c>
      <c r="B44" t="inlineStr">
        <is>
          <t>7 West 22nd Street</t>
        </is>
      </c>
      <c r="C44" t="inlineStr">
        <is>
          <t>7 West 22nd Street</t>
        </is>
      </c>
      <c r="D44" t="n">
        <v>40.741355</v>
      </c>
      <c r="E44" t="n">
        <v>-73.99059800000001</v>
      </c>
      <c r="F44" t="inlineStr">
        <is>
          <t>unknown</t>
        </is>
      </c>
      <c r="G44" t="inlineStr"/>
      <c r="H44" t="inlineStr">
        <is>
          <t>unknown</t>
        </is>
      </c>
      <c r="I44" t="inlineStr"/>
      <c r="J44" t="n">
        <v>1</v>
      </c>
      <c r="K44" t="inlineStr"/>
      <c r="L44" s="3" t="inlineStr">
        <is>
          <t>[S2] Hungryroot took the 6th floor in 2019 (not re-confirmed).</t>
        </is>
      </c>
      <c r="M44" t="inlineStr">
        <is>
          <t>1008240032</t>
        </is>
      </c>
      <c r="N44" t="inlineStr"/>
      <c r="O44" t="inlineStr">
        <is>
          <t>10010</t>
        </is>
      </c>
      <c r="P44" t="inlineStr">
        <is>
          <t>Y</t>
        </is>
      </c>
      <c r="Q44" t="inlineStr">
        <is>
          <t>B-C-090</t>
        </is>
      </c>
      <c r="R44" t="n">
        <v>0</v>
      </c>
      <c r="S44" t="inlineStr"/>
      <c r="T44" t="inlineStr"/>
      <c r="U44" t="n">
        <v>10</v>
      </c>
      <c r="V44" t="n">
        <v>1901</v>
      </c>
      <c r="W44" t="inlineStr">
        <is>
          <t>O6</t>
        </is>
      </c>
      <c r="X44" t="n">
        <v>80999</v>
      </c>
      <c r="Y44" t="inlineStr">
        <is>
          <t>3 WEST 22 STREET</t>
        </is>
      </c>
      <c r="Z44" t="inlineStr">
        <is>
          <t>PLUTO lot 3 WEST 22 STREET, centroid 1 m from pin</t>
        </is>
      </c>
      <c r="AA44" t="inlineStr">
        <is>
          <t>S2</t>
        </is>
      </c>
    </row>
    <row r="45">
      <c r="A45" t="inlineStr">
        <is>
          <t>B-B-044</t>
        </is>
      </c>
      <c r="B45" t="inlineStr">
        <is>
          <t>300 Park Avenue South</t>
        </is>
      </c>
      <c r="C45" t="inlineStr">
        <is>
          <t>300 Park Avenue South (Rockrose); also addressed 290 Park Avenue South</t>
        </is>
      </c>
      <c r="D45" t="n">
        <v>40.739848</v>
      </c>
      <c r="E45" t="n">
        <v>-73.987027</v>
      </c>
      <c r="F45" t="inlineStr">
        <is>
          <t>security desk</t>
        </is>
      </c>
      <c r="G45" s="2" t="inlineStr">
        <is>
          <t>https://rockrose.com/office/300-park-ave-s/</t>
        </is>
      </c>
      <c r="H45" t="inlineStr">
        <is>
          <t>unknown</t>
        </is>
      </c>
      <c r="I45" t="inlineStr"/>
      <c r="J45" t="n">
        <v>2</v>
      </c>
      <c r="K45" t="inlineStr"/>
      <c r="L45" s="3" t="inlineStr">
        <is>
          <t>[S2] Margin (22nd-23rd St block). 15-story. Flexible Finance (top 3 floors), 1stDibs (10, recorded by S3), FanDuel (S3), AppsFlyer (2021). [S3] Rockrose page: '24-hour Attended Lobby'; 13,671 sf floor plates; subway entrance in front. Major office tenants listed: FanDuel and William Grant &amp; Sons. William Grant announced its US HQ move to 902 Broadway (FNP Jan 2025 roundup citing NY Business Journal), so that listing looks stale; not recorded as a company row.</t>
        </is>
      </c>
      <c r="M45" t="inlineStr">
        <is>
          <t>1008510035</t>
        </is>
      </c>
      <c r="N45" t="inlineStr"/>
      <c r="O45" t="inlineStr">
        <is>
          <t>10010</t>
        </is>
      </c>
      <c r="P45" t="inlineStr">
        <is>
          <t>Y</t>
        </is>
      </c>
      <c r="Q45" t="inlineStr">
        <is>
          <t>B-C-091; B-C-092</t>
        </is>
      </c>
      <c r="R45" t="n">
        <v>1</v>
      </c>
      <c r="S45" t="inlineStr"/>
      <c r="T45" t="inlineStr"/>
      <c r="U45" t="n">
        <v>14</v>
      </c>
      <c r="V45" t="n">
        <v>1911</v>
      </c>
      <c r="W45" t="inlineStr">
        <is>
          <t>O6</t>
        </is>
      </c>
      <c r="X45" t="n">
        <v>148400</v>
      </c>
      <c r="Y45" t="inlineStr">
        <is>
          <t>286 PARK AVENUE SOUTH</t>
        </is>
      </c>
      <c r="Z45" t="inlineStr">
        <is>
          <t>PLUTO lot 286 PARK AVENUE SOUTH, centroid 1 m from pin</t>
        </is>
      </c>
      <c r="AA45" t="inlineStr">
        <is>
          <t>S2;S3</t>
        </is>
      </c>
    </row>
    <row r="46">
      <c r="A46" t="inlineStr">
        <is>
          <t>B-B-045</t>
        </is>
      </c>
      <c r="B46" t="inlineStr">
        <is>
          <t>25 East 22nd Street</t>
        </is>
      </c>
      <c r="C46" t="inlineStr">
        <is>
          <t>25 East 22nd Street (owner-occupied by Kodansha)</t>
        </is>
      </c>
      <c r="D46" t="n">
        <v>40.740287</v>
      </c>
      <c r="E46" t="n">
        <v>-73.98805</v>
      </c>
      <c r="F46" t="inlineStr">
        <is>
          <t>unknown</t>
        </is>
      </c>
      <c r="G46" t="inlineStr"/>
      <c r="H46" t="inlineStr">
        <is>
          <t>unknown</t>
        </is>
      </c>
      <c r="I46" t="inlineStr"/>
      <c r="J46" t="n">
        <v>1</v>
      </c>
      <c r="K46" t="inlineStr"/>
      <c r="L46" s="3" t="inlineStr">
        <is>
          <t>[S3] Six-story, about 17,000 sf building bought by Japanese publisher Kodansha (FNP Feb 2024 roundup citing Crain's).</t>
        </is>
      </c>
      <c r="M46" t="inlineStr">
        <is>
          <t>1008510022</t>
        </is>
      </c>
      <c r="N46" t="inlineStr"/>
      <c r="O46" t="inlineStr">
        <is>
          <t>10010</t>
        </is>
      </c>
      <c r="P46" t="inlineStr">
        <is>
          <t>Y</t>
        </is>
      </c>
      <c r="Q46" t="inlineStr">
        <is>
          <t>B-C-093</t>
        </is>
      </c>
      <c r="R46" t="n">
        <v>0</v>
      </c>
      <c r="S46" t="inlineStr"/>
      <c r="T46" t="inlineStr"/>
      <c r="U46" t="n">
        <v>6</v>
      </c>
      <c r="V46" t="n">
        <v>1904</v>
      </c>
      <c r="W46" t="inlineStr">
        <is>
          <t>O2</t>
        </is>
      </c>
      <c r="X46" t="n">
        <v>16894</v>
      </c>
      <c r="Y46" t="inlineStr">
        <is>
          <t>25 EAST 22 STREET</t>
        </is>
      </c>
      <c r="Z46" t="inlineStr">
        <is>
          <t>PLUTO lot 25 EAST 22 STREET, centroid 3 m from pin</t>
        </is>
      </c>
      <c r="AA46" t="inlineStr">
        <is>
          <t>S3</t>
        </is>
      </c>
    </row>
    <row r="47">
      <c r="A47" t="inlineStr">
        <is>
          <t>B-B-046</t>
        </is>
      </c>
      <c r="B47" t="inlineStr">
        <is>
          <t>50 West 23rd Street</t>
        </is>
      </c>
      <c r="C47" t="inlineStr">
        <is>
          <t>50 West 23rd Street (Two Trees Management)</t>
        </is>
      </c>
      <c r="D47" t="n">
        <v>40.742075</v>
      </c>
      <c r="E47" t="n">
        <v>-73.991811</v>
      </c>
      <c r="F47" t="inlineStr">
        <is>
          <t>security desk</t>
        </is>
      </c>
      <c r="G47" s="2" t="inlineStr">
        <is>
          <t>https://nyrej.com/index.php/two-new-leases-signed-at-50-west-23rd-st</t>
        </is>
      </c>
      <c r="H47" t="inlineStr">
        <is>
          <t>unknown</t>
        </is>
      </c>
      <c r="I47" t="inlineStr"/>
      <c r="J47" t="n">
        <v>2</v>
      </c>
      <c r="K47" t="inlineStr"/>
      <c r="L47" s="3" t="inlineStr">
        <is>
          <t>[S3] 13-story, 341,000 sf Beaux-Arts loft building, fully leased per Two Trees (NYREJ 2025-10-14): 'newly renovated lobby with a 24/7 attendant', bicycle entry, rooftop garden. Tenants: BuzzFeed HQ, Foursquare HQ, MSQ Partners NA HQ, Instacart, Trustpilot, BMF, Curex (small), Clinch (2023 lease; Built In now lists Clinch HQ at 37 W 20th St).</t>
        </is>
      </c>
      <c r="M47" t="inlineStr">
        <is>
          <t>1008240015</t>
        </is>
      </c>
      <c r="N47" t="inlineStr"/>
      <c r="O47" t="inlineStr">
        <is>
          <t>10010</t>
        </is>
      </c>
      <c r="P47" t="inlineStr">
        <is>
          <t>Y</t>
        </is>
      </c>
      <c r="Q47" t="inlineStr">
        <is>
          <t>B-C-094; B-C-095</t>
        </is>
      </c>
      <c r="R47" t="n">
        <v>4</v>
      </c>
      <c r="S47" t="inlineStr"/>
      <c r="T47" t="inlineStr"/>
      <c r="U47" t="n">
        <v>13</v>
      </c>
      <c r="V47" t="n">
        <v>1906</v>
      </c>
      <c r="W47" t="inlineStr">
        <is>
          <t>O6</t>
        </is>
      </c>
      <c r="X47" t="n">
        <v>262598</v>
      </c>
      <c r="Y47" t="inlineStr">
        <is>
          <t>37 WEST 22 STREET</t>
        </is>
      </c>
      <c r="Z47" t="inlineStr">
        <is>
          <t>PLUTO lot 37 WEST 22 STREET, centroid 13 m from pin</t>
        </is>
      </c>
      <c r="AA47" t="inlineStr">
        <is>
          <t>S3</t>
        </is>
      </c>
    </row>
    <row r="48">
      <c r="A48" t="inlineStr">
        <is>
          <t>B-B-047</t>
        </is>
      </c>
      <c r="B48" t="inlineStr">
        <is>
          <t>61 West 23rd Street</t>
        </is>
      </c>
      <c r="C48" t="inlineStr">
        <is>
          <t>61 West 23rd Street (Zegna family; Taconic development partner)</t>
        </is>
      </c>
      <c r="D48" t="n">
        <v>40.742771</v>
      </c>
      <c r="E48" t="n">
        <v>-73.991782</v>
      </c>
      <c r="F48" t="inlineStr">
        <is>
          <t>unknown</t>
        </is>
      </c>
      <c r="G48" t="inlineStr"/>
      <c r="H48" t="inlineStr">
        <is>
          <t>unknown</t>
        </is>
      </c>
      <c r="I48" t="inlineStr"/>
      <c r="J48" t="n">
        <v>2</v>
      </c>
      <c r="K48" t="inlineStr"/>
      <c r="L48" s="3" t="inlineStr">
        <is>
          <t>[S3] Seven-story building between Fifth and Sixth Aves owned by the Zegna family (CO 2026-09-21). 2026 full-floor leases: Inspiren (moved in Sept 2026) and Normal Computing (moving Nov 2026, about 30 staff). An 8,367 sf lease here in 2023 (REBusiness 2023-04-11) was reported by CO as The Action Network, but Built In now lists that company's HQ at 275 Madison Ave, so it is not recorded.</t>
        </is>
      </c>
      <c r="M48" t="inlineStr">
        <is>
          <t>1008250009</t>
        </is>
      </c>
      <c r="N48" t="inlineStr"/>
      <c r="O48" t="inlineStr">
        <is>
          <t>10010</t>
        </is>
      </c>
      <c r="P48" t="inlineStr">
        <is>
          <t>Y</t>
        </is>
      </c>
      <c r="Q48" t="inlineStr">
        <is>
          <t>B-C-096; B-C-097</t>
        </is>
      </c>
      <c r="R48" t="n">
        <v>0</v>
      </c>
      <c r="S48" t="inlineStr"/>
      <c r="T48" t="inlineStr"/>
      <c r="U48" t="n">
        <v>7</v>
      </c>
      <c r="V48" t="n">
        <v>1920</v>
      </c>
      <c r="W48" t="inlineStr">
        <is>
          <t>O6</t>
        </is>
      </c>
      <c r="X48" t="n">
        <v>39990</v>
      </c>
      <c r="Y48" t="inlineStr">
        <is>
          <t>61 WEST 23 STREET</t>
        </is>
      </c>
      <c r="Z48" t="inlineStr">
        <is>
          <t>PLUTO lot 61 WEST 23 STREET, centroid 0 m from pin</t>
        </is>
      </c>
      <c r="AA48" t="inlineStr">
        <is>
          <t>S3</t>
        </is>
      </c>
    </row>
    <row r="49">
      <c r="A49" t="inlineStr">
        <is>
          <t>B-B-048</t>
        </is>
      </c>
      <c r="B49" t="inlineStr">
        <is>
          <t>71 West 23rd Street</t>
        </is>
      </c>
      <c r="C49" t="inlineStr">
        <is>
          <t>71 West 23rd Street</t>
        </is>
      </c>
      <c r="D49" t="n">
        <v>40.743043</v>
      </c>
      <c r="E49" t="n">
        <v>-73.99233</v>
      </c>
      <c r="F49" t="inlineStr">
        <is>
          <t>unknown</t>
        </is>
      </c>
      <c r="G49" t="inlineStr"/>
      <c r="H49" t="inlineStr">
        <is>
          <t>unknown</t>
        </is>
      </c>
      <c r="I49" t="inlineStr"/>
      <c r="J49" t="n">
        <v>1</v>
      </c>
      <c r="K49" t="inlineStr"/>
      <c r="L49" s="3" t="inlineStr">
        <is>
          <t>[S3] BrainPOP is on the 17th floor (brainpop.com terms and privacy pages, live). Built In also lists Roland Foods here (12th floor), but rolandfoods.com/contact gives 115 W 18th St Fl 5, so Roland is not recorded. The Fader moved out to Dumbo (CO tag page, Sept 2025).</t>
        </is>
      </c>
      <c r="M49" t="inlineStr">
        <is>
          <t>1008250001</t>
        </is>
      </c>
      <c r="N49" t="inlineStr"/>
      <c r="O49" t="inlineStr">
        <is>
          <t>10010</t>
        </is>
      </c>
      <c r="P49" t="inlineStr">
        <is>
          <t>Y</t>
        </is>
      </c>
      <c r="Q49" t="inlineStr">
        <is>
          <t>B-C-098</t>
        </is>
      </c>
      <c r="R49" t="n">
        <v>0</v>
      </c>
      <c r="S49" t="inlineStr"/>
      <c r="T49" t="inlineStr"/>
      <c r="U49" t="n">
        <v>19</v>
      </c>
      <c r="V49" t="n">
        <v>1912</v>
      </c>
      <c r="W49" t="inlineStr">
        <is>
          <t>P2</t>
        </is>
      </c>
      <c r="X49" t="n">
        <v>207718</v>
      </c>
      <c r="Y49" t="inlineStr">
        <is>
          <t>716 AVENUE OF THE AMERICAS</t>
        </is>
      </c>
      <c r="Z49" t="inlineStr">
        <is>
          <t>PLUTO lot 716 AVENUE OF THE AMERICAS, centroid 19 m from pin</t>
        </is>
      </c>
      <c r="AA49" t="inlineStr">
        <is>
          <t>S3</t>
        </is>
      </c>
    </row>
    <row r="50">
      <c r="A50" t="inlineStr">
        <is>
          <t>B-B-049</t>
        </is>
      </c>
      <c r="B50" t="inlineStr">
        <is>
          <t>43 West 23rd Street</t>
        </is>
      </c>
      <c r="C50" t="inlineStr">
        <is>
          <t>43 West 23rd Street (Castro Properties)</t>
        </is>
      </c>
      <c r="D50" t="n">
        <v>40.742641</v>
      </c>
      <c r="E50" t="n">
        <v>-73.991083</v>
      </c>
      <c r="F50" t="inlineStr">
        <is>
          <t>unknown</t>
        </is>
      </c>
      <c r="G50" t="inlineStr"/>
      <c r="H50" t="inlineStr">
        <is>
          <t>unknown</t>
        </is>
      </c>
      <c r="I50" t="inlineStr"/>
      <c r="J50" t="n">
        <v>1</v>
      </c>
      <c r="K50" t="inlineStr"/>
      <c r="L50" s="3" t="inlineStr">
        <is>
          <t>[S3] Eight-story building one block west of the Flatiron Building; 100% leased after Chalk's 26,607 sf lease (CO 2026-07).</t>
        </is>
      </c>
      <c r="M50" t="inlineStr">
        <is>
          <t>1008250017</t>
        </is>
      </c>
      <c r="N50" t="inlineStr"/>
      <c r="O50" t="inlineStr">
        <is>
          <t>10010</t>
        </is>
      </c>
      <c r="P50" t="inlineStr">
        <is>
          <t>Y</t>
        </is>
      </c>
      <c r="Q50" t="inlineStr">
        <is>
          <t>B-C-099</t>
        </is>
      </c>
      <c r="R50" t="n">
        <v>0</v>
      </c>
      <c r="S50" t="inlineStr"/>
      <c r="T50" t="inlineStr"/>
      <c r="U50" t="n">
        <v>8</v>
      </c>
      <c r="V50" t="n">
        <v>1894</v>
      </c>
      <c r="W50" t="inlineStr">
        <is>
          <t>O6</t>
        </is>
      </c>
      <c r="X50" t="n">
        <v>77000</v>
      </c>
      <c r="Y50" t="inlineStr">
        <is>
          <t>43 WEST 23 STREET</t>
        </is>
      </c>
      <c r="Z50" t="inlineStr">
        <is>
          <t>PLUTO lot 43 WEST 23 STREET, centroid 1 m from pin</t>
        </is>
      </c>
      <c r="AA50" t="inlineStr">
        <is>
          <t>S3</t>
        </is>
      </c>
    </row>
    <row r="51">
      <c r="A51" t="inlineStr">
        <is>
          <t>B-B-050</t>
        </is>
      </c>
      <c r="B51" t="inlineStr">
        <is>
          <t>53 West 23rd Street</t>
        </is>
      </c>
      <c r="C51" t="inlineStr">
        <is>
          <t>49-53 West 23rd Street (Adams &amp; Company)</t>
        </is>
      </c>
      <c r="D51" t="n">
        <v>40.742807</v>
      </c>
      <c r="E51" t="n">
        <v>-73.99144699999999</v>
      </c>
      <c r="F51" t="inlineStr">
        <is>
          <t>security desk</t>
        </is>
      </c>
      <c r="G51" s="2" t="inlineStr">
        <is>
          <t>https://www.adamsre.com/collections/madison-square-park/products/53-west-23rd</t>
        </is>
      </c>
      <c r="H51" t="inlineStr">
        <is>
          <t>unknown</t>
        </is>
      </c>
      <c r="I51" t="inlineStr"/>
      <c r="J51" t="n">
        <v>2</v>
      </c>
      <c r="K51" t="inlineStr"/>
      <c r="L51" s="3" t="inlineStr">
        <is>
          <t>[S3] 49 and 53 West 23rd St geocode to the same tax lot (bbl 1008250012). 53 W 23rd: 12 stories, tenants Huge (8), TileBar (3-4), LaForce (PR), P.C. Richard &amp; Son ground-floor retail (CO 2025-10-02). 49 W 23rd: AI One (about 20 staff per Built In), Publishers Weekly, JB Drax Honore, a dentist, The Pack gym (CO 2025-12-12). theSkimm is listed at 53 W 23rd on Built In but its legal pages point to parent Ziff Davis/Everyday Health at 360 PAS, so not recorded here. Adams &amp; Co site (live): 53 W 23rd is one of three attached buildings in its '23rd Street Complex' (with 49 W 23rd and 30 W 24th); lobby renovated 2018, '24/7 guard service', 'card-access controlled with turnstiles', 3 passenger and 2 freight elevators; 49 W 23rd also lists 24/7 guard and 1 freight elevator.</t>
        </is>
      </c>
      <c r="M51" t="inlineStr">
        <is>
          <t>1008250012</t>
        </is>
      </c>
      <c r="N51" t="inlineStr"/>
      <c r="O51" t="inlineStr">
        <is>
          <t>10010</t>
        </is>
      </c>
      <c r="P51" t="inlineStr">
        <is>
          <t>Y</t>
        </is>
      </c>
      <c r="Q51" t="inlineStr">
        <is>
          <t>B-C-100; B-C-101</t>
        </is>
      </c>
      <c r="R51" t="n">
        <v>2</v>
      </c>
      <c r="S51" t="inlineStr"/>
      <c r="T51" t="inlineStr"/>
      <c r="U51" t="n">
        <v>12</v>
      </c>
      <c r="V51" t="n">
        <v>1916</v>
      </c>
      <c r="W51" t="inlineStr">
        <is>
          <t>O6</t>
        </is>
      </c>
      <c r="X51" t="n">
        <v>299600</v>
      </c>
      <c r="Y51" t="inlineStr">
        <is>
          <t>49 WEST 23 STREET</t>
        </is>
      </c>
      <c r="Z51" t="inlineStr">
        <is>
          <t>PLUTO lot 49 WEST 23 STREET, centroid 8 m from pin</t>
        </is>
      </c>
      <c r="AA51" t="inlineStr">
        <is>
          <t>S3</t>
        </is>
      </c>
    </row>
    <row r="52">
      <c r="A52" t="inlineStr">
        <is>
          <t>B-B-051</t>
        </is>
      </c>
      <c r="B52" t="inlineStr">
        <is>
          <t>1 Madison Avenue</t>
        </is>
      </c>
      <c r="C52" t="inlineStr">
        <is>
          <t>One Madison Avenue (SL Green)</t>
        </is>
      </c>
      <c r="D52" t="n">
        <v>40.740847</v>
      </c>
      <c r="E52" t="n">
        <v>-73.986756</v>
      </c>
      <c r="F52" t="inlineStr">
        <is>
          <t>unknown</t>
        </is>
      </c>
      <c r="G52" t="inlineStr"/>
      <c r="H52" t="inlineStr">
        <is>
          <t>unknown</t>
        </is>
      </c>
      <c r="I52" t="inlineStr"/>
      <c r="J52" t="n">
        <v>1</v>
      </c>
      <c r="K52" t="inlineStr"/>
      <c r="L52" s="3" t="inlineStr">
        <is>
          <t>[S3] About 1.4M sf tower a block south of Madison Square Park; 100% leased Q1 2026 (Flatiron NoMad Partnership). Tenants: IBM (362,092 sf), Harvey (185,326 sf), Sigma Computing (64,077 sf), plus Franklin Templeton, Coinbase, Flutter Entertainment and Palo Alto Networks (SL Green release 2025-07-16). Building amenities page (1madisonnyc.com, live): tenant lounge 'The Commons' with 'L'Epicerie at One Madison, Daniel Boulud grab-n-go cafe' and a rooftop grab-n-go cafe and bar, which may compete with an office pantry. Lobby security not described.</t>
        </is>
      </c>
      <c r="M52" t="inlineStr">
        <is>
          <t>1008530002</t>
        </is>
      </c>
      <c r="N52" t="inlineStr"/>
      <c r="O52" t="inlineStr">
        <is>
          <t>10010</t>
        </is>
      </c>
      <c r="P52" t="inlineStr">
        <is>
          <t>Y</t>
        </is>
      </c>
      <c r="Q52" t="inlineStr">
        <is>
          <t>B-C-102</t>
        </is>
      </c>
      <c r="R52" t="n">
        <v>5</v>
      </c>
      <c r="S52" t="inlineStr"/>
      <c r="T52" t="inlineStr"/>
      <c r="U52" t="n">
        <v>26</v>
      </c>
      <c r="V52" t="n">
        <v>1932</v>
      </c>
      <c r="W52" t="inlineStr">
        <is>
          <t>O4</t>
        </is>
      </c>
      <c r="X52" t="n">
        <v>1191765</v>
      </c>
      <c r="Y52" t="inlineStr">
        <is>
          <t>1 MADISON AVENUE</t>
        </is>
      </c>
      <c r="Z52" t="inlineStr">
        <is>
          <t>PLUTO lot 1 MADISON AVENUE, centroid 12 m from pin</t>
        </is>
      </c>
      <c r="AA52" t="inlineStr">
        <is>
          <t>S3</t>
        </is>
      </c>
    </row>
    <row r="53">
      <c r="A53" t="inlineStr">
        <is>
          <t>B-B-052</t>
        </is>
      </c>
      <c r="B53" t="inlineStr">
        <is>
          <t>11 Madison Avenue</t>
        </is>
      </c>
      <c r="C53" t="inlineStr">
        <is>
          <t>11 Madison Avenue (SL Green); Sony Music uses 25 Madison Ave entrance</t>
        </is>
      </c>
      <c r="D53" t="n">
        <v>40.741518</v>
      </c>
      <c r="E53" t="n">
        <v>-73.986485</v>
      </c>
      <c r="F53" t="inlineStr">
        <is>
          <t>loading dock</t>
        </is>
      </c>
      <c r="G53" s="2" t="inlineStr">
        <is>
          <t>https://en.wikipedia.org/wiki/11_Madison_Avenue</t>
        </is>
      </c>
      <c r="H53" t="inlineStr">
        <is>
          <t>unknown</t>
        </is>
      </c>
      <c r="I53" t="inlineStr"/>
      <c r="J53" t="n">
        <v>2</v>
      </c>
      <c r="K53" t="inlineStr"/>
      <c r="L53" s="3" t="inlineStr">
        <is>
          <t>[S3] 30-story full-block tower between E 24th and E 25th St, Madison Ave to PAS; 100% leased (CO 2026-07-23). Wikipedia: three-story main lobby, four corner entrances plus a mid-block 24th St entrance, and 'numerous loading docks' on the 25th Street side (security desk not described, so lobby_type set to loading dock). Tenants: Sony (Sony Music uses 25 Madison Ave; CO Oct 2026 reports Sony in talks to anchor 99 Hudson Blvd), UBS, Jim Beam Brands (Suntory Global Spirits), WME, Pinterest (13), Tempus AI, Clay (14-16, from 2026), Legora (11, from 2026), Madison Square Park Conservancy (15). Yelp was a tenant per a 2017 citation on Wikipedia (not recorded).</t>
        </is>
      </c>
      <c r="M53" t="inlineStr">
        <is>
          <t>1008547501</t>
        </is>
      </c>
      <c r="N53" t="inlineStr"/>
      <c r="O53" t="inlineStr">
        <is>
          <t>10010</t>
        </is>
      </c>
      <c r="P53" t="inlineStr">
        <is>
          <t>Y</t>
        </is>
      </c>
      <c r="Q53" t="inlineStr">
        <is>
          <t>B-C-103; B-C-104</t>
        </is>
      </c>
      <c r="R53" t="n">
        <v>7</v>
      </c>
      <c r="S53" t="inlineStr"/>
      <c r="T53" t="inlineStr"/>
      <c r="U53" t="n">
        <v>30</v>
      </c>
      <c r="V53" t="n">
        <v>1932</v>
      </c>
      <c r="W53" t="inlineStr">
        <is>
          <t>RB</t>
        </is>
      </c>
      <c r="X53" t="n">
        <v>14622</v>
      </c>
      <c r="Y53" t="inlineStr">
        <is>
          <t>11 MADISON AVENUE</t>
        </is>
      </c>
      <c r="Z53" t="inlineStr">
        <is>
          <t>PLUTO lot 11 MADISON AVENUE, centroid 1 m from pin</t>
        </is>
      </c>
      <c r="AA53" t="inlineStr">
        <is>
          <t>S3</t>
        </is>
      </c>
    </row>
    <row r="54">
      <c r="A54" t="inlineStr">
        <is>
          <t>B-B-053</t>
        </is>
      </c>
      <c r="B54" t="inlineStr">
        <is>
          <t>40 West 25th Street</t>
        </is>
      </c>
      <c r="C54" t="inlineStr">
        <is>
          <t>40 West 25th Street (Kaufman Investments / Two Sigma Real Estate)</t>
        </is>
      </c>
      <c r="D54" t="n">
        <v>40.743613</v>
      </c>
      <c r="E54" t="n">
        <v>-73.991062</v>
      </c>
      <c r="F54" t="inlineStr">
        <is>
          <t>unknown</t>
        </is>
      </c>
      <c r="G54" t="inlineStr"/>
      <c r="H54" t="inlineStr">
        <is>
          <t>unknown</t>
        </is>
      </c>
      <c r="I54" t="inlineStr"/>
      <c r="J54" t="n">
        <v>1</v>
      </c>
      <c r="K54" t="inlineStr"/>
      <c r="L54" s="3" t="inlineStr">
        <is>
          <t>[S3] 12-story landmarked building; Kaufman bought it in 2020 for 48.5M (CO 2026-09-09) and again with Two Sigma Real Estate for about 52M in 2026 (CO 2026-06-08). Tenants: Orbital (entire 6th floor, 2026), Hearts of Gold (vintage retail, 2023).</t>
        </is>
      </c>
      <c r="M54" t="inlineStr">
        <is>
          <t>1008260065</t>
        </is>
      </c>
      <c r="N54" t="inlineStr"/>
      <c r="O54" t="inlineStr">
        <is>
          <t>10010</t>
        </is>
      </c>
      <c r="P54" t="inlineStr">
        <is>
          <t>Y</t>
        </is>
      </c>
      <c r="Q54" t="inlineStr">
        <is>
          <t>B-C-105</t>
        </is>
      </c>
      <c r="R54" t="n">
        <v>0</v>
      </c>
      <c r="S54" t="inlineStr"/>
      <c r="T54" t="inlineStr"/>
      <c r="U54" t="n">
        <v>12</v>
      </c>
      <c r="V54" t="n">
        <v>1913</v>
      </c>
      <c r="W54" t="inlineStr">
        <is>
          <t>O6</t>
        </is>
      </c>
      <c r="X54" t="n">
        <v>95498</v>
      </c>
      <c r="Y54" t="inlineStr">
        <is>
          <t>40 WEST 25 STREET</t>
        </is>
      </c>
      <c r="Z54" t="inlineStr">
        <is>
          <t>PLUTO lot 40 WEST 25 STREET, centroid 2 m from pin</t>
        </is>
      </c>
      <c r="AA54" t="inlineStr">
        <is>
          <t>S3</t>
        </is>
      </c>
    </row>
    <row r="55">
      <c r="A55" t="inlineStr">
        <is>
          <t>B-B-054</t>
        </is>
      </c>
      <c r="B55" t="inlineStr">
        <is>
          <t>48 West 25th Street</t>
        </is>
      </c>
      <c r="C55" t="inlineStr">
        <is>
          <t>48 West 25th Street (Kaufman Organization; part of former Savanna 'Madison Square Collection')</t>
        </is>
      </c>
      <c r="D55" t="n">
        <v>40.743751</v>
      </c>
      <c r="E55" t="n">
        <v>-73.99137399999999</v>
      </c>
      <c r="F55" t="inlineStr">
        <is>
          <t>unknown</t>
        </is>
      </c>
      <c r="G55" t="inlineStr"/>
      <c r="H55" t="inlineStr">
        <is>
          <t>unknown</t>
        </is>
      </c>
      <c r="I55" t="inlineStr"/>
      <c r="J55" t="n">
        <v>3</v>
      </c>
      <c r="K55" t="inlineStr"/>
      <c r="L55" s="3" t="inlineStr">
        <is>
          <t>[S3] 12-story office building. Kaufman went under contract in June 2026 to buy it with 24-28 West 25th St from Savanna for about 125M (CO 2026-06-08). Tenants: Sapien AI (entire 5th floor, 2026, from 184 Fifth Ave), MediaCo Holding / HOT 97 and WBLS (25,000 sf, 16-yr lease from 2023) (CO 2026-08-03).</t>
        </is>
      </c>
      <c r="M55" t="inlineStr">
        <is>
          <t>1008260069</t>
        </is>
      </c>
      <c r="N55" t="inlineStr"/>
      <c r="O55" t="inlineStr">
        <is>
          <t>10010</t>
        </is>
      </c>
      <c r="P55" t="inlineStr">
        <is>
          <t>Y</t>
        </is>
      </c>
      <c r="Q55" t="inlineStr">
        <is>
          <t>B-C-106; B-C-107; B-C-108</t>
        </is>
      </c>
      <c r="R55" t="n">
        <v>0</v>
      </c>
      <c r="S55" t="inlineStr"/>
      <c r="T55" t="inlineStr"/>
      <c r="U55" t="n">
        <v>12</v>
      </c>
      <c r="V55" t="n">
        <v>1920</v>
      </c>
      <c r="W55" t="inlineStr">
        <is>
          <t>O6</t>
        </is>
      </c>
      <c r="X55" t="n">
        <v>81656</v>
      </c>
      <c r="Y55" t="inlineStr">
        <is>
          <t>48 WEST 25 STREET</t>
        </is>
      </c>
      <c r="Z55" t="inlineStr">
        <is>
          <t>PLUTO lot 48 WEST 25 STREET, centroid 2 m from pin</t>
        </is>
      </c>
      <c r="AA55" t="inlineStr">
        <is>
          <t>S3</t>
        </is>
      </c>
    </row>
    <row r="56">
      <c r="A56" t="inlineStr">
        <is>
          <t>B-B-055</t>
        </is>
      </c>
      <c r="B56" t="inlineStr">
        <is>
          <t>104 East 25th Street</t>
        </is>
      </c>
      <c r="C56" t="inlineStr">
        <is>
          <t>104 East 25th Street (Williams Equities; NeueHouse Madison Square)</t>
        </is>
      </c>
      <c r="D56" t="n">
        <v>40.741024</v>
      </c>
      <c r="E56" t="n">
        <v>-73.984936</v>
      </c>
      <c r="F56" t="inlineStr">
        <is>
          <t>unknown</t>
        </is>
      </c>
      <c r="G56" t="inlineStr"/>
      <c r="H56" t="inlineStr">
        <is>
          <t>unknown</t>
        </is>
      </c>
      <c r="I56" t="inlineStr"/>
      <c r="J56" t="n">
        <v>0</v>
      </c>
      <c r="K56" t="inlineStr"/>
      <c r="L56" s="3" t="inlineStr">
        <is>
          <t>[S3] Margin (east of Park Ave S). Williams Equities page (live) describes the building as home to NeueHouse, a private workspace club (coworking; coworking_research.csv lists NeueHouse Madison Square at 110 E 25th St, operator Convene Hospitality Group). Not a direct-office candidate.</t>
        </is>
      </c>
      <c r="M56" t="inlineStr">
        <is>
          <t>1008800084</t>
        </is>
      </c>
      <c r="N56" t="inlineStr"/>
      <c r="O56" t="inlineStr">
        <is>
          <t>10010</t>
        </is>
      </c>
      <c r="P56" t="inlineStr">
        <is>
          <t>Y</t>
        </is>
      </c>
      <c r="Q56" t="inlineStr"/>
      <c r="R56" t="n">
        <v>0</v>
      </c>
      <c r="S56" t="inlineStr">
        <is>
          <t>B-W-010</t>
        </is>
      </c>
      <c r="T56" t="inlineStr"/>
      <c r="U56" t="n">
        <v>12</v>
      </c>
      <c r="V56" t="n">
        <v>1913</v>
      </c>
      <c r="W56" t="inlineStr">
        <is>
          <t>O6</t>
        </is>
      </c>
      <c r="X56" t="n">
        <v>97146</v>
      </c>
      <c r="Y56" t="inlineStr">
        <is>
          <t>104 EAST 25 STREET</t>
        </is>
      </c>
      <c r="Z56" t="inlineStr">
        <is>
          <t>PLUTO lot 104 EAST 25 STREET, centroid 0 m from pin</t>
        </is>
      </c>
      <c r="AA56" t="inlineStr">
        <is>
          <t>S3</t>
        </is>
      </c>
    </row>
    <row r="57">
      <c r="A57" t="inlineStr">
        <is>
          <t>B-B-056</t>
        </is>
      </c>
      <c r="B57" t="inlineStr">
        <is>
          <t>1115 Broadway</t>
        </is>
      </c>
      <c r="C57" t="inlineStr">
        <is>
          <t>16 Madison Square West / 1115 Broadway (Adams &amp; Company)</t>
        </is>
      </c>
      <c r="D57" t="n">
        <v>40.743006</v>
      </c>
      <c r="E57" t="n">
        <v>-73.98947</v>
      </c>
      <c r="F57" t="inlineStr">
        <is>
          <t>security desk</t>
        </is>
      </c>
      <c r="G57" s="2" t="inlineStr">
        <is>
          <t>https://www.adamsre.com/collections/madison-square-park/products/16-madison-square-west</t>
        </is>
      </c>
      <c r="H57" t="inlineStr">
        <is>
          <t>unknown</t>
        </is>
      </c>
      <c r="I57" t="inlineStr"/>
      <c r="J57" t="n">
        <v>3</v>
      </c>
      <c r="K57" t="inlineStr"/>
      <c r="L57" s="3" t="inlineStr">
        <is>
          <t>[S3] 12-story building on Madison Square Park at W 25th St, owned by Adams &amp; Co since Aug 2023 (CO 2026-01-08). Tenants: Purple PR (full floor, 2026), Wellcom Worldwide, Pilot Fiber (12), Raycon (12; about 35 staff per Built In, not recorded), Green Mountain Energy NYC office. Adams &amp; Co site (live): 12 floors, 3 passenger and 4 freight elevators, '24/7 Guard' and '24/7 security'.</t>
        </is>
      </c>
      <c r="M57" t="inlineStr">
        <is>
          <t>1008260046</t>
        </is>
      </c>
      <c r="N57" t="inlineStr"/>
      <c r="O57" t="inlineStr">
        <is>
          <t>10010</t>
        </is>
      </c>
      <c r="P57" t="inlineStr">
        <is>
          <t>Y</t>
        </is>
      </c>
      <c r="Q57" t="inlineStr">
        <is>
          <t>B-C-109; B-C-110; B-C-111</t>
        </is>
      </c>
      <c r="R57" t="n">
        <v>1</v>
      </c>
      <c r="S57" t="inlineStr">
        <is>
          <t>B-W-011</t>
        </is>
      </c>
      <c r="T57" t="inlineStr"/>
      <c r="U57" t="n">
        <v>12</v>
      </c>
      <c r="V57" t="n">
        <v>1914</v>
      </c>
      <c r="W57" t="inlineStr">
        <is>
          <t>O6</t>
        </is>
      </c>
      <c r="X57" t="n">
        <v>241749</v>
      </c>
      <c r="Y57" t="inlineStr">
        <is>
          <t>1115 BROADWAY</t>
        </is>
      </c>
      <c r="Z57" t="inlineStr">
        <is>
          <t>PLUTO lot 1115 BROADWAY, centroid 27 m from pin</t>
        </is>
      </c>
      <c r="AA57" t="inlineStr">
        <is>
          <t>S3</t>
        </is>
      </c>
    </row>
    <row r="58">
      <c r="A58" t="inlineStr">
        <is>
          <t>B-B-057</t>
        </is>
      </c>
      <c r="B58" t="inlineStr">
        <is>
          <t>41 Madison Avenue</t>
        </is>
      </c>
      <c r="C58" t="inlineStr">
        <is>
          <t>41 Madison Avenue (Rudin)</t>
        </is>
      </c>
      <c r="D58" t="n">
        <v>40.742351</v>
      </c>
      <c r="E58" t="n">
        <v>-73.98630900000001</v>
      </c>
      <c r="F58" t="inlineStr">
        <is>
          <t>security desk</t>
        </is>
      </c>
      <c r="G58" s="2" t="inlineStr">
        <is>
          <t>https://www.metro-manhattan.com/buildings/41-madison-avenue-forty-one-madison-office-space/</t>
        </is>
      </c>
      <c r="H58" t="inlineStr">
        <is>
          <t>unknown</t>
        </is>
      </c>
      <c r="I58" t="inlineStr"/>
      <c r="J58" t="n">
        <v>7</v>
      </c>
      <c r="K58" t="inlineStr"/>
      <c r="L58" s="3" t="inlineStr">
        <is>
          <t>[S4] 42-story Rudin tower at E 26th St overlooking Madison Square Park (CO 2026-03-09). Tenants: BrightTower (32), SharkNinja creative hub; Zip moves in April 2027 (CO 2026-09-17). Other tenants: Urban Atelier (12-13), TenBerke (17), Kensington Vanguard (21, 2023), Clarick Gueron Reisbaum (23, 2024), Polar (36 now, 33 next), Mphasis (35-36). Metro Manhattan (undated broker page): round-the-clock security, guarded 24/7. Coworking in building per coworking_research.csv: Regus, 31st floor (low confidence there).</t>
        </is>
      </c>
      <c r="M58" t="inlineStr">
        <is>
          <t>1008550037</t>
        </is>
      </c>
      <c r="N58" t="inlineStr"/>
      <c r="O58" t="inlineStr">
        <is>
          <t>10010</t>
        </is>
      </c>
      <c r="P58" t="inlineStr">
        <is>
          <t>Y</t>
        </is>
      </c>
      <c r="Q58" t="inlineStr">
        <is>
          <t>B-C-112; B-C-113; B-C-114; B-C-115; B-C-116; B-C-117; B-C-118</t>
        </is>
      </c>
      <c r="R58" t="n">
        <v>2</v>
      </c>
      <c r="S58" t="inlineStr">
        <is>
          <t>B-W-012</t>
        </is>
      </c>
      <c r="T58" t="inlineStr"/>
      <c r="U58" t="n">
        <v>43</v>
      </c>
      <c r="V58" t="n">
        <v>1971</v>
      </c>
      <c r="W58" t="inlineStr">
        <is>
          <t>O4</t>
        </is>
      </c>
      <c r="X58" t="n">
        <v>519737</v>
      </c>
      <c r="Y58" t="inlineStr">
        <is>
          <t>35 MADISON AVENUE</t>
        </is>
      </c>
      <c r="Z58" t="inlineStr">
        <is>
          <t>PLUTO lot 35 MADISON AVENUE, centroid 5 m from pin</t>
        </is>
      </c>
      <c r="AA58" t="inlineStr">
        <is>
          <t>S4</t>
        </is>
      </c>
    </row>
    <row r="59">
      <c r="A59" t="inlineStr">
        <is>
          <t>B-B-058</t>
        </is>
      </c>
      <c r="B59" t="inlineStr">
        <is>
          <t>345 Park Avenue South</t>
        </is>
      </c>
      <c r="C59" t="inlineStr">
        <is>
          <t>345 Park Avenue South (Deerfield Management; home of Cure)</t>
        </is>
      </c>
      <c r="D59" t="n">
        <v>40.741737</v>
      </c>
      <c r="E59" t="n">
        <v>-73.98485599999999</v>
      </c>
      <c r="F59" t="inlineStr">
        <is>
          <t>unknown</t>
        </is>
      </c>
      <c r="G59" t="inlineStr"/>
      <c r="H59" t="inlineStr">
        <is>
          <t>unknown</t>
        </is>
      </c>
      <c r="I59" t="inlineStr"/>
      <c r="J59" t="n">
        <v>0</v>
      </c>
      <c r="K59" t="inlineStr"/>
      <c r="L59" s="3" t="inlineStr">
        <is>
          <t>[S3] Deerfield's HQ building (bought May 2019, Wikipedia). Cure, a Deerfield-run healthcare innovation hub, operates coworking ('Collaboration Residency') with hot desks, private offices, wet and dry labs, an on-site NaCl Cafe, gym and a 'fully stocked pantry' (wewillcure.com, live). Cure is effectively a coworking operator here and is not in coworking_research.csv; companies in its residency are flagged in_coworking=Y. Residents listed: Advancium Health Network, ANVIA, Apertura, Ascertain, Buckle Therapeutics, CobiCure MedTech, Concerto Care, Deerfield Catalyst, Deerfield Management, Helaina, Hop Labs, Insilico Medicine, Lexeo Therapeutics, Panacea Capital, Plum Alley Ventures, Protara Therapeutics, Sparian Biosciences, Wandercraft.</t>
        </is>
      </c>
      <c r="M59" t="inlineStr">
        <is>
          <t>1008810001</t>
        </is>
      </c>
      <c r="N59" t="inlineStr"/>
      <c r="O59" t="inlineStr">
        <is>
          <t>10010</t>
        </is>
      </c>
      <c r="P59" t="inlineStr">
        <is>
          <t>Y</t>
        </is>
      </c>
      <c r="Q59" t="inlineStr"/>
      <c r="R59" t="n">
        <v>3</v>
      </c>
      <c r="S59" t="inlineStr">
        <is>
          <t>B-W-013</t>
        </is>
      </c>
      <c r="T59" t="inlineStr"/>
      <c r="U59" t="n">
        <v>12</v>
      </c>
      <c r="V59" t="n">
        <v>1913</v>
      </c>
      <c r="W59" t="inlineStr">
        <is>
          <t>O6</t>
        </is>
      </c>
      <c r="X59" t="n">
        <v>217377</v>
      </c>
      <c r="Y59" t="inlineStr">
        <is>
          <t>351 PARK AVENUE SOUTH</t>
        </is>
      </c>
      <c r="Z59" t="inlineStr">
        <is>
          <t>PLUTO lot 351 PARK AVENUE SOUTH, centroid 9 m from pin</t>
        </is>
      </c>
      <c r="AA59" t="inlineStr">
        <is>
          <t>S3</t>
        </is>
      </c>
    </row>
    <row r="60">
      <c r="A60" t="inlineStr">
        <is>
          <t>B-B-059</t>
        </is>
      </c>
      <c r="B60" t="inlineStr">
        <is>
          <t>360 Park Avenue South</t>
        </is>
      </c>
      <c r="C60" t="inlineStr">
        <is>
          <t>360 Park Avenue South (BXP)</t>
        </is>
      </c>
      <c r="D60" t="n">
        <v>40.742105</v>
      </c>
      <c r="E60" t="n">
        <v>-73.985534</v>
      </c>
      <c r="F60" t="inlineStr">
        <is>
          <t>unknown</t>
        </is>
      </c>
      <c r="G60" t="inlineStr"/>
      <c r="H60" t="inlineStr">
        <is>
          <t>unknown</t>
        </is>
      </c>
      <c r="I60" t="inlineStr"/>
      <c r="J60" t="n">
        <v>5</v>
      </c>
      <c r="K60" t="inlineStr"/>
      <c r="L60" s="3" t="inlineStr">
        <is>
          <t>[S3] 20-story, about 470,000 sf tower between E 25th and E 26th St, fully leased (CO 2026-09-22). BXP page (live): 'Dual Lobbies with Lounge and Coffee Bar', communal rooftop, conference center with work lounge, chef-led restaurant; security desk not described. Tenants: Optiver, Rogo (7 plus one more floor), Vercel (9 plus expansion), Betches (6), Grammarly, Marriott Luxury Group (14), Hunter Point Capital, Trexquant, Ziff Davis (17), ICONIQ. S4 also records this building. [S4] 20-story, 450,000 SF near Madison Square Park at E 26th St (CO 2025-05-20). S4 tenants: Optiver (12), Ziff Davis, ICONIQ Capital. S3 also records seven tenants here (Betches Media, Rogo, Vercel, Hunter Point Capital, Trexquant, Grammarly, Marriott luxury group), with no duplicate names; S3 has no building row for this BBL, so count candidate companies across both files.</t>
        </is>
      </c>
      <c r="M60" t="inlineStr">
        <is>
          <t>1008550024</t>
        </is>
      </c>
      <c r="N60" t="inlineStr"/>
      <c r="O60" t="inlineStr">
        <is>
          <t>10010</t>
        </is>
      </c>
      <c r="P60" t="inlineStr">
        <is>
          <t>Y</t>
        </is>
      </c>
      <c r="Q60" t="inlineStr">
        <is>
          <t>B-C-119; B-C-120; B-C-121; B-C-122; B-C-123</t>
        </is>
      </c>
      <c r="R60" t="n">
        <v>5</v>
      </c>
      <c r="S60" t="inlineStr"/>
      <c r="T60" t="inlineStr"/>
      <c r="U60" t="n">
        <v>21</v>
      </c>
      <c r="V60" t="n">
        <v>1913</v>
      </c>
      <c r="W60" t="inlineStr">
        <is>
          <t>O4</t>
        </is>
      </c>
      <c r="X60" t="n">
        <v>439002</v>
      </c>
      <c r="Y60" t="inlineStr">
        <is>
          <t>354 PARK AVENUE SOUTH</t>
        </is>
      </c>
      <c r="Z60" t="inlineStr">
        <is>
          <t>PLUTO lot 354 PARK AVENUE SOUTH, centroid 5 m from pin</t>
        </is>
      </c>
      <c r="AA60" t="inlineStr">
        <is>
          <t>S3;S4</t>
        </is>
      </c>
    </row>
    <row r="61">
      <c r="A61" t="inlineStr">
        <is>
          <t>B-B-060</t>
        </is>
      </c>
      <c r="B61" t="inlineStr">
        <is>
          <t>220 Fifth Avenue</t>
        </is>
      </c>
      <c r="C61" t="inlineStr">
        <is>
          <t>220 Fifth Avenue</t>
        </is>
      </c>
      <c r="D61" t="n">
        <v>40.743737</v>
      </c>
      <c r="E61" t="n">
        <v>-73.988438</v>
      </c>
      <c r="F61" t="inlineStr">
        <is>
          <t>unknown</t>
        </is>
      </c>
      <c r="G61" t="inlineStr"/>
      <c r="H61" t="inlineStr">
        <is>
          <t>unknown</t>
        </is>
      </c>
      <c r="I61" t="inlineStr"/>
      <c r="J61" t="n">
        <v>1</v>
      </c>
      <c r="K61" t="inlineStr"/>
      <c r="L61" s="3" t="inlineStr">
        <is>
          <t>[S3] Margin (Fifth Ave at 26th St, block north of the slice). At-Bay's NY office is on the 8th floor per its site. Built In also lists AppsFlyer at 220 5th Ave 16th Fl, but AppsFlyer's contact page gives 180 Madison Ave, so not recorded.</t>
        </is>
      </c>
      <c r="M61" t="inlineStr">
        <is>
          <t>1008280035</t>
        </is>
      </c>
      <c r="N61" t="inlineStr"/>
      <c r="O61" t="inlineStr">
        <is>
          <t>10001</t>
        </is>
      </c>
      <c r="P61" t="inlineStr">
        <is>
          <t>Y</t>
        </is>
      </c>
      <c r="Q61" t="inlineStr">
        <is>
          <t>B-C-124</t>
        </is>
      </c>
      <c r="R61" t="n">
        <v>0</v>
      </c>
      <c r="S61" t="inlineStr"/>
      <c r="T61" t="inlineStr"/>
      <c r="U61" t="n">
        <v>21</v>
      </c>
      <c r="V61" t="n">
        <v>1912</v>
      </c>
      <c r="W61" t="inlineStr">
        <is>
          <t>O4</t>
        </is>
      </c>
      <c r="X61" t="n">
        <v>124594</v>
      </c>
      <c r="Y61" t="inlineStr">
        <is>
          <t>218 5 AVENUE</t>
        </is>
      </c>
      <c r="Z61" t="inlineStr">
        <is>
          <t>PLUTO lot 218 5 AVENUE, centroid 2 m from pin</t>
        </is>
      </c>
      <c r="AA61" t="inlineStr">
        <is>
          <t>S3</t>
        </is>
      </c>
    </row>
    <row r="62">
      <c r="A62" t="inlineStr">
        <is>
          <t>B-B-061</t>
        </is>
      </c>
      <c r="B62" t="inlineStr">
        <is>
          <t>25 West 26th Street</t>
        </is>
      </c>
      <c r="C62" t="inlineStr">
        <is>
          <t>25 West 26th Street</t>
        </is>
      </c>
      <c r="D62" t="n">
        <v>40.744387</v>
      </c>
      <c r="E62" t="n">
        <v>-73.98987099999999</v>
      </c>
      <c r="F62" t="inlineStr">
        <is>
          <t>unknown</t>
        </is>
      </c>
      <c r="G62" t="inlineStr"/>
      <c r="H62" t="inlineStr">
        <is>
          <t>unknown</t>
        </is>
      </c>
      <c r="I62" t="inlineStr"/>
      <c r="J62" t="n">
        <v>1</v>
      </c>
      <c r="K62" t="inlineStr"/>
      <c r="L62" s="3" t="inlineStr">
        <is>
          <t>[S4] Seven-story building between Broadway and Sixth Ave (CO 2022-10-02). OTTO Brand Lab on the top floor.</t>
        </is>
      </c>
      <c r="M62" t="inlineStr">
        <is>
          <t>1008280017</t>
        </is>
      </c>
      <c r="N62" t="inlineStr"/>
      <c r="O62" t="inlineStr">
        <is>
          <t>10010</t>
        </is>
      </c>
      <c r="P62" t="inlineStr">
        <is>
          <t>Y</t>
        </is>
      </c>
      <c r="Q62" t="inlineStr">
        <is>
          <t>B-C-125</t>
        </is>
      </c>
      <c r="R62" t="n">
        <v>0</v>
      </c>
      <c r="S62" t="inlineStr"/>
      <c r="T62" t="inlineStr"/>
      <c r="U62" t="n">
        <v>7</v>
      </c>
      <c r="V62" t="n">
        <v>1900</v>
      </c>
      <c r="W62" t="inlineStr">
        <is>
          <t>O6</t>
        </is>
      </c>
      <c r="X62" t="n">
        <v>23628</v>
      </c>
      <c r="Y62" t="inlineStr">
        <is>
          <t>25 WEST 26 STREET</t>
        </is>
      </c>
      <c r="Z62" t="inlineStr">
        <is>
          <t>PLUTO lot 25 WEST 26 STREET, centroid 1 m from pin</t>
        </is>
      </c>
      <c r="AA62" t="inlineStr">
        <is>
          <t>S4</t>
        </is>
      </c>
    </row>
    <row r="63">
      <c r="A63" t="inlineStr">
        <is>
          <t>B-B-062</t>
        </is>
      </c>
      <c r="B63" t="inlineStr">
        <is>
          <t>37 West 26th Street</t>
        </is>
      </c>
      <c r="C63" t="inlineStr">
        <is>
          <t>37 West 26th Street</t>
        </is>
      </c>
      <c r="D63" t="n">
        <v>40.744624</v>
      </c>
      <c r="E63" t="n">
        <v>-73.99041800000001</v>
      </c>
      <c r="F63" t="inlineStr">
        <is>
          <t>unknown</t>
        </is>
      </c>
      <c r="G63" t="inlineStr"/>
      <c r="H63" t="inlineStr">
        <is>
          <t>unknown</t>
        </is>
      </c>
      <c r="I63" t="inlineStr"/>
      <c r="J63" t="n">
        <v>1</v>
      </c>
      <c r="K63" t="inlineStr"/>
      <c r="L63" s="3" t="inlineStr">
        <is>
          <t>[S4] 12-story building between Broadway and Sixth Ave. Idesco (10). Chi Chicken restaurant lease 2025.</t>
        </is>
      </c>
      <c r="M63" t="inlineStr">
        <is>
          <t>1008280009</t>
        </is>
      </c>
      <c r="N63" t="inlineStr"/>
      <c r="O63" t="inlineStr">
        <is>
          <t>10010</t>
        </is>
      </c>
      <c r="P63" t="inlineStr">
        <is>
          <t>Y</t>
        </is>
      </c>
      <c r="Q63" t="inlineStr">
        <is>
          <t>B-C-126</t>
        </is>
      </c>
      <c r="R63" t="n">
        <v>0</v>
      </c>
      <c r="S63" t="inlineStr"/>
      <c r="T63" t="inlineStr"/>
      <c r="U63" t="n">
        <v>12</v>
      </c>
      <c r="V63" t="n">
        <v>1909</v>
      </c>
      <c r="W63" t="inlineStr">
        <is>
          <t>O6</t>
        </is>
      </c>
      <c r="X63" t="n">
        <v>93418</v>
      </c>
      <c r="Y63" t="inlineStr">
        <is>
          <t>37 WEST 26 STREET</t>
        </is>
      </c>
      <c r="Z63" t="inlineStr">
        <is>
          <t>PLUTO lot 37 WEST 26 STREET, centroid 1 m from pin</t>
        </is>
      </c>
      <c r="AA63" t="inlineStr">
        <is>
          <t>S4</t>
        </is>
      </c>
    </row>
    <row r="64">
      <c r="A64" t="inlineStr">
        <is>
          <t>B-B-063</t>
        </is>
      </c>
      <c r="B64" t="inlineStr">
        <is>
          <t>1140 Broadway</t>
        </is>
      </c>
      <c r="C64" t="inlineStr">
        <is>
          <t>1140 Broadway (Williams Equities)</t>
        </is>
      </c>
      <c r="D64" t="n">
        <v>40.743939</v>
      </c>
      <c r="E64" t="n">
        <v>-73.988677</v>
      </c>
      <c r="F64" t="inlineStr">
        <is>
          <t>security desk</t>
        </is>
      </c>
      <c r="G64" s="2" t="inlineStr">
        <is>
          <t>https://www.metro-manhattan.com/buildings/1140-broadway-office-space-for-lease/</t>
        </is>
      </c>
      <c r="H64" t="inlineStr">
        <is>
          <t>unknown</t>
        </is>
      </c>
      <c r="I64" t="inlineStr"/>
      <c r="J64" t="n">
        <v>1</v>
      </c>
      <c r="K64" t="inlineStr"/>
      <c r="L64" s="3" t="inlineStr">
        <is>
          <t>[S4] 16-story building at the corner of W 26th St (CO 2022-07-07, 2023-04-04). Tenants: accessiBe, Kohler NYC office (8). Metro Manhattan (undated broker page): 24/7 security, keycard access, three passenger elevators and one freight elevator.</t>
        </is>
      </c>
      <c r="M64" t="inlineStr">
        <is>
          <t>1008280033</t>
        </is>
      </c>
      <c r="N64" t="inlineStr"/>
      <c r="O64" t="inlineStr">
        <is>
          <t>10001</t>
        </is>
      </c>
      <c r="P64" t="inlineStr">
        <is>
          <t>Y</t>
        </is>
      </c>
      <c r="Q64" t="inlineStr">
        <is>
          <t>B-C-127</t>
        </is>
      </c>
      <c r="R64" t="n">
        <v>1</v>
      </c>
      <c r="S64" t="inlineStr"/>
      <c r="T64" t="inlineStr"/>
      <c r="U64" t="n">
        <v>16</v>
      </c>
      <c r="V64" t="n">
        <v>1916</v>
      </c>
      <c r="W64" t="inlineStr">
        <is>
          <t>O6</t>
        </is>
      </c>
      <c r="X64" t="n">
        <v>114730</v>
      </c>
      <c r="Y64" t="inlineStr">
        <is>
          <t>1140 BROADWAY</t>
        </is>
      </c>
      <c r="Z64" t="inlineStr">
        <is>
          <t>PLUTO lot 1140 BROADWAY, centroid 2 m from pin</t>
        </is>
      </c>
      <c r="AA64" t="inlineStr">
        <is>
          <t>S4</t>
        </is>
      </c>
    </row>
    <row r="65">
      <c r="A65" t="inlineStr">
        <is>
          <t>B-B-064</t>
        </is>
      </c>
      <c r="B65" t="inlineStr">
        <is>
          <t>373 Park Avenue South</t>
        </is>
      </c>
      <c r="C65" t="inlineStr">
        <is>
          <t>373 Park Avenue South (Olmstead Properties and Vertex)</t>
        </is>
      </c>
      <c r="D65" t="n">
        <v>40.742142</v>
      </c>
      <c r="E65" t="n">
        <v>-73.98437</v>
      </c>
      <c r="F65" t="inlineStr">
        <is>
          <t>unknown</t>
        </is>
      </c>
      <c r="G65" t="inlineStr"/>
      <c r="H65" t="inlineStr">
        <is>
          <t>unknown</t>
        </is>
      </c>
      <c r="I65" t="inlineStr"/>
      <c r="J65" t="n">
        <v>1</v>
      </c>
      <c r="K65" t="inlineStr"/>
      <c r="L65" s="3" t="inlineStr">
        <is>
          <t>[S4] 12-story, about 110,000 SF between E 26th and E 27th St (CO 2023-03-06). Tenants: Simplebet (9), Stuut AI (short-term 9,043 SF; Built In shows 20 employees), Mount Sinai cardiology office (medical, skipped), Dos Caminos and Stout NYC (restaurants).</t>
        </is>
      </c>
      <c r="M65" t="inlineStr">
        <is>
          <t>1008820003</t>
        </is>
      </c>
      <c r="N65" t="inlineStr"/>
      <c r="O65" t="inlineStr">
        <is>
          <t>10010</t>
        </is>
      </c>
      <c r="P65" t="inlineStr">
        <is>
          <t>Y</t>
        </is>
      </c>
      <c r="Q65" t="inlineStr">
        <is>
          <t>B-C-128</t>
        </is>
      </c>
      <c r="R65" t="n">
        <v>0</v>
      </c>
      <c r="S65" t="inlineStr"/>
      <c r="T65" t="inlineStr"/>
      <c r="U65" t="n">
        <v>12</v>
      </c>
      <c r="V65" t="n">
        <v>1911</v>
      </c>
      <c r="W65" t="inlineStr">
        <is>
          <t>O6</t>
        </is>
      </c>
      <c r="X65" t="n">
        <v>83411</v>
      </c>
      <c r="Y65" t="inlineStr">
        <is>
          <t>369 PARK AVENUE SOUTH</t>
        </is>
      </c>
      <c r="Z65" t="inlineStr">
        <is>
          <t>PLUTO lot 369 PARK AVENUE SOUTH, centroid 6 m from pin</t>
        </is>
      </c>
      <c r="AA65" t="inlineStr">
        <is>
          <t>S4</t>
        </is>
      </c>
    </row>
    <row r="66">
      <c r="A66" t="inlineStr">
        <is>
          <t>B-B-065</t>
        </is>
      </c>
      <c r="B66" t="inlineStr">
        <is>
          <t>11 East 26th Street</t>
        </is>
      </c>
      <c r="C66" t="inlineStr">
        <is>
          <t>11 East 26th Street (Rockrose; joined to 15 East 26th Street)</t>
        </is>
      </c>
      <c r="D66" t="n">
        <v>40.743449</v>
      </c>
      <c r="E66" t="n">
        <v>-73.987225</v>
      </c>
      <c r="F66" t="inlineStr">
        <is>
          <t>unknown</t>
        </is>
      </c>
      <c r="G66" t="inlineStr"/>
      <c r="H66" t="inlineStr">
        <is>
          <t>unknown</t>
        </is>
      </c>
      <c r="I66" t="inlineStr"/>
      <c r="J66" t="n">
        <v>10</v>
      </c>
      <c r="K66" t="inlineStr"/>
      <c r="L66" s="3" t="inlineStr">
        <is>
          <t>[S4] 21-22 story boutique tower facing Madison Square Park, also styled 11 Madison Square North. Lobbies shared with 15 E 26th St. Second-floor tenant amenity club includes a grab-and-go kitchen (CO 2025-06-25, 2026-09-02), which may compete with an office pantry. Many finance tenants plus Activate, Butterfly, Order.co, Sierra.</t>
        </is>
      </c>
      <c r="M66" t="inlineStr">
        <is>
          <t>1008560009</t>
        </is>
      </c>
      <c r="N66" t="inlineStr"/>
      <c r="O66" t="inlineStr">
        <is>
          <t>10010</t>
        </is>
      </c>
      <c r="P66" t="inlineStr">
        <is>
          <t>Y</t>
        </is>
      </c>
      <c r="Q66" t="inlineStr">
        <is>
          <t>B-C-129; B-C-130; B-C-131; B-C-132; B-C-133; B-C-134; B-C-135; B-C-136; B-C-137; B-C-138</t>
        </is>
      </c>
      <c r="R66" t="n">
        <v>2</v>
      </c>
      <c r="S66" t="inlineStr"/>
      <c r="T66" t="inlineStr"/>
      <c r="U66" t="n">
        <v>21</v>
      </c>
      <c r="V66" t="n">
        <v>1913</v>
      </c>
      <c r="W66" t="inlineStr">
        <is>
          <t>O4</t>
        </is>
      </c>
      <c r="X66" t="n">
        <v>206991</v>
      </c>
      <c r="Y66" t="inlineStr">
        <is>
          <t>11 EAST 26 STREET</t>
        </is>
      </c>
      <c r="Z66" t="inlineStr">
        <is>
          <t>PLUTO lot 11 EAST 26 STREET, centroid 1 m from pin</t>
        </is>
      </c>
      <c r="AA66" t="inlineStr">
        <is>
          <t>S4</t>
        </is>
      </c>
    </row>
    <row r="67">
      <c r="A67" t="inlineStr">
        <is>
          <t>B-B-066</t>
        </is>
      </c>
      <c r="B67" t="inlineStr">
        <is>
          <t>60 Madison Avenue</t>
        </is>
      </c>
      <c r="C67" t="inlineStr">
        <is>
          <t>60 Madison Avenue (Moinian Group)</t>
        </is>
      </c>
      <c r="D67" t="n">
        <v>40.743288</v>
      </c>
      <c r="E67" t="n">
        <v>-73.986627</v>
      </c>
      <c r="F67" t="inlineStr">
        <is>
          <t>unknown</t>
        </is>
      </c>
      <c r="G67" t="inlineStr"/>
      <c r="H67" t="inlineStr">
        <is>
          <t>unknown</t>
        </is>
      </c>
      <c r="I67" t="inlineStr"/>
      <c r="J67" t="n">
        <v>5</v>
      </c>
      <c r="K67" t="inlineStr"/>
      <c r="L67" s="3" t="inlineStr">
        <is>
          <t>[S4] Between E 26th and E 27th St on Madison Square Park. Prebuilt and move-in-ready suites; 68,000 SF of new leases in June 2026 (CO 2026-06-22). Tenants: Spring Health (2-3), Grimshaw (4), Pace (7, Built In shows 12 employees), GovWell (8), Collected Strategies and Arca Financial (10), Full Picture (11), Tenex Labs (12 and penthouse). CO 2026-10 also tags a Fifth Season lease (not opened).</t>
        </is>
      </c>
      <c r="M67" t="inlineStr">
        <is>
          <t>1008560058</t>
        </is>
      </c>
      <c r="N67" t="inlineStr"/>
      <c r="O67" t="inlineStr">
        <is>
          <t>10010</t>
        </is>
      </c>
      <c r="P67" t="inlineStr">
        <is>
          <t>Y</t>
        </is>
      </c>
      <c r="Q67" t="inlineStr">
        <is>
          <t>B-C-139; B-C-140; B-C-141; B-C-142; B-C-143</t>
        </is>
      </c>
      <c r="R67" t="n">
        <v>2</v>
      </c>
      <c r="S67" t="inlineStr"/>
      <c r="T67" t="inlineStr"/>
      <c r="U67" t="n">
        <v>12</v>
      </c>
      <c r="V67" t="n">
        <v>1910</v>
      </c>
      <c r="W67" t="inlineStr">
        <is>
          <t>O6</t>
        </is>
      </c>
      <c r="X67" t="n">
        <v>156333</v>
      </c>
      <c r="Y67" t="inlineStr">
        <is>
          <t>60 MADISON AVENUE</t>
        </is>
      </c>
      <c r="Z67" t="inlineStr">
        <is>
          <t>PLUTO lot 60 MADISON AVENUE, centroid 7 m from pin</t>
        </is>
      </c>
      <c r="AA67" t="inlineStr">
        <is>
          <t>S4</t>
        </is>
      </c>
    </row>
    <row r="68">
      <c r="A68" t="inlineStr">
        <is>
          <t>B-B-067</t>
        </is>
      </c>
      <c r="B68" t="inlineStr">
        <is>
          <t>230 Fifth Avenue</t>
        </is>
      </c>
      <c r="C68" t="inlineStr">
        <is>
          <t>230 Fifth Avenue (New York MarketCenter, GFP Real Estate)</t>
        </is>
      </c>
      <c r="D68" t="n">
        <v>40.744157</v>
      </c>
      <c r="E68" t="n">
        <v>-73.988489</v>
      </c>
      <c r="F68" t="inlineStr">
        <is>
          <t>unknown</t>
        </is>
      </c>
      <c r="G68" t="inlineStr"/>
      <c r="H68" t="inlineStr">
        <is>
          <t>unknown</t>
        </is>
      </c>
      <c r="I68" t="inlineStr"/>
      <c r="J68" t="n">
        <v>2</v>
      </c>
      <c r="K68" t="inlineStr"/>
      <c r="L68" s="3" t="inlineStr">
        <is>
          <t>[S4] 20-story home furnishings showroom building (CO 2024-10-09); CO tag page also lists a rooftop bar lease. Mostly showroom tenants such as EnVogue International and SL Home Fashions (14); seven new leases reported in 2024 (FNP roundup 2024-11-06). Few conventional offices. Metro Manhattan: seven passenger and two freight elevators, 24/7 key card access, more than 200 wholesale showrooms; no attended lobby stated.</t>
        </is>
      </c>
      <c r="M68" t="inlineStr">
        <is>
          <t>1008280041</t>
        </is>
      </c>
      <c r="N68" t="inlineStr"/>
      <c r="O68" t="inlineStr">
        <is>
          <t>10001</t>
        </is>
      </c>
      <c r="P68" t="inlineStr">
        <is>
          <t>Y</t>
        </is>
      </c>
      <c r="Q68" t="inlineStr">
        <is>
          <t>B-C-144; B-C-145</t>
        </is>
      </c>
      <c r="R68" t="n">
        <v>0</v>
      </c>
      <c r="S68" t="inlineStr"/>
      <c r="T68" t="inlineStr"/>
      <c r="U68" t="n">
        <v>20</v>
      </c>
      <c r="V68" t="n">
        <v>1915</v>
      </c>
      <c r="W68" t="inlineStr">
        <is>
          <t>O4</t>
        </is>
      </c>
      <c r="X68" t="n">
        <v>383995</v>
      </c>
      <c r="Y68" t="inlineStr">
        <is>
          <t>228 5 AVENUE</t>
        </is>
      </c>
      <c r="Z68" t="inlineStr">
        <is>
          <t>PLUTO lot 228 5 AVENUE, centroid 5 m from pin</t>
        </is>
      </c>
      <c r="AA68" t="inlineStr">
        <is>
          <t>S4</t>
        </is>
      </c>
    </row>
    <row r="69">
      <c r="A69" t="inlineStr">
        <is>
          <t>B-B-068</t>
        </is>
      </c>
      <c r="B69" t="inlineStr">
        <is>
          <t>381 Park Avenue South</t>
        </is>
      </c>
      <c r="C69" t="inlineStr">
        <is>
          <t>381 Park Avenue South (Olmstead Properties and Vertex)</t>
        </is>
      </c>
      <c r="D69" t="n">
        <v>40.742351</v>
      </c>
      <c r="E69" t="n">
        <v>-73.984127</v>
      </c>
      <c r="F69" t="inlineStr">
        <is>
          <t>unknown</t>
        </is>
      </c>
      <c r="G69" t="inlineStr"/>
      <c r="H69" t="inlineStr">
        <is>
          <t>unknown</t>
        </is>
      </c>
      <c r="I69" t="inlineStr"/>
      <c r="J69" t="n">
        <v>5</v>
      </c>
      <c r="K69" t="inlineStr"/>
      <c r="L69" s="3" t="inlineStr">
        <is>
          <t>[S4] 244,000 SF at PAS and E 27th St; acquired by Olmstead with Vertex in late 2025 (FNP roundup). Full floors about 14,710 SF. Corcoran moving in summer 2026.</t>
        </is>
      </c>
      <c r="M69" t="inlineStr">
        <is>
          <t>1008820085</t>
        </is>
      </c>
      <c r="N69" t="inlineStr"/>
      <c r="O69" t="inlineStr">
        <is>
          <t>10016</t>
        </is>
      </c>
      <c r="P69" t="inlineStr">
        <is>
          <t>Y</t>
        </is>
      </c>
      <c r="Q69" t="inlineStr">
        <is>
          <t>B-C-146; B-C-147; B-C-148; B-C-149; B-C-150</t>
        </is>
      </c>
      <c r="R69" t="n">
        <v>0</v>
      </c>
      <c r="S69" t="inlineStr"/>
      <c r="T69" t="inlineStr"/>
      <c r="U69" t="n">
        <v>16</v>
      </c>
      <c r="V69" t="n">
        <v>1910</v>
      </c>
      <c r="W69" t="inlineStr">
        <is>
          <t>O6</t>
        </is>
      </c>
      <c r="X69" t="n">
        <v>190895</v>
      </c>
      <c r="Y69" t="inlineStr">
        <is>
          <t>381 PARK AVENUE SOUTH</t>
        </is>
      </c>
      <c r="Z69" t="inlineStr">
        <is>
          <t>PLUTO lot 381 PARK AVENUE SOUTH, centroid 7 m from pin</t>
        </is>
      </c>
      <c r="AA69" t="inlineStr">
        <is>
          <t>S4</t>
        </is>
      </c>
    </row>
    <row r="70">
      <c r="A70" t="inlineStr">
        <is>
          <t>B-B-069</t>
        </is>
      </c>
      <c r="B70" t="inlineStr">
        <is>
          <t>45 West 27th Street</t>
        </is>
      </c>
      <c r="C70" t="inlineStr">
        <is>
          <t>45 West 27th Street</t>
        </is>
      </c>
      <c r="D70" t="n">
        <v>40.745243</v>
      </c>
      <c r="E70" t="n">
        <v>-73.989968</v>
      </c>
      <c r="F70" t="inlineStr">
        <is>
          <t>unknown</t>
        </is>
      </c>
      <c r="G70" t="inlineStr"/>
      <c r="H70" t="inlineStr">
        <is>
          <t>unknown</t>
        </is>
      </c>
      <c r="I70" t="inlineStr"/>
      <c r="J70" t="n">
        <v>1</v>
      </c>
      <c r="K70" t="inlineStr"/>
      <c r="L70" s="3" t="inlineStr">
        <is>
          <t>[S4] Carbyne US office on floor 2.</t>
        </is>
      </c>
      <c r="M70" t="inlineStr">
        <is>
          <t>1008290011</t>
        </is>
      </c>
      <c r="N70" t="inlineStr"/>
      <c r="O70" t="inlineStr">
        <is>
          <t>10001</t>
        </is>
      </c>
      <c r="P70" t="inlineStr">
        <is>
          <t>Y</t>
        </is>
      </c>
      <c r="Q70" t="inlineStr">
        <is>
          <t>B-C-151</t>
        </is>
      </c>
      <c r="R70" t="n">
        <v>0</v>
      </c>
      <c r="S70" t="inlineStr"/>
      <c r="T70" t="inlineStr"/>
      <c r="U70" t="n">
        <v>12</v>
      </c>
      <c r="V70" t="n">
        <v>1910</v>
      </c>
      <c r="W70" t="inlineStr">
        <is>
          <t>O6</t>
        </is>
      </c>
      <c r="X70" t="n">
        <v>50238</v>
      </c>
      <c r="Y70" t="inlineStr">
        <is>
          <t>45 WEST 27 STREET</t>
        </is>
      </c>
      <c r="Z70" t="inlineStr">
        <is>
          <t>PLUTO lot 45 WEST 27 STREET, centroid 0 m from pin</t>
        </is>
      </c>
      <c r="AA70" t="inlineStr">
        <is>
          <t>S4</t>
        </is>
      </c>
    </row>
    <row r="71">
      <c r="A71" t="inlineStr">
        <is>
          <t>B-B-070</t>
        </is>
      </c>
      <c r="B71" t="inlineStr">
        <is>
          <t>15 West 27th Street</t>
        </is>
      </c>
      <c r="C71" t="inlineStr">
        <is>
          <t>15 West 27th Street (Kaufman Organization)</t>
        </is>
      </c>
      <c r="D71" t="n">
        <v>40.744515</v>
      </c>
      <c r="E71" t="n">
        <v>-73.988255</v>
      </c>
      <c r="F71" t="inlineStr">
        <is>
          <t>unknown</t>
        </is>
      </c>
      <c r="G71" t="inlineStr"/>
      <c r="H71" t="inlineStr">
        <is>
          <t>unknown</t>
        </is>
      </c>
      <c r="I71" t="inlineStr"/>
      <c r="J71" t="n">
        <v>2</v>
      </c>
      <c r="K71" t="inlineStr"/>
      <c r="L71" s="3" t="inlineStr">
        <is>
          <t>[S4] 11-story building. Seedtag (3) and Everlast (2) leases from 2023 look stale (short terms).</t>
        </is>
      </c>
      <c r="M71" t="inlineStr">
        <is>
          <t>1008290032</t>
        </is>
      </c>
      <c r="N71" t="inlineStr"/>
      <c r="O71" t="inlineStr">
        <is>
          <t>10001</t>
        </is>
      </c>
      <c r="P71" t="inlineStr">
        <is>
          <t>Y</t>
        </is>
      </c>
      <c r="Q71" t="inlineStr">
        <is>
          <t>B-C-152; B-C-153</t>
        </is>
      </c>
      <c r="R71" t="n">
        <v>0</v>
      </c>
      <c r="S71" t="inlineStr"/>
      <c r="T71" t="inlineStr"/>
      <c r="U71" t="n">
        <v>11</v>
      </c>
      <c r="V71" t="n">
        <v>1909</v>
      </c>
      <c r="W71" t="inlineStr">
        <is>
          <t>O6</t>
        </is>
      </c>
      <c r="X71" t="n">
        <v>45668</v>
      </c>
      <c r="Y71" t="inlineStr">
        <is>
          <t>13 WEST 27 STREET</t>
        </is>
      </c>
      <c r="Z71" t="inlineStr">
        <is>
          <t>PLUTO lot 13 WEST 27 STREET, centroid 1 m from pin</t>
        </is>
      </c>
      <c r="AA71" t="inlineStr">
        <is>
          <t>S4</t>
        </is>
      </c>
    </row>
    <row r="72">
      <c r="A72" t="inlineStr">
        <is>
          <t>B-B-071</t>
        </is>
      </c>
      <c r="B72" t="inlineStr">
        <is>
          <t>1165 Broadway</t>
        </is>
      </c>
      <c r="C72" t="inlineStr">
        <is>
          <t>1165 Broadway (Thor Equities, bought 2026)</t>
        </is>
      </c>
      <c r="D72" t="n">
        <v>40.744899</v>
      </c>
      <c r="E72" t="n">
        <v>-73.989082</v>
      </c>
      <c r="F72" t="inlineStr">
        <is>
          <t>unknown</t>
        </is>
      </c>
      <c r="G72" t="inlineStr"/>
      <c r="H72" t="inlineStr">
        <is>
          <t>unknown</t>
        </is>
      </c>
      <c r="I72" t="inlineStr"/>
      <c r="J72" t="n">
        <v>2</v>
      </c>
      <c r="K72" t="inlineStr"/>
      <c r="L72" s="3" t="inlineStr">
        <is>
          <t>[S4] 58,000 SF landmarked office and retail building at Broadway and 27th St, fully occupied per Thor (CO 2026-03). Office tenants: Primary Wave (top two floors), Christian Louboutin. Aesop retail on ground floor.</t>
        </is>
      </c>
      <c r="M72" t="inlineStr">
        <is>
          <t>1008290022</t>
        </is>
      </c>
      <c r="N72" t="inlineStr"/>
      <c r="O72" t="inlineStr">
        <is>
          <t>10001</t>
        </is>
      </c>
      <c r="P72" t="inlineStr">
        <is>
          <t>Y</t>
        </is>
      </c>
      <c r="Q72" t="inlineStr">
        <is>
          <t>B-C-154; B-C-155</t>
        </is>
      </c>
      <c r="R72" t="n">
        <v>0</v>
      </c>
      <c r="S72" t="inlineStr"/>
      <c r="T72" t="inlineStr"/>
      <c r="U72" t="n">
        <v>5</v>
      </c>
      <c r="V72" t="n">
        <v>1907</v>
      </c>
      <c r="W72" t="inlineStr">
        <is>
          <t>O5</t>
        </is>
      </c>
      <c r="X72" t="n">
        <v>34400</v>
      </c>
      <c r="Y72" t="inlineStr">
        <is>
          <t>1161 BROADWAY</t>
        </is>
      </c>
      <c r="Z72" t="inlineStr">
        <is>
          <t>PLUTO lot 1161 BROADWAY, centroid 2 m from pin</t>
        </is>
      </c>
      <c r="AA72" t="inlineStr">
        <is>
          <t>S4</t>
        </is>
      </c>
    </row>
    <row r="73">
      <c r="A73" t="inlineStr">
        <is>
          <t>B-B-072</t>
        </is>
      </c>
      <c r="B73" t="inlineStr">
        <is>
          <t>386 Park Avenue South</t>
        </is>
      </c>
      <c r="C73" t="inlineStr">
        <is>
          <t>386 Park Avenue South (HSR Corporation)</t>
        </is>
      </c>
      <c r="D73" t="n">
        <v>40.743091</v>
      </c>
      <c r="E73" t="n">
        <v>-73.98483299999999</v>
      </c>
      <c r="F73" t="inlineStr">
        <is>
          <t>unknown</t>
        </is>
      </c>
      <c r="G73" t="inlineStr"/>
      <c r="H73" t="inlineStr">
        <is>
          <t>unknown</t>
        </is>
      </c>
      <c r="I73" t="inlineStr"/>
      <c r="J73" t="n">
        <v>3</v>
      </c>
      <c r="K73" t="inlineStr"/>
      <c r="L73" s="3" t="inlineStr">
        <is>
          <t>[S4] 20-story building (CO 2023). 2026 leases: Primary Ventures (13-14), Sigma Computing (5-6), Modern FL (9), and Industrious coworking (18-19, about 23,000 SF, opening date not announced) per CO 2026-02-27. coworking_research.csv also lists Industrious 386 Park Ave S, 18th floor.</t>
        </is>
      </c>
      <c r="M73" t="inlineStr">
        <is>
          <t>1008570038</t>
        </is>
      </c>
      <c r="N73" t="inlineStr"/>
      <c r="O73" t="inlineStr">
        <is>
          <t>10016</t>
        </is>
      </c>
      <c r="P73" t="inlineStr">
        <is>
          <t>Y</t>
        </is>
      </c>
      <c r="Q73" t="inlineStr">
        <is>
          <t>B-C-156; B-C-157; B-C-158</t>
        </is>
      </c>
      <c r="R73" t="n">
        <v>0</v>
      </c>
      <c r="S73" t="inlineStr">
        <is>
          <t>B-W-016</t>
        </is>
      </c>
      <c r="T73" t="inlineStr"/>
      <c r="U73" t="n">
        <v>20</v>
      </c>
      <c r="V73" t="n">
        <v>1927</v>
      </c>
      <c r="W73" t="inlineStr">
        <is>
          <t>O4</t>
        </is>
      </c>
      <c r="X73" t="n">
        <v>225233</v>
      </c>
      <c r="Y73" t="inlineStr">
        <is>
          <t>386 PARK AVENUE SOUTH</t>
        </is>
      </c>
      <c r="Z73" t="inlineStr">
        <is>
          <t>PLUTO lot 386 PARK AVENUE SOUTH, centroid 5 m from pin</t>
        </is>
      </c>
      <c r="AA73" t="inlineStr">
        <is>
          <t>S4</t>
        </is>
      </c>
    </row>
    <row r="74">
      <c r="A74" t="inlineStr">
        <is>
          <t>B-B-073</t>
        </is>
      </c>
      <c r="B74" t="inlineStr">
        <is>
          <t>387 Park Avenue South</t>
        </is>
      </c>
      <c r="C74" t="inlineStr">
        <is>
          <t>387 Park Avenue South (TF Cornerstone)</t>
        </is>
      </c>
      <c r="D74" t="n">
        <v>40.742728</v>
      </c>
      <c r="E74" t="n">
        <v>-73.98397</v>
      </c>
      <c r="F74" t="inlineStr">
        <is>
          <t>unknown</t>
        </is>
      </c>
      <c r="G74" t="inlineStr"/>
      <c r="H74" t="inlineStr">
        <is>
          <t>unknown</t>
        </is>
      </c>
      <c r="I74" t="inlineStr"/>
      <c r="J74" t="n">
        <v>2</v>
      </c>
      <c r="K74" t="inlineStr"/>
      <c r="L74" s="3" t="inlineStr">
        <is>
          <t>[S4] About 230,000 SF at the corner of PAS and E 27th St (CO 2026-08-12). Tenants: PMG (2-3), Hanover Park (10), Criteo (penthouse, since 2015), K Health (renewal late 2025); Corcoran leaving for 381 PAS in summer 2026. Coworking in building per coworking_research.csv: The Malin NoMad, 5th floor.</t>
        </is>
      </c>
      <c r="M74" t="inlineStr">
        <is>
          <t>1008830001</t>
        </is>
      </c>
      <c r="N74" t="inlineStr"/>
      <c r="O74" t="inlineStr">
        <is>
          <t>10016</t>
        </is>
      </c>
      <c r="P74" t="inlineStr">
        <is>
          <t>Y</t>
        </is>
      </c>
      <c r="Q74" t="inlineStr">
        <is>
          <t>B-C-159; B-C-160</t>
        </is>
      </c>
      <c r="R74" t="n">
        <v>2</v>
      </c>
      <c r="S74" t="inlineStr">
        <is>
          <t>B-W-017</t>
        </is>
      </c>
      <c r="T74" t="inlineStr"/>
      <c r="U74" t="n">
        <v>12</v>
      </c>
      <c r="V74" t="n">
        <v>1910</v>
      </c>
      <c r="W74" t="inlineStr">
        <is>
          <t>O6</t>
        </is>
      </c>
      <c r="X74" t="n">
        <v>158454</v>
      </c>
      <c r="Y74" t="inlineStr">
        <is>
          <t>387 PARK AVENUE SOUTH</t>
        </is>
      </c>
      <c r="Z74" t="inlineStr">
        <is>
          <t>PLUTO lot 387 PARK AVENUE SOUTH, centroid 1 m from pin</t>
        </is>
      </c>
      <c r="AA74" t="inlineStr">
        <is>
          <t>S4</t>
        </is>
      </c>
    </row>
    <row r="75">
      <c r="A75" t="inlineStr">
        <is>
          <t>B-B-074</t>
        </is>
      </c>
      <c r="B75" t="inlineStr">
        <is>
          <t>245 Fifth Avenue</t>
        </is>
      </c>
      <c r="C75" t="inlineStr">
        <is>
          <t>245 Fifth Avenue (Moinian Group)</t>
        </is>
      </c>
      <c r="D75" t="n">
        <v>40.74435</v>
      </c>
      <c r="E75" t="n">
        <v>-73.987084</v>
      </c>
      <c r="F75" t="inlineStr">
        <is>
          <t>security desk</t>
        </is>
      </c>
      <c r="G75" s="2" t="inlineStr">
        <is>
          <t>https://www.metro-manhattan.com/buildings/245-fifth-avenue-office-space-for-lease/</t>
        </is>
      </c>
      <c r="H75" t="inlineStr">
        <is>
          <t>unknown</t>
        </is>
      </c>
      <c r="I75" t="inlineStr"/>
      <c r="J75" t="n">
        <v>2</v>
      </c>
      <c r="K75" t="inlineStr"/>
      <c r="L75" s="3" t="inlineStr">
        <is>
          <t>[S4] MCM Worldwide office (25th floor, CO 2025-11-10). WeWork signed 55,000 SF on floors 2 and 4-6, opening mid-2026 (CO 2025-08-06); opening not confirmed. Institute for Integrative Nutrition (7). Synthesia expanded here in 2025 but signed at 675 Sixth Ave in Oct 2026 (CO tag page). Pixida restaurant on ground floor. Metro Manhattan (undated broker page): daytime reception, 24/7 video surveillance, attended lobby with turnstile security card entry. Named tenants incl. Elite Model Management, Institute for Integrative Nutrition. coworking_research.csv lists WeWork 245 5th Ave.</t>
        </is>
      </c>
      <c r="M75" t="inlineStr">
        <is>
          <t>1008570076</t>
        </is>
      </c>
      <c r="N75" t="inlineStr"/>
      <c r="O75" t="inlineStr">
        <is>
          <t>10016</t>
        </is>
      </c>
      <c r="P75" t="inlineStr">
        <is>
          <t>Y</t>
        </is>
      </c>
      <c r="Q75" t="inlineStr">
        <is>
          <t>B-C-161; B-C-162</t>
        </is>
      </c>
      <c r="R75" t="n">
        <v>0</v>
      </c>
      <c r="S75" t="inlineStr">
        <is>
          <t>B-W-018</t>
        </is>
      </c>
      <c r="T75" t="inlineStr"/>
      <c r="U75" t="n">
        <v>24</v>
      </c>
      <c r="V75" t="n">
        <v>1927</v>
      </c>
      <c r="W75" t="inlineStr">
        <is>
          <t>O4</t>
        </is>
      </c>
      <c r="X75" t="n">
        <v>247639</v>
      </c>
      <c r="Y75" t="inlineStr">
        <is>
          <t>243 5 AVENUE</t>
        </is>
      </c>
      <c r="Z75" t="inlineStr">
        <is>
          <t>PLUTO lot 243 5 AVENUE, centroid 2 m from pin</t>
        </is>
      </c>
      <c r="AA75" t="inlineStr">
        <is>
          <t>S4</t>
        </is>
      </c>
    </row>
    <row r="76">
      <c r="A76" t="inlineStr">
        <is>
          <t>B-B-075</t>
        </is>
      </c>
      <c r="B76" t="inlineStr">
        <is>
          <t>44 West 28th Street</t>
        </is>
      </c>
      <c r="C76" t="inlineStr">
        <is>
          <t>44 West 28th Street (Stellar Management)</t>
        </is>
      </c>
      <c r="D76" t="n">
        <v>40.745609</v>
      </c>
      <c r="E76" t="n">
        <v>-73.990014</v>
      </c>
      <c r="F76" t="inlineStr">
        <is>
          <t>unknown</t>
        </is>
      </c>
      <c r="G76" t="inlineStr"/>
      <c r="H76" t="inlineStr">
        <is>
          <t>unknown</t>
        </is>
      </c>
      <c r="I76" t="inlineStr"/>
      <c r="J76" t="n">
        <v>1</v>
      </c>
      <c r="K76" t="inlineStr"/>
      <c r="L76" s="3" t="inlineStr">
        <is>
          <t>[S4] Community Healthcare Network administrative offices on floor 5 (CO 2025-02-04).</t>
        </is>
      </c>
      <c r="M76" t="inlineStr">
        <is>
          <t>1008290068</t>
        </is>
      </c>
      <c r="N76" t="inlineStr"/>
      <c r="O76" t="inlineStr">
        <is>
          <t>10001</t>
        </is>
      </c>
      <c r="P76" t="inlineStr">
        <is>
          <t>Y</t>
        </is>
      </c>
      <c r="Q76" t="inlineStr">
        <is>
          <t>B-C-163</t>
        </is>
      </c>
      <c r="R76" t="n">
        <v>0</v>
      </c>
      <c r="S76" t="inlineStr"/>
      <c r="T76" t="inlineStr"/>
      <c r="U76" t="n">
        <v>16</v>
      </c>
      <c r="V76" t="n">
        <v>1911</v>
      </c>
      <c r="W76" t="inlineStr">
        <is>
          <t>O6</t>
        </is>
      </c>
      <c r="X76" t="n">
        <v>132830</v>
      </c>
      <c r="Y76" t="inlineStr">
        <is>
          <t>44 WEST 28 STREET</t>
        </is>
      </c>
      <c r="Z76" t="inlineStr">
        <is>
          <t>PLUTO lot 44 WEST 28 STREET, centroid 3 m from pin</t>
        </is>
      </c>
      <c r="AA76" t="inlineStr">
        <is>
          <t>S4</t>
        </is>
      </c>
    </row>
    <row r="77">
      <c r="A77" t="inlineStr">
        <is>
          <t>B-B-076</t>
        </is>
      </c>
      <c r="B77" t="inlineStr">
        <is>
          <t>27 East 28th Street</t>
        </is>
      </c>
      <c r="C77" t="inlineStr">
        <is>
          <t>79 Madison Avenue / 27 East 28th Street (Williams Equities)</t>
        </is>
      </c>
      <c r="D77" t="n">
        <v>40.744057</v>
      </c>
      <c r="E77" t="n">
        <v>-73.985252</v>
      </c>
      <c r="F77" t="inlineStr">
        <is>
          <t>unknown</t>
        </is>
      </c>
      <c r="G77" t="inlineStr"/>
      <c r="H77" t="inlineStr">
        <is>
          <t>unknown</t>
        </is>
      </c>
      <c r="I77" t="inlineStr"/>
      <c r="J77" t="n">
        <v>0</v>
      </c>
      <c r="K77" t="inlineStr"/>
      <c r="L77" s="3" t="inlineStr">
        <is>
          <t>[S4] Same tax lot as 79 Madison Ave. 17-story, 278,000 SF Art Deco office building marketed in March 2025 as a luxury condo conversion (CO 2025-03-04). Hosts a WeWork (LiquidSpace: 'WeWork | 27 E 28th St', confirmed open). Full Picture has its current HQ at 79 Madison per CO 2026-06-22. Conversion risk: tenants may leave. Not in coworking_research.csv as of 2026-10-23; flag for the coworking list.</t>
        </is>
      </c>
      <c r="M77" t="inlineStr">
        <is>
          <t>1008580022</t>
        </is>
      </c>
      <c r="N77" t="inlineStr"/>
      <c r="O77" t="inlineStr">
        <is>
          <t>10016</t>
        </is>
      </c>
      <c r="P77" t="inlineStr">
        <is>
          <t>Y</t>
        </is>
      </c>
      <c r="Q77" t="inlineStr"/>
      <c r="R77" t="n">
        <v>1</v>
      </c>
      <c r="S77" t="inlineStr">
        <is>
          <t>B-W-020</t>
        </is>
      </c>
      <c r="T77" t="inlineStr"/>
      <c r="U77" t="n">
        <v>16</v>
      </c>
      <c r="V77" t="n">
        <v>1925</v>
      </c>
      <c r="W77" t="inlineStr">
        <is>
          <t>O6</t>
        </is>
      </c>
      <c r="X77" t="n">
        <v>205239</v>
      </c>
      <c r="Y77" t="inlineStr">
        <is>
          <t>79 MADISON AVENUE</t>
        </is>
      </c>
      <c r="Z77" t="inlineStr">
        <is>
          <t>PLUTO lot 79 MADISON AVENUE, centroid 3 m from pin</t>
        </is>
      </c>
      <c r="AA77" t="inlineStr">
        <is>
          <t>S4</t>
        </is>
      </c>
    </row>
    <row r="78">
      <c r="A78" t="inlineStr">
        <is>
          <t>B-B-077</t>
        </is>
      </c>
      <c r="B78" t="inlineStr">
        <is>
          <t>261 Fifth Avenue</t>
        </is>
      </c>
      <c r="C78" t="inlineStr">
        <is>
          <t>261 Fifth Avenue (Feil Organization)</t>
        </is>
      </c>
      <c r="D78" t="n">
        <v>40.744952</v>
      </c>
      <c r="E78" t="n">
        <v>-73.986574</v>
      </c>
      <c r="F78" t="inlineStr">
        <is>
          <t>security desk</t>
        </is>
      </c>
      <c r="G78" s="2" t="inlineStr">
        <is>
          <t>https://www.metro-manhattan.com/buildings/261-fifth-avenue-office-space-for-lease/</t>
        </is>
      </c>
      <c r="H78" t="inlineStr">
        <is>
          <t>unknown</t>
        </is>
      </c>
      <c r="I78" t="inlineStr"/>
      <c r="J78" t="n">
        <v>2</v>
      </c>
      <c r="K78" t="inlineStr"/>
      <c r="L78" s="3" t="inlineStr">
        <is>
          <t>[S4] 26-story 1928 Art Deco building at W 29th St, about 450,000 SF. Feil page describes a gold-leaf lobby but not whether it is attended. Prebuilt suites; rooftop amenity. Tenants: MiQ, FCA, Lockton Re and others. Metro Manhattan (undated broker page) says concierge service and 24/7 security; lists tenants incl. Tumi, Blackbird, Tech Briefs Media Group, Maytex.</t>
        </is>
      </c>
      <c r="M78" t="inlineStr">
        <is>
          <t>1008580078</t>
        </is>
      </c>
      <c r="N78" t="inlineStr"/>
      <c r="O78" t="inlineStr">
        <is>
          <t>10016</t>
        </is>
      </c>
      <c r="P78" t="inlineStr">
        <is>
          <t>Y</t>
        </is>
      </c>
      <c r="Q78" t="inlineStr">
        <is>
          <t>B-C-164; B-C-165</t>
        </is>
      </c>
      <c r="R78" t="n">
        <v>2</v>
      </c>
      <c r="S78" t="inlineStr"/>
      <c r="T78" t="inlineStr"/>
      <c r="U78" t="n">
        <v>25</v>
      </c>
      <c r="V78" t="n">
        <v>1929</v>
      </c>
      <c r="W78" t="inlineStr">
        <is>
          <t>O4</t>
        </is>
      </c>
      <c r="X78" t="n">
        <v>426608</v>
      </c>
      <c r="Y78" t="inlineStr">
        <is>
          <t>259 5 AVENUE</t>
        </is>
      </c>
      <c r="Z78" t="inlineStr">
        <is>
          <t>PLUTO lot 259 5 AVENUE, centroid 1 m from pin</t>
        </is>
      </c>
      <c r="AA78" t="inlineStr">
        <is>
          <t>S4</t>
        </is>
      </c>
    </row>
    <row r="79">
      <c r="A79" t="inlineStr">
        <is>
          <t>B-B-078</t>
        </is>
      </c>
      <c r="B79" t="inlineStr">
        <is>
          <t>99 Madison Avenue</t>
        </is>
      </c>
      <c r="C79" t="inlineStr">
        <is>
          <t>99 Madison Avenue (Windsor Management)</t>
        </is>
      </c>
      <c r="D79" t="n">
        <v>40.744677</v>
      </c>
      <c r="E79" t="n">
        <v>-73.98489600000001</v>
      </c>
      <c r="F79" t="inlineStr">
        <is>
          <t>unknown</t>
        </is>
      </c>
      <c r="G79" t="inlineStr"/>
      <c r="H79" t="inlineStr">
        <is>
          <t>unknown</t>
        </is>
      </c>
      <c r="I79" t="inlineStr"/>
      <c r="J79" t="n">
        <v>2</v>
      </c>
      <c r="K79" t="inlineStr"/>
      <c r="L79" s="3" t="inlineStr">
        <is>
          <t>[S4] Fully leased after the Davies Group deal (CO 2025-11-04). Tenants: Davies Group (3), Atlantic Vantage Point; Boffi DePadova showroom (2023).</t>
        </is>
      </c>
      <c r="M79" t="inlineStr">
        <is>
          <t>1008590024</t>
        </is>
      </c>
      <c r="N79" t="inlineStr"/>
      <c r="O79" t="inlineStr">
        <is>
          <t>10016</t>
        </is>
      </c>
      <c r="P79" t="inlineStr">
        <is>
          <t>Y</t>
        </is>
      </c>
      <c r="Q79" t="inlineStr">
        <is>
          <t>B-C-166; B-C-167</t>
        </is>
      </c>
      <c r="R79" t="n">
        <v>0</v>
      </c>
      <c r="S79" t="inlineStr"/>
      <c r="T79" t="inlineStr"/>
      <c r="U79" t="n">
        <v>17</v>
      </c>
      <c r="V79" t="n">
        <v>1916</v>
      </c>
      <c r="W79" t="inlineStr">
        <is>
          <t>O6</t>
        </is>
      </c>
      <c r="X79" t="n">
        <v>112500</v>
      </c>
      <c r="Y79" t="inlineStr">
        <is>
          <t>99 MADISON AVENUE</t>
        </is>
      </c>
      <c r="Z79" t="inlineStr">
        <is>
          <t>PLUTO lot 99 MADISON AVENUE, centroid 3 m from pin</t>
        </is>
      </c>
      <c r="AA79" t="inlineStr">
        <is>
          <t>S4</t>
        </is>
      </c>
    </row>
    <row r="80">
      <c r="A80" t="inlineStr">
        <is>
          <t>B-B-079</t>
        </is>
      </c>
      <c r="B80" t="inlineStr">
        <is>
          <t>432 Park Avenue South</t>
        </is>
      </c>
      <c r="C80" t="inlineStr">
        <is>
          <t>432 Park Avenue South (Samco Properties)</t>
        </is>
      </c>
      <c r="D80" t="n">
        <v>40.744255</v>
      </c>
      <c r="E80" t="n">
        <v>-73.983762</v>
      </c>
      <c r="F80" t="inlineStr">
        <is>
          <t>unknown</t>
        </is>
      </c>
      <c r="G80" t="inlineStr"/>
      <c r="H80" t="inlineStr">
        <is>
          <t>unknown</t>
        </is>
      </c>
      <c r="I80" t="inlineStr"/>
      <c r="J80" t="n">
        <v>2</v>
      </c>
      <c r="K80" t="inlineStr"/>
      <c r="L80" s="3" t="inlineStr">
        <is>
          <t>[S4] Tenants: Pumpkin Pet Insurance, Mediaplus Group (11).</t>
        </is>
      </c>
      <c r="M80" t="inlineStr">
        <is>
          <t>1008590039</t>
        </is>
      </c>
      <c r="N80" t="inlineStr"/>
      <c r="O80" t="inlineStr">
        <is>
          <t>10016</t>
        </is>
      </c>
      <c r="P80" t="inlineStr">
        <is>
          <t>Y</t>
        </is>
      </c>
      <c r="Q80" t="inlineStr">
        <is>
          <t>B-C-168; B-C-169</t>
        </is>
      </c>
      <c r="R80" t="n">
        <v>0</v>
      </c>
      <c r="S80" t="inlineStr"/>
      <c r="T80" t="inlineStr"/>
      <c r="U80" t="n">
        <v>16</v>
      </c>
      <c r="V80" t="n">
        <v>1913</v>
      </c>
      <c r="W80" t="inlineStr">
        <is>
          <t>O6</t>
        </is>
      </c>
      <c r="X80" t="n">
        <v>119284</v>
      </c>
      <c r="Y80" t="inlineStr">
        <is>
          <t>424 PARK AVENUE SOUTH</t>
        </is>
      </c>
      <c r="Z80" t="inlineStr">
        <is>
          <t>PLUTO lot 424 PARK AVENUE SOUTH, centroid 1 m from pin</t>
        </is>
      </c>
      <c r="AA80" t="inlineStr">
        <is>
          <t>S4</t>
        </is>
      </c>
    </row>
    <row r="81">
      <c r="A81" t="inlineStr">
        <is>
          <t>B-B-080</t>
        </is>
      </c>
      <c r="B81" t="inlineStr">
        <is>
          <t>440 Park Avenue South</t>
        </is>
      </c>
      <c r="C81" t="inlineStr">
        <is>
          <t>440 Park Avenue South (Samco Properties)</t>
        </is>
      </c>
      <c r="D81" t="n">
        <v>40.744522</v>
      </c>
      <c r="E81" t="n">
        <v>-73.983617</v>
      </c>
      <c r="F81" t="inlineStr">
        <is>
          <t>unknown</t>
        </is>
      </c>
      <c r="G81" t="inlineStr"/>
      <c r="H81" t="inlineStr">
        <is>
          <t>unknown</t>
        </is>
      </c>
      <c r="I81" t="inlineStr"/>
      <c r="J81" t="n">
        <v>2</v>
      </c>
      <c r="K81" t="inlineStr"/>
      <c r="L81" s="3" t="inlineStr">
        <is>
          <t>[S4] Tenants: Signal AI (14), Innovant showroom and offices (9, 2023 source).</t>
        </is>
      </c>
      <c r="M81" t="inlineStr">
        <is>
          <t>1008590048</t>
        </is>
      </c>
      <c r="N81" t="inlineStr"/>
      <c r="O81" t="inlineStr">
        <is>
          <t>10016</t>
        </is>
      </c>
      <c r="P81" t="inlineStr">
        <is>
          <t>Y</t>
        </is>
      </c>
      <c r="Q81" t="inlineStr">
        <is>
          <t>B-C-170; B-C-171</t>
        </is>
      </c>
      <c r="R81" t="n">
        <v>0</v>
      </c>
      <c r="S81" t="inlineStr"/>
      <c r="T81" t="inlineStr"/>
      <c r="U81" t="n">
        <v>16</v>
      </c>
      <c r="V81" t="n">
        <v>1913</v>
      </c>
      <c r="W81" t="inlineStr">
        <is>
          <t>O6</t>
        </is>
      </c>
      <c r="X81" t="n">
        <v>136437</v>
      </c>
      <c r="Y81" t="inlineStr">
        <is>
          <t>434 PARK AVENUE SOUTH</t>
        </is>
      </c>
      <c r="Z81" t="inlineStr">
        <is>
          <t>PLUTO lot 434 PARK AVENUE SOUTH, centroid 1 m from pin</t>
        </is>
      </c>
      <c r="AA81" t="inlineStr">
        <is>
          <t>S4</t>
        </is>
      </c>
    </row>
    <row r="82">
      <c r="A82" t="inlineStr">
        <is>
          <t>B-B-081</t>
        </is>
      </c>
      <c r="B82" t="inlineStr">
        <is>
          <t>450 Park Avenue South</t>
        </is>
      </c>
      <c r="C82" t="inlineStr">
        <is>
          <t>450 Park Avenue South</t>
        </is>
      </c>
      <c r="D82" t="n">
        <v>40.744997</v>
      </c>
      <c r="E82" t="n">
        <v>-73.983237</v>
      </c>
      <c r="F82" t="inlineStr">
        <is>
          <t>unknown</t>
        </is>
      </c>
      <c r="G82" t="inlineStr"/>
      <c r="H82" t="inlineStr">
        <is>
          <t>unknown</t>
        </is>
      </c>
      <c r="I82" t="inlineStr"/>
      <c r="J82" t="n">
        <v>0</v>
      </c>
      <c r="K82" t="inlineStr"/>
      <c r="L82" s="3" t="inlineStr">
        <is>
          <t>[S4] Margin (30th-31st St). Superhuman New York office (Built In). Stash Financial is leaving for 641 Sixth Ave (CO 2026-09-02; prior address not confirmed as 450 PAS). Coworking in building per coworking_research.csv: WeWork 450 Park Ave S, so the Built In Superhuman address may be a WeWork membership.</t>
        </is>
      </c>
      <c r="M82" t="inlineStr">
        <is>
          <t>1008600045</t>
        </is>
      </c>
      <c r="N82" t="inlineStr"/>
      <c r="O82" t="inlineStr">
        <is>
          <t>10016</t>
        </is>
      </c>
      <c r="P82" t="inlineStr">
        <is>
          <t>Y</t>
        </is>
      </c>
      <c r="Q82" t="inlineStr"/>
      <c r="R82" t="n">
        <v>0</v>
      </c>
      <c r="S82" t="inlineStr">
        <is>
          <t>B-W-024</t>
        </is>
      </c>
      <c r="T82" t="inlineStr"/>
      <c r="U82" t="n">
        <v>12</v>
      </c>
      <c r="V82" t="n">
        <v>1912</v>
      </c>
      <c r="W82" t="inlineStr">
        <is>
          <t>O6</t>
        </is>
      </c>
      <c r="X82" t="n">
        <v>156338</v>
      </c>
      <c r="Y82" t="inlineStr">
        <is>
          <t>450 PARK AVENUE SOUTH</t>
        </is>
      </c>
      <c r="Z82" t="inlineStr">
        <is>
          <t>PLUTO lot 450 PARK AVENUE SOUTH, centroid 13 m from pin</t>
        </is>
      </c>
      <c r="AA82" t="inlineStr">
        <is>
          <t>S4</t>
        </is>
      </c>
    </row>
    <row r="83">
      <c r="A83" t="inlineStr">
        <is>
          <t>B-B-082</t>
        </is>
      </c>
      <c r="B83" t="inlineStr">
        <is>
          <t>295 Fifth Avenue</t>
        </is>
      </c>
      <c r="C83" t="inlineStr">
        <is>
          <t>Textile Building, 295 Fifth Avenue (Tribeca Investment Group, PGIM Real Estate, Meadow Partners)</t>
        </is>
      </c>
      <c r="D83" t="n">
        <v>40.746062</v>
      </c>
      <c r="E83" t="n">
        <v>-73.98568400000001</v>
      </c>
      <c r="F83" t="inlineStr">
        <is>
          <t>unknown</t>
        </is>
      </c>
      <c r="G83" t="inlineStr"/>
      <c r="H83" t="inlineStr">
        <is>
          <t>unknown</t>
        </is>
      </c>
      <c r="I83" t="inlineStr"/>
      <c r="J83" t="n">
        <v>1</v>
      </c>
      <c r="K83" t="inlineStr"/>
      <c r="L83" s="3" t="inlineStr">
        <is>
          <t>[S4] Margin (30th-31st St). 19-story office building. Tenants: Quinn Emanuel (132,000 SF, 2023), Bridgewater (60,000 SF), Octus (6), The Knot, Agentio (11); Oiji Stk restaurant. CO 2026-07 tags a Rialto/Hines item (not opened).</t>
        </is>
      </c>
      <c r="M83" t="inlineStr">
        <is>
          <t>1008600001</t>
        </is>
      </c>
      <c r="N83" t="inlineStr"/>
      <c r="O83" t="inlineStr">
        <is>
          <t>10016</t>
        </is>
      </c>
      <c r="P83" t="inlineStr">
        <is>
          <t>Y</t>
        </is>
      </c>
      <c r="Q83" t="inlineStr">
        <is>
          <t>B-C-172</t>
        </is>
      </c>
      <c r="R83" t="n">
        <v>3</v>
      </c>
      <c r="S83" t="inlineStr"/>
      <c r="T83" t="inlineStr"/>
      <c r="U83" t="n">
        <v>19</v>
      </c>
      <c r="V83" t="n">
        <v>1920</v>
      </c>
      <c r="W83" t="inlineStr">
        <is>
          <t>O6</t>
        </is>
      </c>
      <c r="X83" t="n">
        <v>533324</v>
      </c>
      <c r="Y83" t="inlineStr">
        <is>
          <t>285 5 AVENUE</t>
        </is>
      </c>
      <c r="Z83" t="inlineStr">
        <is>
          <t>PLUTO lot 285 5 AVENUE, centroid 4 m from pin</t>
        </is>
      </c>
      <c r="AA83" t="inlineStr">
        <is>
          <t>S4</t>
        </is>
      </c>
    </row>
  </sheetData>
  <autoFilter ref="A1:AA83"/>
  <dataValidations count="1">
    <dataValidation sqref="K2:K83" showDropDown="0" showInputMessage="0" showErrorMessage="0" allowBlank="1" type="list">
      <formula1>"Y,N"</formula1>
    </dataValidation>
  </dataValidations>
  <hyperlinks>
    <hyperlink xmlns:r="http://schemas.openxmlformats.org/officeDocument/2006/relationships" ref="G2" r:id="rId1"/>
    <hyperlink xmlns:r="http://schemas.openxmlformats.org/officeDocument/2006/relationships" ref="G17" r:id="rId2"/>
    <hyperlink xmlns:r="http://schemas.openxmlformats.org/officeDocument/2006/relationships" ref="G22" r:id="rId3"/>
    <hyperlink xmlns:r="http://schemas.openxmlformats.org/officeDocument/2006/relationships" ref="G24" r:id="rId4"/>
    <hyperlink xmlns:r="http://schemas.openxmlformats.org/officeDocument/2006/relationships" ref="G31" r:id="rId5"/>
    <hyperlink xmlns:r="http://schemas.openxmlformats.org/officeDocument/2006/relationships" ref="G32" r:id="rId6"/>
    <hyperlink xmlns:r="http://schemas.openxmlformats.org/officeDocument/2006/relationships" ref="G35" r:id="rId7"/>
    <hyperlink xmlns:r="http://schemas.openxmlformats.org/officeDocument/2006/relationships" ref="G41" r:id="rId8"/>
    <hyperlink xmlns:r="http://schemas.openxmlformats.org/officeDocument/2006/relationships" ref="G45" r:id="rId9"/>
    <hyperlink xmlns:r="http://schemas.openxmlformats.org/officeDocument/2006/relationships" ref="G47" r:id="rId10"/>
    <hyperlink xmlns:r="http://schemas.openxmlformats.org/officeDocument/2006/relationships" ref="G51" r:id="rId11"/>
    <hyperlink xmlns:r="http://schemas.openxmlformats.org/officeDocument/2006/relationships" ref="G53" r:id="rId12"/>
    <hyperlink xmlns:r="http://schemas.openxmlformats.org/officeDocument/2006/relationships" ref="G57" r:id="rId13"/>
    <hyperlink xmlns:r="http://schemas.openxmlformats.org/officeDocument/2006/relationships" ref="G58" r:id="rId14"/>
    <hyperlink xmlns:r="http://schemas.openxmlformats.org/officeDocument/2006/relationships" ref="G64" r:id="rId15"/>
    <hyperlink xmlns:r="http://schemas.openxmlformats.org/officeDocument/2006/relationships" ref="G75" r:id="rId16"/>
    <hyperlink xmlns:r="http://schemas.openxmlformats.org/officeDocument/2006/relationships" ref="G78" r:id="rId1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28" customWidth="1" min="2" max="2"/>
    <col width="34" customWidth="1" min="3" max="3"/>
    <col width="30" customWidth="1" min="4" max="4"/>
    <col width="12" customWidth="1" min="5" max="5"/>
    <col width="12" customWidth="1" min="6" max="6"/>
    <col width="17" customWidth="1" min="7" max="7"/>
    <col width="20" customWidth="1" min="8" max="8"/>
    <col width="13" customWidth="1" min="9" max="9"/>
    <col width="14" customWidth="1" min="10" max="10"/>
    <col width="13" customWidth="1" min="11" max="11"/>
    <col width="80" customWidth="1" min="12" max="12"/>
    <col width="14" customWidth="1" min="13" max="13"/>
    <col width="17" customWidth="1" min="14" max="14"/>
    <col width="12" customWidth="1" min="15" max="15"/>
    <col width="12" customWidth="1" min="16" max="16"/>
    <col width="14" customWidth="1" min="17" max="17"/>
    <col width="12" customWidth="1" min="18" max="18"/>
    <col width="21" customWidth="1" min="19" max="19"/>
    <col width="20" customWidth="1" min="20" max="20"/>
    <col width="26" customWidth="1" min="21" max="21"/>
    <col width="14" customWidth="1" min="22" max="22"/>
    <col width="13" customWidth="1" min="23" max="23"/>
  </cols>
  <sheetData>
    <row r="1">
      <c r="A1" s="1" t="inlineStr">
        <is>
          <t>coworking_id</t>
        </is>
      </c>
      <c r="B1" s="1" t="inlineStr">
        <is>
          <t>operator</t>
        </is>
      </c>
      <c r="C1" s="1" t="inlineStr">
        <is>
          <t>location_name</t>
        </is>
      </c>
      <c r="D1" s="1" t="inlineStr">
        <is>
          <t>street_address</t>
        </is>
      </c>
      <c r="E1" s="1" t="inlineStr">
        <is>
          <t>lat</t>
        </is>
      </c>
      <c r="F1" s="1" t="inlineStr">
        <is>
          <t>lon</t>
        </is>
      </c>
      <c r="G1" s="1" t="inlineStr">
        <is>
          <t>pantry_control</t>
        </is>
      </c>
      <c r="H1" s="1" t="inlineStr">
        <is>
          <t>pantry_source_url</t>
        </is>
      </c>
      <c r="I1" s="1" t="inlineStr">
        <is>
          <t>source_url</t>
        </is>
      </c>
      <c r="J1" s="1" t="inlineStr">
        <is>
          <t>source_date</t>
        </is>
      </c>
      <c r="K1" s="1" t="inlineStr">
        <is>
          <t>confidence</t>
        </is>
      </c>
      <c r="L1" s="1" t="inlineStr">
        <is>
          <t>notes</t>
        </is>
      </c>
      <c r="M1" s="1" t="inlineStr">
        <is>
          <t>in_boundary</t>
        </is>
      </c>
      <c r="N1" s="1" t="inlineStr">
        <is>
          <t>blocks_outside</t>
        </is>
      </c>
      <c r="O1" s="1" t="inlineStr">
        <is>
          <t>status</t>
        </is>
      </c>
      <c r="P1" s="1" t="inlineStr">
        <is>
          <t>floors</t>
        </is>
      </c>
      <c r="Q1" s="1" t="inlineStr">
        <is>
          <t>building_id</t>
        </is>
      </c>
      <c r="R1" s="1" t="inlineStr">
        <is>
          <t>bbl</t>
        </is>
      </c>
      <c r="S1" s="1" t="inlineStr">
        <is>
          <t>tenant_company_ids</t>
        </is>
      </c>
      <c r="T1" s="1" t="inlineStr">
        <is>
          <t>second_source_url</t>
        </is>
      </c>
      <c r="U1" s="1" t="inlineStr">
        <is>
          <t>exclusive_food_contract_signal</t>
        </is>
      </c>
      <c r="V1" s="1" t="inlineStr">
        <is>
          <t>research_id</t>
        </is>
      </c>
      <c r="W1" s="1" t="inlineStr">
        <is>
          <t>found_date</t>
        </is>
      </c>
    </row>
    <row r="2">
      <c r="A2" t="inlineStr">
        <is>
          <t>B-W-001</t>
        </is>
      </c>
      <c r="B2" t="inlineStr">
        <is>
          <t>Civic Hall</t>
        </is>
      </c>
      <c r="C2" t="inlineStr">
        <is>
          <t>Civic Hall, Union Square (Zero Irving)</t>
        </is>
      </c>
      <c r="D2" t="inlineStr">
        <is>
          <t>124 East 14th Street, New York, NY 10003</t>
        </is>
      </c>
      <c r="E2" t="n">
        <v>40.733674</v>
      </c>
      <c r="F2" t="n">
        <v>-73.988766</v>
      </c>
      <c r="G2" t="inlineStr">
        <is>
          <t>operator</t>
        </is>
      </c>
      <c r="H2" s="2" t="inlineStr">
        <is>
          <t>https://civichall.org/memberships</t>
        </is>
      </c>
      <c r="I2" s="2" t="inlineStr">
        <is>
          <t>https://civichall.org/contact-us/</t>
        </is>
      </c>
      <c r="J2" t="inlineStr">
        <is>
          <t>2026-10-23</t>
        </is>
      </c>
      <c r="K2" t="inlineStr">
        <is>
          <t>medium</t>
        </is>
      </c>
      <c r="L2" s="3" t="inlineStr">
        <is>
          <t>Nonprofit tech venue with coworking memberships (single $325/month; team plans). Memberships page: 'pantry with complimentary coffee and tea'. Hot desks Mon-Fri 7am-10pm. Mostly an event and training venue, so the member base is small and mixed. On 14th St between Irving Pl and Third Ave, in the east margin. The Flatiron NoMad Partnership directory also lists Civic Hall (https://flatironnomad.nyc/business/civic-hall/). Zero Irving tenants Alpine Investors (12), GameChanger (17) and Senator (20) hold their own leases (CO), so they are not Civic Hall members.</t>
        </is>
      </c>
      <c r="M2" t="inlineStr">
        <is>
          <t>Y</t>
        </is>
      </c>
      <c r="N2" t="n">
        <v>0</v>
      </c>
      <c r="O2" t="inlineStr">
        <is>
          <t>open</t>
        </is>
      </c>
      <c r="P2" t="inlineStr">
        <is>
          <t>unknown</t>
        </is>
      </c>
      <c r="Q2" t="inlineStr">
        <is>
          <t>B-B-002</t>
        </is>
      </c>
      <c r="R2" t="inlineStr">
        <is>
          <t>1005590016</t>
        </is>
      </c>
      <c r="S2" t="inlineStr"/>
      <c r="T2" t="inlineStr"/>
      <c r="U2" t="inlineStr">
        <is>
          <t>none found</t>
        </is>
      </c>
      <c r="V2" t="inlineStr">
        <is>
          <t>W-29</t>
        </is>
      </c>
      <c r="W2" t="inlineStr">
        <is>
          <t>2026-10-23</t>
        </is>
      </c>
    </row>
    <row r="3">
      <c r="A3" t="inlineStr">
        <is>
          <t>B-W-002</t>
        </is>
      </c>
      <c r="B3" t="inlineStr">
        <is>
          <t>Hub Seventeen</t>
        </is>
      </c>
      <c r="C3" t="inlineStr">
        <is>
          <t>Hub Seventeen, 114 Fifth Avenue</t>
        </is>
      </c>
      <c r="D3" t="inlineStr">
        <is>
          <t>114 Fifth Avenue, New York, NY 10011</t>
        </is>
      </c>
      <c r="E3" t="n">
        <v>40.737923</v>
      </c>
      <c r="F3" t="n">
        <v>-73.992752</v>
      </c>
      <c r="G3" t="inlineStr">
        <is>
          <t>unknown</t>
        </is>
      </c>
      <c r="H3" t="inlineStr"/>
      <c r="I3" s="2" t="inlineStr">
        <is>
          <t>https://commercialobserver.com/2025/02/capital-one-expansion-114-fifth-avenue/</t>
        </is>
      </c>
      <c r="J3" t="inlineStr">
        <is>
          <t>2025-02-11</t>
        </is>
      </c>
      <c r="K3" t="inlineStr">
        <is>
          <t>medium</t>
        </is>
      </c>
      <c r="L3" s="3" t="inlineStr">
        <is>
          <t>CO 2025-02-11 (re-opened 2026-10-24): 'Other tenants of the 350,000-square-foot office building between West 16th and West 17th streets include marketing consultant Acxiom and coworking space Hub Seventeen.' No floor, size, pantry or website found. Founder to confirm on the walk.</t>
        </is>
      </c>
      <c r="M3" t="inlineStr">
        <is>
          <t>Y</t>
        </is>
      </c>
      <c r="N3" t="n">
        <v>0</v>
      </c>
      <c r="O3" t="inlineStr">
        <is>
          <t>unverified</t>
        </is>
      </c>
      <c r="P3" t="inlineStr">
        <is>
          <t>unknown</t>
        </is>
      </c>
      <c r="Q3" t="inlineStr">
        <is>
          <t>B-B-009</t>
        </is>
      </c>
      <c r="R3" t="inlineStr">
        <is>
          <t>1008180051</t>
        </is>
      </c>
      <c r="S3" t="inlineStr"/>
      <c r="T3" t="inlineStr"/>
      <c r="U3" t="inlineStr">
        <is>
          <t>none found</t>
        </is>
      </c>
      <c r="V3" t="inlineStr">
        <is>
          <t>W-32</t>
        </is>
      </c>
      <c r="W3" t="inlineStr">
        <is>
          <t>2026-10-24</t>
        </is>
      </c>
    </row>
    <row r="4">
      <c r="A4" t="inlineStr">
        <is>
          <t>B-W-003</t>
        </is>
      </c>
      <c r="B4" t="inlineStr">
        <is>
          <t>Industrious</t>
        </is>
      </c>
      <c r="C4" t="inlineStr">
        <is>
          <t>Industrious Union Square on Broadway</t>
        </is>
      </c>
      <c r="D4" t="inlineStr">
        <is>
          <t>860 Broadway, 6th Floor, New York, NY 10003</t>
        </is>
      </c>
      <c r="E4" t="n">
        <v>40.737158</v>
      </c>
      <c r="F4" t="n">
        <v>-73.989808</v>
      </c>
      <c r="G4" t="inlineStr">
        <is>
          <t>operator</t>
        </is>
      </c>
      <c r="H4" s="2" t="inlineStr">
        <is>
          <t>https://www.industriousoffice.com/locations/manhattan---860-broadway-6th-floor</t>
        </is>
      </c>
      <c r="I4" s="2" t="inlineStr">
        <is>
          <t>https://www.industriousoffice.com/m/new-york-city</t>
        </is>
      </c>
      <c r="J4" t="inlineStr">
        <is>
          <t>2026-10-23</t>
        </is>
      </c>
      <c r="K4" t="inlineStr">
        <is>
          <t>high</t>
        </is>
      </c>
      <c r="L4" s="3" t="inlineStr">
        <is>
          <t>Listed on Industrious NYC index. Pantry text is brand-standard copy on the location page ('Daily breakfast, ample snacks'; 'craft coffee, tea, and sparkling water'); location-specific detail unknown. Broadway at 17th St. Independent: Deskpass NYC index lists 'Industrious - Union Square on Broadway: 860 Broadway, 6th Floor' (https://www.deskpass.com/us-en/ny/new-york-city).</t>
        </is>
      </c>
      <c r="M4" t="inlineStr">
        <is>
          <t>Y</t>
        </is>
      </c>
      <c r="N4" t="n">
        <v>0</v>
      </c>
      <c r="O4" t="inlineStr">
        <is>
          <t>open</t>
        </is>
      </c>
      <c r="P4" t="inlineStr">
        <is>
          <t>6th Floor</t>
        </is>
      </c>
      <c r="Q4" t="inlineStr">
        <is>
          <t>B-B-011</t>
        </is>
      </c>
      <c r="R4" t="inlineStr">
        <is>
          <t>1008460026</t>
        </is>
      </c>
      <c r="S4" t="inlineStr"/>
      <c r="T4" t="inlineStr"/>
      <c r="U4" t="inlineStr">
        <is>
          <t>none found</t>
        </is>
      </c>
      <c r="V4" t="inlineStr">
        <is>
          <t>W-07</t>
        </is>
      </c>
      <c r="W4" t="inlineStr">
        <is>
          <t>2026-10-23</t>
        </is>
      </c>
    </row>
    <row r="5">
      <c r="A5" t="inlineStr">
        <is>
          <t>B-W-004</t>
        </is>
      </c>
      <c r="B5" t="inlineStr">
        <is>
          <t>WeWork</t>
        </is>
      </c>
      <c r="C5" t="inlineStr">
        <is>
          <t>WeWork 18 West 18th Street</t>
        </is>
      </c>
      <c r="D5" t="inlineStr">
        <is>
          <t>18 West 18th Street, New York, NY 10011</t>
        </is>
      </c>
      <c r="E5" t="n">
        <v>40.738811</v>
      </c>
      <c r="F5" t="n">
        <v>-73.993425</v>
      </c>
      <c r="G5" t="inlineStr">
        <is>
          <t>operator</t>
        </is>
      </c>
      <c r="H5" s="2" t="inlineStr">
        <is>
          <t>https://www.wework.com/buildings/18-west-18th-street--new-york-city--NY</t>
        </is>
      </c>
      <c r="I5" s="2" t="inlineStr">
        <is>
          <t>https://www.wework.com/buildings/18-west-18th-street--new-york-city--NY</t>
        </is>
      </c>
      <c r="J5" t="inlineStr">
        <is>
          <t>2026-10-23</t>
        </is>
      </c>
      <c r="K5" t="inlineStr">
        <is>
          <t>medium</t>
        </is>
      </c>
      <c r="L5" s="3" t="inlineStr">
        <is>
          <t>Operator page: 'Stocked kitchens: Enjoy complimentary filtered water, micro-roasted coffee, seltzers and tea'. Beverages only; no snacks named. Listed on WeWork NYC index (31 NYC locations) as Flatiron District. Staffed Mon-Fri 8am-5pm. Between Fifth and Sixth Ave. WeWork occupies five unnamed floors of the 12-storey building (operator page, opened 2026-10-24). WW International's 10-Q address is the 7th floor here; overlap unknown.</t>
        </is>
      </c>
      <c r="M5" t="inlineStr">
        <is>
          <t>Y</t>
        </is>
      </c>
      <c r="N5" t="n">
        <v>0</v>
      </c>
      <c r="O5" t="inlineStr">
        <is>
          <t>open</t>
        </is>
      </c>
      <c r="P5" t="inlineStr">
        <is>
          <t>unknown</t>
        </is>
      </c>
      <c r="Q5" t="inlineStr">
        <is>
          <t>B-B-014</t>
        </is>
      </c>
      <c r="R5" t="inlineStr">
        <is>
          <t>1008190056</t>
        </is>
      </c>
      <c r="S5" t="inlineStr"/>
      <c r="T5" t="inlineStr"/>
      <c r="U5" t="inlineStr">
        <is>
          <t>none found on amenity page</t>
        </is>
      </c>
      <c r="V5" t="inlineStr">
        <is>
          <t>W-01</t>
        </is>
      </c>
      <c r="W5" t="inlineStr">
        <is>
          <t>2026-10-23</t>
        </is>
      </c>
    </row>
    <row r="6">
      <c r="A6" t="inlineStr">
        <is>
          <t>B-W-005</t>
        </is>
      </c>
      <c r="B6" t="inlineStr">
        <is>
          <t>Industrious</t>
        </is>
      </c>
      <c r="C6" t="inlineStr">
        <is>
          <t>Industrious Union Square on Park</t>
        </is>
      </c>
      <c r="D6" t="inlineStr">
        <is>
          <t>215 Park Avenue South, 11th Floor, New York, NY 10003</t>
        </is>
      </c>
      <c r="E6" t="n">
        <v>40.736801</v>
      </c>
      <c r="F6" t="n">
        <v>-73.98824999999999</v>
      </c>
      <c r="G6" t="inlineStr">
        <is>
          <t>operator</t>
        </is>
      </c>
      <c r="H6" s="2" t="inlineStr">
        <is>
          <t>https://www.industriousoffice.com/locations/215-park-avenue-south-11th-floor</t>
        </is>
      </c>
      <c r="I6" s="2" t="inlineStr">
        <is>
          <t>https://www.industriousoffice.com/m/new-york-city</t>
        </is>
      </c>
      <c r="J6" t="inlineStr">
        <is>
          <t>2026-10-23</t>
        </is>
      </c>
      <c r="K6" t="inlineStr">
        <is>
          <t>high</t>
        </is>
      </c>
      <c r="L6" s="3" t="inlineStr">
        <is>
          <t>Listed on Industrious NYC index. Pantry text is brand-standard copy ('Daily breakfast, ample snacks'; 'craft coffee, tea, and sparkling water'). Park Ave S at 17th-18th St. Independent: Deskpass NYC index lists 'Industrious - Union Square on Park: 215 Park Avenue South, 11th Floor' (https://www.deskpass.com/us-en/ny/new-york-city). Industrious holds three floors (51,765 sf, to 2035, per the 215 PAS rent roll cited by S1). The 215 PAS company rows are direct leases on that rent roll, so they are not Industrious members.</t>
        </is>
      </c>
      <c r="M6" t="inlineStr">
        <is>
          <t>Y</t>
        </is>
      </c>
      <c r="N6" t="n">
        <v>0</v>
      </c>
      <c r="O6" t="inlineStr">
        <is>
          <t>open</t>
        </is>
      </c>
      <c r="P6" t="inlineStr">
        <is>
          <t>11th Floor</t>
        </is>
      </c>
      <c r="Q6" t="inlineStr">
        <is>
          <t>B-B-016</t>
        </is>
      </c>
      <c r="R6" t="inlineStr">
        <is>
          <t>1008730067</t>
        </is>
      </c>
      <c r="S6" t="inlineStr"/>
      <c r="T6" t="inlineStr"/>
      <c r="U6" t="inlineStr">
        <is>
          <t>none found</t>
        </is>
      </c>
      <c r="V6" t="inlineStr">
        <is>
          <t>W-08</t>
        </is>
      </c>
      <c r="W6" t="inlineStr">
        <is>
          <t>2026-10-23</t>
        </is>
      </c>
    </row>
    <row r="7">
      <c r="A7" t="inlineStr">
        <is>
          <t>B-W-006</t>
        </is>
      </c>
      <c r="B7" t="inlineStr">
        <is>
          <t>The Malin</t>
        </is>
      </c>
      <c r="C7" t="inlineStr">
        <is>
          <t>The Malin Flatiron</t>
        </is>
      </c>
      <c r="D7" t="inlineStr">
        <is>
          <t>895 Broadway, 5th Floor, New York, NY 10003</t>
        </is>
      </c>
      <c r="E7" t="n">
        <v>40.739084</v>
      </c>
      <c r="F7" t="n">
        <v>-73.99020400000001</v>
      </c>
      <c r="G7" t="inlineStr">
        <is>
          <t>operator</t>
        </is>
      </c>
      <c r="H7" s="2" t="inlineStr">
        <is>
          <t>https://api.deskpass.com/api/spaces/the-malin-flatiron</t>
        </is>
      </c>
      <c r="I7" s="2" t="inlineStr">
        <is>
          <t>https://rebusinessonline.com/the-malin-opens-32700-sf-coworking-space-in-manhattans-flatiron-district/</t>
        </is>
      </c>
      <c r="J7" t="inlineStr">
        <is>
          <t>2026-10-23</t>
        </is>
      </c>
      <c r="K7" t="inlineStr">
        <is>
          <t>high</t>
        </is>
      </c>
      <c r="L7" s="3" t="inlineStr">
        <is>
          <t>REBusiness 2025-06-19: opened 32,700 sf over two floors at 895 Broadway (Equinox building). Commercial Observer 2024-11 reported the lease (https://commercialobserver.com/2024/11/the-malin-lease-895-broadway). Deskpass listing (active, updated 2026-10-19) tags 'Snacks Available', 'Complimentary Coffee &amp; Tea', 'Shared Kitchen'. Operator site themalin.co could not be opened from this environment. Broadway at 19th-20th St.</t>
        </is>
      </c>
      <c r="M7" t="inlineStr">
        <is>
          <t>Y</t>
        </is>
      </c>
      <c r="N7" t="n">
        <v>0</v>
      </c>
      <c r="O7" t="inlineStr">
        <is>
          <t>open</t>
        </is>
      </c>
      <c r="P7" t="inlineStr">
        <is>
          <t>5th Floor</t>
        </is>
      </c>
      <c r="Q7" t="inlineStr">
        <is>
          <t>B-B-027</t>
        </is>
      </c>
      <c r="R7" t="inlineStr">
        <is>
          <t>1008480015</t>
        </is>
      </c>
      <c r="S7" t="inlineStr"/>
      <c r="T7" t="inlineStr"/>
      <c r="U7" t="inlineStr">
        <is>
          <t>none found</t>
        </is>
      </c>
      <c r="V7" t="inlineStr">
        <is>
          <t>W-15</t>
        </is>
      </c>
      <c r="W7" t="inlineStr">
        <is>
          <t>2026-10-23</t>
        </is>
      </c>
    </row>
    <row r="8">
      <c r="A8" t="inlineStr">
        <is>
          <t>B-W-007</t>
        </is>
      </c>
      <c r="B8" t="inlineStr">
        <is>
          <t>Industrious</t>
        </is>
      </c>
      <c r="C8" t="inlineStr">
        <is>
          <t>Industrious 156 5th Ave</t>
        </is>
      </c>
      <c r="D8" t="inlineStr">
        <is>
          <t>156 Fifth Avenue, 4th Floor, New York, NY 10010</t>
        </is>
      </c>
      <c r="E8" t="n">
        <v>40.740038</v>
      </c>
      <c r="F8" t="n">
        <v>-73.991401</v>
      </c>
      <c r="G8" t="inlineStr">
        <is>
          <t>operator</t>
        </is>
      </c>
      <c r="H8" s="2" t="inlineStr">
        <is>
          <t>https://www.industriousoffice.com/locations/156-5th-avenue-4th-floor-new-york</t>
        </is>
      </c>
      <c r="I8" s="2" t="inlineStr">
        <is>
          <t>https://www.industriousoffice.com/m/new-york-city</t>
        </is>
      </c>
      <c r="J8" t="inlineStr">
        <is>
          <t>2026-10-23</t>
        </is>
      </c>
      <c r="K8" t="inlineStr">
        <is>
          <t>high</t>
        </is>
      </c>
      <c r="L8" s="3" t="inlineStr">
        <is>
          <t>New: Industrious NYC index lists it with 'Founding Member Discounts Available'. Independent: Commercial Observer 2026-03-19 (https://commercialobserver.com/2026/03/industrious-leases-110-east-42nd-street/) says a 24,500 sf, 202-seat location here 'will open in July'. Pantry text is Industrious brand-standard copy served on the location page: 'Daily breakfast, ample snacks' and 'Bottomless craft coffee, tea, and sparkling water'; location-specific supplier unknown. Fifth Ave at 20th St.</t>
        </is>
      </c>
      <c r="M8" t="inlineStr">
        <is>
          <t>Y</t>
        </is>
      </c>
      <c r="N8" t="n">
        <v>0</v>
      </c>
      <c r="O8" t="inlineStr">
        <is>
          <t>open</t>
        </is>
      </c>
      <c r="P8" t="inlineStr">
        <is>
          <t>4th Floor</t>
        </is>
      </c>
      <c r="Q8" t="inlineStr">
        <is>
          <t>B-B-029</t>
        </is>
      </c>
      <c r="R8" t="inlineStr">
        <is>
          <t>1008220031</t>
        </is>
      </c>
      <c r="S8" t="inlineStr"/>
      <c r="T8" t="inlineStr"/>
      <c r="U8" t="inlineStr">
        <is>
          <t>none found</t>
        </is>
      </c>
      <c r="V8" t="inlineStr">
        <is>
          <t>W-06</t>
        </is>
      </c>
      <c r="W8" t="inlineStr">
        <is>
          <t>2026-10-23</t>
        </is>
      </c>
    </row>
    <row r="9">
      <c r="A9" t="inlineStr">
        <is>
          <t>B-W-008</t>
        </is>
      </c>
      <c r="B9" t="inlineStr">
        <is>
          <t>Industrious</t>
        </is>
      </c>
      <c r="C9" t="inlineStr">
        <is>
          <t>Industrious 902 Broadway</t>
        </is>
      </c>
      <c r="D9" t="inlineStr">
        <is>
          <t>902 Broadway, 7th Floor, New York, NY 10010</t>
        </is>
      </c>
      <c r="E9" t="n">
        <v>40.739291</v>
      </c>
      <c r="F9" t="n">
        <v>-73.989363</v>
      </c>
      <c r="G9" t="inlineStr">
        <is>
          <t>operator</t>
        </is>
      </c>
      <c r="H9" s="2" t="inlineStr">
        <is>
          <t>https://www.industriousoffice.com/locations/902-broadway-7th-floor-new-york</t>
        </is>
      </c>
      <c r="I9" s="2" t="inlineStr">
        <is>
          <t>https://www.industriousoffice.com/m/new-york-city</t>
        </is>
      </c>
      <c r="J9" t="inlineStr">
        <is>
          <t>2026-10-23</t>
        </is>
      </c>
      <c r="K9" t="inlineStr">
        <is>
          <t>high</t>
        </is>
      </c>
      <c r="L9" s="3" t="inlineStr">
        <is>
          <t>Index lists 'Now Open!'. Independent: Connect CRE 2026-02-13 (https://www.connectcre.com/stories/industrious-commits-to-full-floor-space-in-flatiron-district/) reports Industrious leasing the full 7th floor, 18,200 sf. Pantry text is brand-standard copy. Broadway at 20th St.</t>
        </is>
      </c>
      <c r="M9" t="inlineStr">
        <is>
          <t>Y</t>
        </is>
      </c>
      <c r="N9" t="n">
        <v>0</v>
      </c>
      <c r="O9" t="inlineStr">
        <is>
          <t>open</t>
        </is>
      </c>
      <c r="P9" t="inlineStr">
        <is>
          <t>7th Floor</t>
        </is>
      </c>
      <c r="Q9" t="inlineStr">
        <is>
          <t>B-B-031</t>
        </is>
      </c>
      <c r="R9" t="inlineStr">
        <is>
          <t>1008490016</t>
        </is>
      </c>
      <c r="S9" t="inlineStr"/>
      <c r="T9" t="inlineStr"/>
      <c r="U9" t="inlineStr">
        <is>
          <t>none found</t>
        </is>
      </c>
      <c r="V9" t="inlineStr">
        <is>
          <t>W-12</t>
        </is>
      </c>
      <c r="W9" t="inlineStr">
        <is>
          <t>2026-10-23</t>
        </is>
      </c>
    </row>
    <row r="10">
      <c r="A10" t="inlineStr">
        <is>
          <t>B-W-009</t>
        </is>
      </c>
      <c r="B10" t="inlineStr">
        <is>
          <t>Le Parc (CL Investment Group building)</t>
        </is>
      </c>
      <c r="C10" t="inlineStr">
        <is>
          <t>Le Parc Coworking Offices</t>
        </is>
      </c>
      <c r="D10" t="inlineStr">
        <is>
          <t>287 Park Avenue South, 2nd Floor, New York, NY 10010</t>
        </is>
      </c>
      <c r="E10" t="n">
        <v>40.739504</v>
      </c>
      <c r="F10" t="n">
        <v>-73.98639900000001</v>
      </c>
      <c r="G10" t="inlineStr">
        <is>
          <t>unknown</t>
        </is>
      </c>
      <c r="H10" t="inlineStr"/>
      <c r="I10" s="2" t="inlineStr">
        <is>
          <t>https://flatironnomad.nyc/2024/06/26/meet-le-parc/</t>
        </is>
      </c>
      <c r="J10" t="inlineStr">
        <is>
          <t>2026-10-23</t>
        </is>
      </c>
      <c r="K10" t="inlineStr">
        <is>
          <t>high</t>
        </is>
      </c>
      <c r="L10" s="3" t="inlineStr">
        <is>
          <t>Flatiron NoMad Partnership profile 2024-06-26: luxury coworking in the United Charities Building, 'Supported by CL Investment Group'; no food or pantry amenities named. Deskpass NYC index lists 'Le Parc Coworking Offices: 287 Park Avenue South, 2nd Floor' (its detail page returned 'space not found'). Third-party listings seen only in search snippets mention complimentary coffee and tea: unverified, founder to confirm. IWG's Spaces signed a 2018 lease for this building; whether Spaces still operates here is unverified. Park Ave S at 22nd St. Independent sources: the Flatiron NoMad Partnership profile (2024-06-26) and the Deskpass NYC index (opened 2026-10-23), so existence is high confidence; pantry control remains unknown. S2 noted IWG's Spaces signed the whole office portion (floors 2-9, CO 2018); the places researcher found Le Parc operating on floor 2 now. Spaces' status here is unverified.</t>
        </is>
      </c>
      <c r="M10" t="inlineStr">
        <is>
          <t>Y</t>
        </is>
      </c>
      <c r="N10" t="n">
        <v>0</v>
      </c>
      <c r="O10" t="inlineStr">
        <is>
          <t>open</t>
        </is>
      </c>
      <c r="P10" t="inlineStr">
        <is>
          <t>2nd Floor</t>
        </is>
      </c>
      <c r="Q10" t="inlineStr">
        <is>
          <t>B-B-042</t>
        </is>
      </c>
      <c r="R10" t="inlineStr">
        <is>
          <t>1008780001</t>
        </is>
      </c>
      <c r="S10" t="inlineStr"/>
      <c r="T10" t="inlineStr"/>
      <c r="U10" t="inlineStr">
        <is>
          <t>none found; building has ground-floor restaurants (Hawksmoor, DOM) and a United Charities Club Card discount program</t>
        </is>
      </c>
      <c r="V10" t="inlineStr">
        <is>
          <t>W-18</t>
        </is>
      </c>
      <c r="W10" t="inlineStr">
        <is>
          <t>2026-10-23</t>
        </is>
      </c>
    </row>
    <row r="11">
      <c r="A11" t="inlineStr">
        <is>
          <t>B-W-010</t>
        </is>
      </c>
      <c r="B11" t="inlineStr">
        <is>
          <t>Convene Hospitality Group (NeueHouse)</t>
        </is>
      </c>
      <c r="C11" t="inlineStr">
        <is>
          <t>NeueHouse Madison Square</t>
        </is>
      </c>
      <c r="D11" t="inlineStr">
        <is>
          <t>110 East 25th Street, New York, NY 10010</t>
        </is>
      </c>
      <c r="E11" t="n">
        <v>40.741024</v>
      </c>
      <c r="F11" t="n">
        <v>-73.984936</v>
      </c>
      <c r="G11" t="inlineStr">
        <is>
          <t>operator</t>
        </is>
      </c>
      <c r="H11" s="2" t="inlineStr">
        <is>
          <t>https://www.neuehouse.com/private-events/madison-square/</t>
        </is>
      </c>
      <c r="I11" s="2" t="inlineStr">
        <is>
          <t>https://nyrej.com/print/57154</t>
        </is>
      </c>
      <c r="J11" t="inlineStr">
        <is>
          <t>2026-10-23</t>
        </is>
      </c>
      <c r="K11" t="inlineStr">
        <is>
          <t>high</t>
        </is>
      </c>
      <c r="L11" s="3" t="inlineStr">
        <is>
          <t>NYREJ 2026-03-10: Convene Hospitality Group completed its acquisition of NeueHouse, including operations of the Madison Square location at 110 E 25th St. Operator page footer reads 'A CHG Venue' and lists 'Restaurant &amp; Bar' and 'Gallery Bar: Full Service Restaurant &amp; Bar'. This is the only Convene-run workplace found inside the margin. Members club format, so mixed-company membership. Between Park Ave S and Lexington Ave. Address conflict carried: Williams Equities' building page (S3, opened 2026-10-23) places NeueHouse at 104 East 25th Street; the NYREJ acquisition item and the operator page use 110 East 25th Street. Both numbers are on the same tax lot (BBL 1008800084), so the pin holds.</t>
        </is>
      </c>
      <c r="M11" t="inlineStr">
        <is>
          <t>Y</t>
        </is>
      </c>
      <c r="N11" t="n">
        <v>0</v>
      </c>
      <c r="O11" t="inlineStr">
        <is>
          <t>open</t>
        </is>
      </c>
      <c r="P11" t="inlineStr">
        <is>
          <t>unknown</t>
        </is>
      </c>
      <c r="Q11" t="inlineStr">
        <is>
          <t>B-B-055</t>
        </is>
      </c>
      <c r="R11" t="inlineStr">
        <is>
          <t>1008800084</t>
        </is>
      </c>
      <c r="S11" t="inlineStr"/>
      <c r="T11" t="inlineStr"/>
      <c r="U11" t="inlineStr">
        <is>
          <t>in-house full-service restaurant and bar (Gallery Bar) run by the house; outside food placement likely needs operator approval (inference)</t>
        </is>
      </c>
      <c r="V11" t="inlineStr">
        <is>
          <t>W-14</t>
        </is>
      </c>
      <c r="W11" t="inlineStr">
        <is>
          <t>2026-10-23</t>
        </is>
      </c>
    </row>
    <row r="12">
      <c r="A12" t="inlineStr">
        <is>
          <t>B-W-011</t>
        </is>
      </c>
      <c r="B12" t="inlineStr">
        <is>
          <t>Select Office Suites</t>
        </is>
      </c>
      <c r="C12" t="inlineStr">
        <is>
          <t>Select Office Suites Flatiron</t>
        </is>
      </c>
      <c r="D12" t="inlineStr">
        <is>
          <t>1115 Broadway (16 Madison Square West), Floors 9-12, New York, NY 10010</t>
        </is>
      </c>
      <c r="E12" t="n">
        <v>40.743006</v>
      </c>
      <c r="F12" t="n">
        <v>-73.98947</v>
      </c>
      <c r="G12" t="inlineStr">
        <is>
          <t>operator</t>
        </is>
      </c>
      <c r="H12" s="2" t="inlineStr">
        <is>
          <t>https://www.selectofficesuites.com/office-space-for-rent-flatiron-district-new-york-city/</t>
        </is>
      </c>
      <c r="I12" s="2" t="inlineStr">
        <is>
          <t>https://www.selectofficesuites.com/office-space-for-rent-flatiron-district-new-york-city/</t>
        </is>
      </c>
      <c r="J12" t="inlineStr">
        <is>
          <t>2026-10-23</t>
        </is>
      </c>
      <c r="K12" t="inlineStr">
        <is>
          <t>high</t>
        </is>
      </c>
      <c r="L12" s="3" t="inlineStr">
        <is>
          <t>Serviced-office operator (private suites, not open coworking). Operator page: 'On-site cafe, kitchen areas, and espresso bar at no extra cost' and 'Fresh brewed coffee compliments of Proof Coffee Roasters ... fruit infused water, and seltzer on tap'. LiquidSpace listing (https://liquidspace.com/US/NY/new-york/select-office-suites-flatiron) says 'Confirmed Open' and that the cafe sells food for an additional cost. Faces Madison Square Park at 25th St. Corporate Suites' site also lists a Flatiron virtual-office product at 1115 Broadway (https://www.corporatesuites.com/virtual-offices-nyc-flatiron-district/), which suggests a partnership; not confirmed.</t>
        </is>
      </c>
      <c r="M12" t="inlineStr">
        <is>
          <t>Y</t>
        </is>
      </c>
      <c r="N12" t="n">
        <v>0</v>
      </c>
      <c r="O12" t="inlineStr">
        <is>
          <t>open</t>
        </is>
      </c>
      <c r="P12" t="inlineStr">
        <is>
          <t>Floors 9-12</t>
        </is>
      </c>
      <c r="Q12" t="inlineStr">
        <is>
          <t>B-B-056</t>
        </is>
      </c>
      <c r="R12" t="inlineStr">
        <is>
          <t>1008260046</t>
        </is>
      </c>
      <c r="S12" t="inlineStr">
        <is>
          <t>B-C-173</t>
        </is>
      </c>
      <c r="T12" t="inlineStr"/>
      <c r="U12" t="inlineStr">
        <is>
          <t>named coffee supplier (Proof Coffee Roasters) and wine bar stocked by Copake Wine Works; on-site cafe; no exclusive contract stated</t>
        </is>
      </c>
      <c r="V12" t="inlineStr">
        <is>
          <t>W-17</t>
        </is>
      </c>
      <c r="W12" t="inlineStr">
        <is>
          <t>2026-10-23</t>
        </is>
      </c>
    </row>
    <row r="13">
      <c r="A13" t="inlineStr">
        <is>
          <t>B-W-012</t>
        </is>
      </c>
      <c r="B13" t="inlineStr">
        <is>
          <t>Regus (IWG)</t>
        </is>
      </c>
      <c r="C13" t="inlineStr">
        <is>
          <t>Regus 41 Madison Avenue</t>
        </is>
      </c>
      <c r="D13" t="inlineStr">
        <is>
          <t>41 Madison Avenue, 31st Floor, New York, NY 10010</t>
        </is>
      </c>
      <c r="E13" t="n">
        <v>40.742351</v>
      </c>
      <c r="F13" t="n">
        <v>-73.98630900000001</v>
      </c>
      <c r="G13" t="inlineStr">
        <is>
          <t>unknown</t>
        </is>
      </c>
      <c r="H13" t="inlineStr"/>
      <c r="I13" s="2" t="inlineStr">
        <is>
          <t>https://old.regus.com/offices/united-states/new-york/new-york-city/office-space/ny-new-york-city-41-madison-avenue</t>
        </is>
      </c>
      <c r="J13" t="inlineStr">
        <is>
          <t>2026-10-23</t>
        </is>
      </c>
      <c r="K13" t="inlineStr">
        <is>
          <t>low</t>
        </is>
      </c>
      <c r="L13" s="3" t="inlineStr">
        <is>
          <t>The current regus.com centre page is bot-blocked; existence per the legacy Regus page (opened; its copy cites the A Voce restaurant, which suggests stale text) and a Freaking Nomads listing (a cafe 'allows remote workers to purchase refreshments'). Open status unverified, founder to confirm. Faces Madison Square Park at 26th St.</t>
        </is>
      </c>
      <c r="M13" t="inlineStr">
        <is>
          <t>Y</t>
        </is>
      </c>
      <c r="N13" t="n">
        <v>0</v>
      </c>
      <c r="O13" t="inlineStr">
        <is>
          <t>unverified</t>
        </is>
      </c>
      <c r="P13" t="inlineStr">
        <is>
          <t>31st Floor</t>
        </is>
      </c>
      <c r="Q13" t="inlineStr">
        <is>
          <t>B-B-057</t>
        </is>
      </c>
      <c r="R13" t="inlineStr">
        <is>
          <t>1008550037</t>
        </is>
      </c>
      <c r="S13" t="inlineStr"/>
      <c r="T13" t="inlineStr"/>
      <c r="U13" t="inlineStr">
        <is>
          <t>none found</t>
        </is>
      </c>
      <c r="V13" t="inlineStr">
        <is>
          <t>W-25</t>
        </is>
      </c>
      <c r="W13" t="inlineStr">
        <is>
          <t>2026-10-23</t>
        </is>
      </c>
    </row>
    <row r="14">
      <c r="A14" t="inlineStr">
        <is>
          <t>B-W-013</t>
        </is>
      </c>
      <c r="B14" t="inlineStr">
        <is>
          <t>Cure (Cure Experience Services, LLC; Deerfield-affiliated)</t>
        </is>
      </c>
      <c r="C14" t="inlineStr">
        <is>
          <t>Cure, 345 Park Avenue South</t>
        </is>
      </c>
      <c r="D14" t="inlineStr">
        <is>
          <t>345 Park Avenue South, New York, NY 10010</t>
        </is>
      </c>
      <c r="E14" t="n">
        <v>40.741737</v>
      </c>
      <c r="F14" t="n">
        <v>-73.98485599999999</v>
      </c>
      <c r="G14" t="inlineStr">
        <is>
          <t>operator</t>
        </is>
      </c>
      <c r="H14" s="2" t="inlineStr">
        <is>
          <t>https://wewillcure.com/community/residents</t>
        </is>
      </c>
      <c r="I14" s="2" t="inlineStr">
        <is>
          <t>https://wewillcure.com/community/residents</t>
        </is>
      </c>
      <c r="J14" t="inlineStr">
        <is>
          <t>2026-10-24</t>
        </is>
      </c>
      <c r="K14" t="inlineStr">
        <is>
          <t>high</t>
        </is>
      </c>
      <c r="L14" s="3" t="inlineStr">
        <is>
          <t>Healthcare innovation hub with a 'Collaboration Residency', hot desks, labs and offices. Footer: '(c) 2026 Cure Experience Services, LLC'. Residents listed include Deerfield Management Company, Lexeo Therapeutics and Insilico Medicine (flagged in_coworking = Y) and Advancium, ANVIA, Apertura, Ascertain, Buckle Therapeutics, CobiCure, Concerto Care, Deerfield Catalyst, Helaina, Hop Labs, Panacea Capital, Plum Alley Ventures, Protara, Sparian, Wandercraft (not recorded as rows). Address: the site's Facebook link 'CureAt345ParkAveSouth' and S3's building research; Wikipedia gives Deerfield's HQ and building purchase at 345 PAS. A healthcare audience may have food-policy limits near labs: ask.</t>
        </is>
      </c>
      <c r="M14" t="inlineStr">
        <is>
          <t>Y</t>
        </is>
      </c>
      <c r="N14" t="n">
        <v>0</v>
      </c>
      <c r="O14" t="inlineStr">
        <is>
          <t>open</t>
        </is>
      </c>
      <c r="P14" t="inlineStr">
        <is>
          <t>unknown</t>
        </is>
      </c>
      <c r="Q14" t="inlineStr">
        <is>
          <t>B-B-058</t>
        </is>
      </c>
      <c r="R14" t="inlineStr">
        <is>
          <t>1008810001</t>
        </is>
      </c>
      <c r="S14" t="inlineStr">
        <is>
          <t>B-C-174; B-C-175; B-C-176</t>
        </is>
      </c>
      <c r="T14" s="2" t="inlineStr">
        <is>
          <t>https://en.wikipedia.org/wiki/Deerfield_Management</t>
        </is>
      </c>
      <c r="U14" t="inlineStr">
        <is>
          <t>operator-run cafe (NaCl Cafe per S3); outside snack placement likely needs operator approval</t>
        </is>
      </c>
      <c r="V14" t="inlineStr">
        <is>
          <t>W-30</t>
        </is>
      </c>
      <c r="W14" t="inlineStr">
        <is>
          <t>2026-10-24</t>
        </is>
      </c>
    </row>
    <row r="15">
      <c r="A15" t="inlineStr">
        <is>
          <t>B-W-014</t>
        </is>
      </c>
      <c r="B15" t="inlineStr">
        <is>
          <t>Industrious</t>
        </is>
      </c>
      <c r="C15" t="inlineStr">
        <is>
          <t>Industrious NoMad</t>
        </is>
      </c>
      <c r="D15" t="inlineStr">
        <is>
          <t>776A Sixth Avenue, New York, NY 10001</t>
        </is>
      </c>
      <c r="E15" t="n">
        <v>40.744955</v>
      </c>
      <c r="F15" t="n">
        <v>-73.990911</v>
      </c>
      <c r="G15" t="inlineStr">
        <is>
          <t>operator</t>
        </is>
      </c>
      <c r="H15" s="2" t="inlineStr">
        <is>
          <t>https://www.industriousoffice.com/locations/776-6th-avenue-2nd-floor-new-york</t>
        </is>
      </c>
      <c r="I15" s="2" t="inlineStr">
        <is>
          <t>https://www.industriousoffice.com/m/new-york-city</t>
        </is>
      </c>
      <c r="J15" t="inlineStr">
        <is>
          <t>2026-10-23</t>
        </is>
      </c>
      <c r="K15" t="inlineStr">
        <is>
          <t>high</t>
        </is>
      </c>
      <c r="L15" s="3" t="inlineStr">
        <is>
          <t>Index lists '3rd Floor Now Open!' (floors 2 and 3). Independent: Commercial Observer 2026-03-19 reports expansion by 24,000 sf to 49,000 sf and 332 seats. Pantry text is brand-standard copy ('Daily breakfast, ample snacks'; 'craft coffee, tea, and sparkling water'). East side of Sixth Ave at 26th-27th St, on the box's west edge.</t>
        </is>
      </c>
      <c r="M15" t="inlineStr">
        <is>
          <t>Y</t>
        </is>
      </c>
      <c r="N15" t="n">
        <v>0</v>
      </c>
      <c r="O15" t="inlineStr">
        <is>
          <t>open</t>
        </is>
      </c>
      <c r="P15" t="inlineStr">
        <is>
          <t>unknown</t>
        </is>
      </c>
      <c r="Q15" t="inlineStr"/>
      <c r="R15" t="inlineStr">
        <is>
          <t>1008280001</t>
        </is>
      </c>
      <c r="S15" t="inlineStr"/>
      <c r="T15" t="inlineStr"/>
      <c r="U15" t="inlineStr">
        <is>
          <t>none found</t>
        </is>
      </c>
      <c r="V15" t="inlineStr">
        <is>
          <t>W-09</t>
        </is>
      </c>
      <c r="W15" t="inlineStr">
        <is>
          <t>2026-10-23</t>
        </is>
      </c>
    </row>
    <row r="16">
      <c r="A16" t="inlineStr">
        <is>
          <t>B-W-015</t>
        </is>
      </c>
      <c r="B16" t="inlineStr">
        <is>
          <t>The Yard</t>
        </is>
      </c>
      <c r="C16" t="inlineStr">
        <is>
          <t>The Yard: Flatiron South</t>
        </is>
      </c>
      <c r="D16" t="inlineStr">
        <is>
          <t>234 Fifth Avenue, 2nd Floor, New York, NY 10001</t>
        </is>
      </c>
      <c r="E16" t="n">
        <v>40.744374</v>
      </c>
      <c r="F16" t="n">
        <v>-73.988133</v>
      </c>
      <c r="G16" t="inlineStr">
        <is>
          <t>operator</t>
        </is>
      </c>
      <c r="H16" s="2" t="inlineStr">
        <is>
          <t>https://theyard.com/flatiron-south-coworking/</t>
        </is>
      </c>
      <c r="I16" s="2" t="inlineStr">
        <is>
          <t>https://theyard.com/the-yard-new-york-city/</t>
        </is>
      </c>
      <c r="J16" t="inlineStr">
        <is>
          <t>2026-10-23</t>
        </is>
      </c>
      <c r="K16" t="inlineStr">
        <is>
          <t>high</t>
        </is>
      </c>
      <c r="L16" s="3" t="inlineStr">
        <is>
          <t>Operator page: 'Coffee &amp; Tea: Complimentary Infinity coffee and Harney &amp; Sons tea in our kitchens.' No snacks named. Independent: Deskpass NoMad listing (https://www.deskpass.com/us-en/ny/new-york-city/coworking-space/nomad) shows it at 234 5th Ave, 2nd Floor. Fifth Ave at 27th St. The Yard's former Flatiron North site (246 Fifth Ave) is no longer on the operator's NYC list.</t>
        </is>
      </c>
      <c r="M16" t="inlineStr">
        <is>
          <t>Y</t>
        </is>
      </c>
      <c r="N16" t="n">
        <v>0</v>
      </c>
      <c r="O16" t="inlineStr">
        <is>
          <t>open</t>
        </is>
      </c>
      <c r="P16" t="inlineStr">
        <is>
          <t>2nd Floor</t>
        </is>
      </c>
      <c r="Q16" t="inlineStr"/>
      <c r="R16" t="inlineStr">
        <is>
          <t>1008290035</t>
        </is>
      </c>
      <c r="S16" t="inlineStr"/>
      <c r="T16" t="inlineStr"/>
      <c r="U16" t="inlineStr">
        <is>
          <t>named beverage suppliers (Infinity coffee; Harney &amp; Sons tea); no exclusive contract stated</t>
        </is>
      </c>
      <c r="V16" t="inlineStr">
        <is>
          <t>W-13</t>
        </is>
      </c>
      <c r="W16" t="inlineStr">
        <is>
          <t>2026-10-23</t>
        </is>
      </c>
    </row>
    <row r="17">
      <c r="A17" t="inlineStr">
        <is>
          <t>B-W-016</t>
        </is>
      </c>
      <c r="B17" t="inlineStr">
        <is>
          <t>Industrious</t>
        </is>
      </c>
      <c r="C17" t="inlineStr">
        <is>
          <t>Industrious 386 Park Ave S</t>
        </is>
      </c>
      <c r="D17" t="inlineStr">
        <is>
          <t>386 Park Avenue South, 18th Floor, New York, NY 10016</t>
        </is>
      </c>
      <c r="E17" t="n">
        <v>40.743091</v>
      </c>
      <c r="F17" t="n">
        <v>-73.98483299999999</v>
      </c>
      <c r="G17" t="inlineStr">
        <is>
          <t>operator</t>
        </is>
      </c>
      <c r="H17" s="2" t="inlineStr">
        <is>
          <t>https://www.industriousoffice.com/locations/386-park-avenue-south-18th-floor-new-york</t>
        </is>
      </c>
      <c r="I17" s="2" t="inlineStr">
        <is>
          <t>https://www.industriousoffice.com/m/new-york-city</t>
        </is>
      </c>
      <c r="J17" t="inlineStr">
        <is>
          <t>2026-10-23</t>
        </is>
      </c>
      <c r="K17" t="inlineStr">
        <is>
          <t>high</t>
        </is>
      </c>
      <c r="L17" s="3" t="inlineStr">
        <is>
          <t>Index lists 'Now Open!'. Pantry text is brand-standard copy ('Daily breakfast, ample snacks'; 'craft coffee, tea, and sparkling water'). Park Ave S at 27th St. Independent: Commercial Observer 2026-02-24 (https://commercialobserver.com/2026/02/industrious-lease-386-park-avenue-south/): 23,000 sf, entire 18th and 19th floors, space for 160 workers.</t>
        </is>
      </c>
      <c r="M17" t="inlineStr">
        <is>
          <t>Y</t>
        </is>
      </c>
      <c r="N17" t="n">
        <v>0</v>
      </c>
      <c r="O17" t="inlineStr">
        <is>
          <t>open</t>
        </is>
      </c>
      <c r="P17" t="inlineStr">
        <is>
          <t>18th Floor</t>
        </is>
      </c>
      <c r="Q17" t="inlineStr">
        <is>
          <t>B-B-072</t>
        </is>
      </c>
      <c r="R17" t="inlineStr">
        <is>
          <t>1008570038</t>
        </is>
      </c>
      <c r="S17" t="inlineStr"/>
      <c r="T17" t="inlineStr"/>
      <c r="U17" t="inlineStr">
        <is>
          <t>none found</t>
        </is>
      </c>
      <c r="V17" t="inlineStr">
        <is>
          <t>W-11</t>
        </is>
      </c>
      <c r="W17" t="inlineStr">
        <is>
          <t>2026-10-23</t>
        </is>
      </c>
    </row>
    <row r="18">
      <c r="A18" t="inlineStr">
        <is>
          <t>B-W-017</t>
        </is>
      </c>
      <c r="B18" t="inlineStr">
        <is>
          <t>The Malin</t>
        </is>
      </c>
      <c r="C18" t="inlineStr">
        <is>
          <t>The Malin NoMad</t>
        </is>
      </c>
      <c r="D18" t="inlineStr">
        <is>
          <t>387 Park Avenue South, 5th Floor, New York, NY 10016</t>
        </is>
      </c>
      <c r="E18" t="n">
        <v>40.742728</v>
      </c>
      <c r="F18" t="n">
        <v>-73.98397</v>
      </c>
      <c r="G18" t="inlineStr">
        <is>
          <t>operator</t>
        </is>
      </c>
      <c r="H18" s="2" t="inlineStr">
        <is>
          <t>https://api.deskpass.com/api/spaces/the-malin-nomad</t>
        </is>
      </c>
      <c r="I18" s="2" t="inlineStr">
        <is>
          <t>https://commercialobserver.com/2024/11/the-malin-lease-895-broadway</t>
        </is>
      </c>
      <c r="J18" t="inlineStr">
        <is>
          <t>2026-10-23</t>
        </is>
      </c>
      <c r="K18" t="inlineStr">
        <is>
          <t>high</t>
        </is>
      </c>
      <c r="L18" s="3" t="inlineStr">
        <is>
          <t>Commercial Observer 2024-11-18 (opened): The Malin NoMad at 387 Park Ave S was 'opening on Nov. 1'. Independent: Deskpass listing (active, updated 2026-10-19; https://api.deskpass.com/api/spaces/the-malin-nomad) gives the 5th floor at 387 Park Ave S at 27th St, 10 private offices, 18 dedicated desks and a kitchen, tagged 'Snacks Available', 'Complimentary Coffee &amp; Tea'. Operator site could not be opened from this environment. East side of Park Ave S.</t>
        </is>
      </c>
      <c r="M18" t="inlineStr">
        <is>
          <t>Y</t>
        </is>
      </c>
      <c r="N18" t="n">
        <v>0</v>
      </c>
      <c r="O18" t="inlineStr">
        <is>
          <t>open</t>
        </is>
      </c>
      <c r="P18" t="inlineStr">
        <is>
          <t>5th Floor</t>
        </is>
      </c>
      <c r="Q18" t="inlineStr">
        <is>
          <t>B-B-073</t>
        </is>
      </c>
      <c r="R18" t="inlineStr">
        <is>
          <t>1008830001</t>
        </is>
      </c>
      <c r="S18" t="inlineStr"/>
      <c r="T18" t="inlineStr"/>
      <c r="U18" t="inlineStr">
        <is>
          <t>none found</t>
        </is>
      </c>
      <c r="V18" t="inlineStr">
        <is>
          <t>W-16</t>
        </is>
      </c>
      <c r="W18" t="inlineStr">
        <is>
          <t>2026-10-23</t>
        </is>
      </c>
    </row>
    <row r="19">
      <c r="A19" t="inlineStr">
        <is>
          <t>B-W-018</t>
        </is>
      </c>
      <c r="B19" t="inlineStr">
        <is>
          <t>WeWork</t>
        </is>
      </c>
      <c r="C19" t="inlineStr">
        <is>
          <t>WeWork 245 5th Ave</t>
        </is>
      </c>
      <c r="D19" t="inlineStr">
        <is>
          <t>245 Fifth Avenue, New York, NY 10016</t>
        </is>
      </c>
      <c r="E19" t="n">
        <v>40.74435</v>
      </c>
      <c r="F19" t="n">
        <v>-73.987084</v>
      </c>
      <c r="G19" t="inlineStr">
        <is>
          <t>operator</t>
        </is>
      </c>
      <c r="H19" s="2" t="inlineStr">
        <is>
          <t>https://www.wework.com/buildings/245-5th-ave--new-york-city--NY</t>
        </is>
      </c>
      <c r="I19" s="2" t="inlineStr">
        <is>
          <t>https://www.wework.com/buildings/245-5th-ave--new-york-city--NY</t>
        </is>
      </c>
      <c r="J19" t="inlineStr">
        <is>
          <t>2026-10-23</t>
        </is>
      </c>
      <c r="K19" t="inlineStr">
        <is>
          <t>medium</t>
        </is>
      </c>
      <c r="L19" s="3" t="inlineStr">
        <is>
          <t>New location: search snippet of this page read 'Opening Summer 2026!' (2nd, 4th, 5th and 6th floors, 55,090 RSF). Page opened 2026-10-23 shows staffed hours and availability, so probably open; open status unverified, founder to confirm. 'Stocked kitchens: complimentary filtered water, micro-roasted coffee, seltzers and tea'. Fifth Ave at 28th St. Not on WeWork's NYC index as opened 2026-10-24, but a wework.com listing page shows a '4th Floor' office at 245 5th Ave, so it is probably open; founder to confirm.</t>
        </is>
      </c>
      <c r="M19" t="inlineStr">
        <is>
          <t>Y</t>
        </is>
      </c>
      <c r="N19" t="n">
        <v>0</v>
      </c>
      <c r="O19" t="inlineStr">
        <is>
          <t>open-unverified</t>
        </is>
      </c>
      <c r="P19" t="inlineStr">
        <is>
          <t>unknown</t>
        </is>
      </c>
      <c r="Q19" t="inlineStr">
        <is>
          <t>B-B-074</t>
        </is>
      </c>
      <c r="R19" t="inlineStr">
        <is>
          <t>1008570076</t>
        </is>
      </c>
      <c r="S19" t="inlineStr"/>
      <c r="T19" t="inlineStr"/>
      <c r="U19" t="inlineStr">
        <is>
          <t>none found on amenity page</t>
        </is>
      </c>
      <c r="V19" t="inlineStr">
        <is>
          <t>W-05</t>
        </is>
      </c>
      <c r="W19" t="inlineStr">
        <is>
          <t>2026-10-23</t>
        </is>
      </c>
    </row>
    <row r="20">
      <c r="A20" t="inlineStr">
        <is>
          <t>B-W-019</t>
        </is>
      </c>
      <c r="B20" t="inlineStr">
        <is>
          <t>Spaces / Regus (IWG)</t>
        </is>
      </c>
      <c r="C20" t="inlineStr">
        <is>
          <t>Spaces Midtown South (401 Park Avenue South)</t>
        </is>
      </c>
      <c r="D20" t="inlineStr">
        <is>
          <t>401 Park Avenue South, Floors 8-10, New York, NY 10016</t>
        </is>
      </c>
      <c r="E20" t="n">
        <v>40.742962</v>
      </c>
      <c r="F20" t="n">
        <v>-73.983783</v>
      </c>
      <c r="G20" t="inlineStr">
        <is>
          <t>unknown</t>
        </is>
      </c>
      <c r="H20" t="inlineStr"/>
      <c r="I20" s="2" t="inlineStr">
        <is>
          <t>https://old.regus.com/offices/united-states/new-york/new-york-city/office-space/ny-new-york-spaces-midtown-south</t>
        </is>
      </c>
      <c r="J20" t="inlineStr">
        <is>
          <t>2026-10-23</t>
        </is>
      </c>
      <c r="K20" t="inlineStr">
        <is>
          <t>low</t>
        </is>
      </c>
      <c r="L20" s="3" t="inlineStr">
        <is>
          <t>Legacy Regus page (opened) titled 'Spaces Midtown South': 401 Park Avenue South, 10th Floor, with workspace on the 8th, 9th and 10th floors. A search snippet of the current regus.com page (https://www.regus.com/en/us/5774) repeats the address; that page is bot-blocked. No food or pantry text found. Open status unverified, founder to confirm. Park Ave S at 28th St.</t>
        </is>
      </c>
      <c r="M20" t="inlineStr">
        <is>
          <t>Y</t>
        </is>
      </c>
      <c r="N20" t="n">
        <v>0</v>
      </c>
      <c r="O20" t="inlineStr">
        <is>
          <t>unverified</t>
        </is>
      </c>
      <c r="P20" t="inlineStr">
        <is>
          <t>Floors 8-10</t>
        </is>
      </c>
      <c r="Q20" t="inlineStr"/>
      <c r="R20" t="inlineStr">
        <is>
          <t>1008830088</t>
        </is>
      </c>
      <c r="S20" t="inlineStr"/>
      <c r="T20" t="inlineStr"/>
      <c r="U20" t="inlineStr">
        <is>
          <t>none found</t>
        </is>
      </c>
      <c r="V20" t="inlineStr">
        <is>
          <t>W-26</t>
        </is>
      </c>
      <c r="W20" t="inlineStr">
        <is>
          <t>2026-10-23</t>
        </is>
      </c>
    </row>
    <row r="21">
      <c r="A21" t="inlineStr">
        <is>
          <t>B-W-020</t>
        </is>
      </c>
      <c r="B21" t="inlineStr">
        <is>
          <t>WeWork</t>
        </is>
      </c>
      <c r="C21" t="inlineStr">
        <is>
          <t>WeWork 27 E 28th St (79 Madison Ave building)</t>
        </is>
      </c>
      <c r="D21" t="inlineStr">
        <is>
          <t>27 East 28th Street, New York, NY 10016</t>
        </is>
      </c>
      <c r="E21" t="n">
        <v>40.744057</v>
      </c>
      <c r="F21" t="n">
        <v>-73.985252</v>
      </c>
      <c r="G21" t="inlineStr">
        <is>
          <t>unknown</t>
        </is>
      </c>
      <c r="H21" s="2" t="inlineStr">
        <is>
          <t>https://liquidspace.com/us/ny/new-york/wework-27-e-28th-st</t>
        </is>
      </c>
      <c r="I21" s="2" t="inlineStr">
        <is>
          <t>https://liquidspace.com/us/ny/new-york/wework-27-e-28th-st</t>
        </is>
      </c>
      <c r="J21" t="inlineStr">
        <is>
          <t>2026-10-24</t>
        </is>
      </c>
      <c r="K21" t="inlineStr">
        <is>
          <t>low</t>
        </is>
      </c>
      <c r="L21" s="3" t="inlineStr">
        <is>
          <t>CONFLICT: LiquidSpace says 'Confirmed Open' and Monte Carlo's Built In page lists a hub at 27 E 28th St, Suite 1656, but the location is NOT on WeWork's NYC index (wework.com/l/coworking-space/new-york-city--NY, opened 2026-10-24) and the wework.com building page redirects to a generic listing. The building was marketed for a condo conversion (CO 2025-03-04). Treat as possibly closed; check on the walk.</t>
        </is>
      </c>
      <c r="M21" t="inlineStr">
        <is>
          <t>Y</t>
        </is>
      </c>
      <c r="N21" t="n">
        <v>0</v>
      </c>
      <c r="O21" t="inlineStr">
        <is>
          <t>possibly-closed</t>
        </is>
      </c>
      <c r="P21" t="inlineStr">
        <is>
          <t>eight floors of 17 (unnamed)</t>
        </is>
      </c>
      <c r="Q21" t="inlineStr">
        <is>
          <t>B-B-076</t>
        </is>
      </c>
      <c r="R21" t="inlineStr">
        <is>
          <t>1008580022</t>
        </is>
      </c>
      <c r="S21" t="inlineStr">
        <is>
          <t>B-C-177</t>
        </is>
      </c>
      <c r="T21" s="2" t="inlineStr">
        <is>
          <t>https://www.builtinnyc.com/company/monte-carlo/offices</t>
        </is>
      </c>
      <c r="U21" t="inlineStr">
        <is>
          <t>none found</t>
        </is>
      </c>
      <c r="V21" t="inlineStr">
        <is>
          <t>W-31</t>
        </is>
      </c>
      <c r="W21" t="inlineStr">
        <is>
          <t>2026-10-24</t>
        </is>
      </c>
    </row>
    <row r="22">
      <c r="A22" t="inlineStr">
        <is>
          <t>B-W-021</t>
        </is>
      </c>
      <c r="B22" t="inlineStr">
        <is>
          <t>Luminary</t>
        </is>
      </c>
      <c r="C22" t="inlineStr">
        <is>
          <t>Luminary</t>
        </is>
      </c>
      <c r="D22" t="inlineStr">
        <is>
          <t>1204 Broadway, 4th Floor, New York, NY 10001</t>
        </is>
      </c>
      <c r="E22" t="n">
        <v>40.746321</v>
      </c>
      <c r="F22" t="n">
        <v>-73.988259</v>
      </c>
      <c r="G22" t="inlineStr">
        <is>
          <t>operator</t>
        </is>
      </c>
      <c r="H22" s="2" t="inlineStr">
        <is>
          <t>https://api.deskpass.com/api/spaces/luminary</t>
        </is>
      </c>
      <c r="I22" s="2" t="inlineStr">
        <is>
          <t>https://www.weareluminary.com/home</t>
        </is>
      </c>
      <c r="J22" t="inlineStr">
        <is>
          <t>2026-10-23</t>
        </is>
      </c>
      <c r="K22" t="inlineStr">
        <is>
          <t>high</t>
        </is>
      </c>
      <c r="L22" s="3" t="inlineStr">
        <is>
          <t>Deskpass listing (active, updated 2026-09-25): 'Amenities include phone booths, bottomless coffee and tea, wine on tap ...'; 3 floors. No snacks named. Operator site weareluminary.com not opened. Broadway at 29th-30th St. Operator site (opened 2026-10-24) lists 'NoMad, 1204 Broadway' with hours Mon-Thu 8:30am-7pm, Fri 8:30am-6pm, Sat 10am-4pm. Women-centred community workspace.</t>
        </is>
      </c>
      <c r="M22" t="inlineStr">
        <is>
          <t>Y</t>
        </is>
      </c>
      <c r="N22" t="n">
        <v>0</v>
      </c>
      <c r="O22" t="inlineStr">
        <is>
          <t>open</t>
        </is>
      </c>
      <c r="P22" t="inlineStr">
        <is>
          <t>4th Floor</t>
        </is>
      </c>
      <c r="Q22" t="inlineStr"/>
      <c r="R22" t="inlineStr">
        <is>
          <t>1008310019</t>
        </is>
      </c>
      <c r="S22" t="inlineStr"/>
      <c r="T22" t="inlineStr"/>
      <c r="U22" t="inlineStr">
        <is>
          <t>none found</t>
        </is>
      </c>
      <c r="V22" t="inlineStr">
        <is>
          <t>W-21</t>
        </is>
      </c>
      <c r="W22" t="inlineStr">
        <is>
          <t>2026-10-23</t>
        </is>
      </c>
    </row>
    <row r="23">
      <c r="A23" t="inlineStr">
        <is>
          <t>B-W-022</t>
        </is>
      </c>
      <c r="B23" t="inlineStr">
        <is>
          <t>SaGE Workspace</t>
        </is>
      </c>
      <c r="C23" t="inlineStr">
        <is>
          <t>Sage Workspace</t>
        </is>
      </c>
      <c r="D23" t="inlineStr">
        <is>
          <t>276 Fifth Avenue, Suite 704, New York, NY 10001</t>
        </is>
      </c>
      <c r="E23" t="n">
        <v>40.745902</v>
      </c>
      <c r="F23" t="n">
        <v>-73.986936</v>
      </c>
      <c r="G23" t="inlineStr">
        <is>
          <t>operator</t>
        </is>
      </c>
      <c r="H23" s="2" t="inlineStr">
        <is>
          <t>https://api.deskpass.com/api/spaces/sage-workspace</t>
        </is>
      </c>
      <c r="I23" s="2" t="inlineStr">
        <is>
          <t>https://www.sageworkspace.com/</t>
        </is>
      </c>
      <c r="J23" t="inlineStr">
        <is>
          <t>2026-10-23</t>
        </is>
      </c>
      <c r="K23" t="inlineStr">
        <is>
          <t>high</t>
        </is>
      </c>
      <c r="L23" s="3" t="inlineStr">
        <is>
          <t>Deskpass listing (active, updated 2026-08-21) tags 'Snacks Available', 'Complimentary Coffee &amp; Tea', 'Shared Kitchen'. Small suite operator (one suite in the building). Fifth Ave at 29th-30th St. Operator site (opened 2026-10-24) footer: 276 Fifth Avenue, Suite 704, (c) 2026; offers coworking, cubicles, team offices.</t>
        </is>
      </c>
      <c r="M23" t="inlineStr">
        <is>
          <t>Y</t>
        </is>
      </c>
      <c r="N23" t="n">
        <v>0</v>
      </c>
      <c r="O23" t="inlineStr">
        <is>
          <t>open</t>
        </is>
      </c>
      <c r="P23" t="inlineStr">
        <is>
          <t>Suite 704</t>
        </is>
      </c>
      <c r="Q23" t="inlineStr"/>
      <c r="R23" t="inlineStr">
        <is>
          <t>1008310042</t>
        </is>
      </c>
      <c r="S23" t="inlineStr"/>
      <c r="T23" t="inlineStr"/>
      <c r="U23" t="inlineStr">
        <is>
          <t>none found</t>
        </is>
      </c>
      <c r="V23" t="inlineStr">
        <is>
          <t>W-22</t>
        </is>
      </c>
      <c r="W23" t="inlineStr">
        <is>
          <t>2026-10-23</t>
        </is>
      </c>
    </row>
    <row r="24">
      <c r="A24" t="inlineStr">
        <is>
          <t>B-W-023</t>
        </is>
      </c>
      <c r="B24" t="inlineStr">
        <is>
          <t>Nomadworks</t>
        </is>
      </c>
      <c r="C24" t="inlineStr">
        <is>
          <t>Nomadworks 1216 Broadway</t>
        </is>
      </c>
      <c r="D24" t="inlineStr">
        <is>
          <t>1216 Broadway, Floor 2, New York, NY 10001</t>
        </is>
      </c>
      <c r="E24" t="n">
        <v>40.746458</v>
      </c>
      <c r="F24" t="n">
        <v>-73.988073</v>
      </c>
      <c r="G24" t="inlineStr">
        <is>
          <t>operator</t>
        </is>
      </c>
      <c r="H24" s="2" t="inlineStr">
        <is>
          <t>https://api.deskpass.com/api/spaces/nomadworks</t>
        </is>
      </c>
      <c r="I24" s="2" t="inlineStr">
        <is>
          <t>https://nomadworks.com/</t>
        </is>
      </c>
      <c r="J24" t="inlineStr">
        <is>
          <t>2026-10-23</t>
        </is>
      </c>
      <c r="K24" t="inlineStr">
        <is>
          <t>high</t>
        </is>
      </c>
      <c r="L24" s="3" t="inlineStr">
        <is>
          <t>Deskpass listing (active, updated 2026-06-15): 30,000 sf over a corner block; tags 'Complimentary Coffee &amp; Tea', 'Shared Kitchen', 'Snacks Available'. Broadway at 30th-31st St, inside the two-street north margin. Operator site (opened 2026-10-24) lists 1216 Broadway among three NYC locations; membership includes 'Complimentary Wifi, Tea and Coffee'.</t>
        </is>
      </c>
      <c r="M24" t="inlineStr">
        <is>
          <t>Y</t>
        </is>
      </c>
      <c r="N24" t="n">
        <v>0</v>
      </c>
      <c r="O24" t="inlineStr">
        <is>
          <t>open</t>
        </is>
      </c>
      <c r="P24" t="inlineStr">
        <is>
          <t>Floor 2</t>
        </is>
      </c>
      <c r="Q24" t="inlineStr"/>
      <c r="R24" t="inlineStr">
        <is>
          <t>1008310059</t>
        </is>
      </c>
      <c r="S24" t="inlineStr"/>
      <c r="T24" t="inlineStr"/>
      <c r="U24" t="inlineStr">
        <is>
          <t>none found</t>
        </is>
      </c>
      <c r="V24" t="inlineStr">
        <is>
          <t>W-23</t>
        </is>
      </c>
      <c r="W24" t="inlineStr">
        <is>
          <t>2026-10-23</t>
        </is>
      </c>
    </row>
    <row r="25">
      <c r="A25" t="inlineStr">
        <is>
          <t>B-W-024</t>
        </is>
      </c>
      <c r="B25" t="inlineStr">
        <is>
          <t>WeWork</t>
        </is>
      </c>
      <c r="C25" t="inlineStr">
        <is>
          <t>WeWork 450 Park Ave S</t>
        </is>
      </c>
      <c r="D25" t="inlineStr">
        <is>
          <t>450 Park Avenue South, New York, NY 10016</t>
        </is>
      </c>
      <c r="E25" t="n">
        <v>40.744997</v>
      </c>
      <c r="F25" t="n">
        <v>-73.983237</v>
      </c>
      <c r="G25" t="inlineStr">
        <is>
          <t>operator</t>
        </is>
      </c>
      <c r="H25" s="2" t="inlineStr">
        <is>
          <t>https://www.wework.com/buildings/450-park-ave-s--new-york-city--NY</t>
        </is>
      </c>
      <c r="I25" s="2" t="inlineStr">
        <is>
          <t>https://www.wework.com/buildings/450-park-ave-s--new-york-city--NY</t>
        </is>
      </c>
      <c r="J25" t="inlineStr">
        <is>
          <t>2026-10-23</t>
        </is>
      </c>
      <c r="K25" t="inlineStr">
        <is>
          <t>medium</t>
        </is>
      </c>
      <c r="L25" s="3" t="inlineStr">
        <is>
          <t>Operator page: 'Stocked kitchens: complimentary filtered water, micro-roasted coffee, seltzers and tea'. Beverages only. Park Ave S at 30th-31st St: on the north edge, inside the two-street margin.</t>
        </is>
      </c>
      <c r="M25" t="inlineStr">
        <is>
          <t>Y</t>
        </is>
      </c>
      <c r="N25" t="n">
        <v>0</v>
      </c>
      <c r="O25" t="inlineStr">
        <is>
          <t>open</t>
        </is>
      </c>
      <c r="P25" t="inlineStr">
        <is>
          <t>unknown</t>
        </is>
      </c>
      <c r="Q25" t="inlineStr">
        <is>
          <t>B-B-081</t>
        </is>
      </c>
      <c r="R25" t="inlineStr">
        <is>
          <t>1008600045</t>
        </is>
      </c>
      <c r="S25" t="inlineStr"/>
      <c r="T25" t="inlineStr"/>
      <c r="U25" t="inlineStr">
        <is>
          <t>none found on amenity page</t>
        </is>
      </c>
      <c r="V25" t="inlineStr">
        <is>
          <t>W-04</t>
        </is>
      </c>
      <c r="W25" t="inlineStr">
        <is>
          <t>2026-10-23</t>
        </is>
      </c>
    </row>
    <row r="26">
      <c r="A26" t="inlineStr">
        <is>
          <t>B-W-025</t>
        </is>
      </c>
      <c r="B26" t="inlineStr">
        <is>
          <t>Resident Company Club</t>
        </is>
      </c>
      <c r="C26" t="inlineStr">
        <is>
          <t>Resident Union Square</t>
        </is>
      </c>
      <c r="D26" t="inlineStr">
        <is>
          <t>113 University Place, Floors 4-5, New York, NY 10003</t>
        </is>
      </c>
      <c r="E26" t="n">
        <v>40.734307</v>
      </c>
      <c r="F26" t="n">
        <v>-73.99212</v>
      </c>
      <c r="G26" t="inlineStr">
        <is>
          <t>operator</t>
        </is>
      </c>
      <c r="H26" s="2" t="inlineStr">
        <is>
          <t>https://residentcompanyclub.com/</t>
        </is>
      </c>
      <c r="I26" s="2" t="inlineStr">
        <is>
          <t>https://commercialobserver.com/2025/12/coworking-resident-company-club-lease-113-university-place/</t>
        </is>
      </c>
      <c r="J26" t="inlineStr">
        <is>
          <t>2026-10-23</t>
        </is>
      </c>
      <c r="K26" t="inlineStr">
        <is>
          <t>high</t>
        </is>
      </c>
      <c r="L26" s="3" t="inlineStr">
        <is>
          <t>Operator site lists Union Square, 113 University Place, 'FULLY occupied, JOIN WAITLIST', so operating. Commercial Observer 2025-12-04: 15-year lease, about 13,000 sf, 4th and 5th floors. CoworkingCafe 2025-12-12: a 'consumer- and ecommerce-focused Company Club ... designed for consumer-brand founders': members are likely emerging CPG founders (a brand-side lead source as well as an office). Between 12th and 13th St, inside the two-street south margin. Amenity text is brand-wide, not per location.</t>
        </is>
      </c>
      <c r="M26" t="inlineStr">
        <is>
          <t>N</t>
        </is>
      </c>
      <c r="N26" t="n">
        <v>0.2</v>
      </c>
      <c r="O26" t="inlineStr">
        <is>
          <t>open</t>
        </is>
      </c>
      <c r="P26" t="inlineStr">
        <is>
          <t>Floors 4-5</t>
        </is>
      </c>
      <c r="Q26" t="inlineStr"/>
      <c r="R26" t="inlineStr">
        <is>
          <t>1005640007</t>
        </is>
      </c>
      <c r="S26" t="inlineStr"/>
      <c r="T26" t="inlineStr"/>
      <c r="U26" t="inlineStr">
        <is>
          <t>meal partner named: 'Factor pre-cooked meals (available for purchase)'; not stated as exclusive</t>
        </is>
      </c>
      <c r="V26" t="inlineStr">
        <is>
          <t>W-20</t>
        </is>
      </c>
      <c r="W26" t="inlineStr">
        <is>
          <t>2026-10-23</t>
        </is>
      </c>
    </row>
    <row r="27">
      <c r="A27" t="inlineStr">
        <is>
          <t>B-W-026</t>
        </is>
      </c>
      <c r="B27" t="inlineStr">
        <is>
          <t>WeWork</t>
        </is>
      </c>
      <c r="C27" t="inlineStr">
        <is>
          <t>WeWork 33 Irving Pl</t>
        </is>
      </c>
      <c r="D27" t="inlineStr">
        <is>
          <t>33 Irving Place, New York, NY 10003</t>
        </is>
      </c>
      <c r="E27" t="n">
        <v>40.735166</v>
      </c>
      <c r="F27" t="n">
        <v>-73.988236</v>
      </c>
      <c r="G27" t="inlineStr">
        <is>
          <t>operator</t>
        </is>
      </c>
      <c r="H27" s="2" t="inlineStr">
        <is>
          <t>https://www.wework.com/buildings/33-irving-pl--new-york-city--NY</t>
        </is>
      </c>
      <c r="I27" s="2" t="inlineStr">
        <is>
          <t>https://www.wework.com/buildings/33-irving-pl--new-york-city--NY</t>
        </is>
      </c>
      <c r="J27" t="inlineStr">
        <is>
          <t>2026-10-23</t>
        </is>
      </c>
      <c r="K27" t="inlineStr">
        <is>
          <t>medium</t>
        </is>
      </c>
      <c r="L27" s="3" t="inlineStr">
        <is>
          <t>Operator page: 'Stocked kitchens: complimentary filtered water, micro-roasted coffee, seltzers and tea'; barista listed as not included. Beverages only. Irving Pl at 15th-16th St, one avenue east of Park Ave S (inside the east margin, not the box).</t>
        </is>
      </c>
      <c r="M27" t="inlineStr">
        <is>
          <t>N</t>
        </is>
      </c>
      <c r="N27" t="n">
        <v>0.9</v>
      </c>
      <c r="O27" t="inlineStr">
        <is>
          <t>open</t>
        </is>
      </c>
      <c r="P27" t="inlineStr">
        <is>
          <t>unknown</t>
        </is>
      </c>
      <c r="Q27" t="inlineStr"/>
      <c r="R27" t="inlineStr">
        <is>
          <t>1008710068</t>
        </is>
      </c>
      <c r="S27" t="inlineStr"/>
      <c r="T27" t="inlineStr"/>
      <c r="U27" t="inlineStr">
        <is>
          <t>none found on amenity page</t>
        </is>
      </c>
      <c r="V27" t="inlineStr">
        <is>
          <t>W-02</t>
        </is>
      </c>
      <c r="W27" t="inlineStr">
        <is>
          <t>2026-10-23</t>
        </is>
      </c>
    </row>
    <row r="28">
      <c r="A28" t="inlineStr">
        <is>
          <t>B-W-027</t>
        </is>
      </c>
      <c r="B28" t="inlineStr">
        <is>
          <t>Industrious</t>
        </is>
      </c>
      <c r="C28" t="inlineStr">
        <is>
          <t>Indy by Industrious Gramercy Park</t>
        </is>
      </c>
      <c r="D28" t="inlineStr">
        <is>
          <t>120 East 23rd Street, 4th Floor, New York, NY 10010</t>
        </is>
      </c>
      <c r="E28" t="n">
        <v>40.739502</v>
      </c>
      <c r="F28" t="n">
        <v>-73.98571800000001</v>
      </c>
      <c r="G28" t="inlineStr">
        <is>
          <t>operator</t>
        </is>
      </c>
      <c r="H28" s="2" t="inlineStr">
        <is>
          <t>https://www.industriousoffice.com/locations/120-east-23rd-street-4th-floor-new-york</t>
        </is>
      </c>
      <c r="I28" s="2" t="inlineStr">
        <is>
          <t>https://www.industriousoffice.com/m/new-york-city</t>
        </is>
      </c>
      <c r="J28" t="inlineStr">
        <is>
          <t>2026-10-23</t>
        </is>
      </c>
      <c r="K28" t="inlineStr">
        <is>
          <t>high</t>
        </is>
      </c>
      <c r="L28" s="3" t="inlineStr">
        <is>
          <t>'Indy' is Industrious's lighter format. Page meta text: 'Indy by Industrious offers flexible memberships, sleek lounges, private offices, and bottomless coffee'. Brand copy has a 'Daily snacks, craft coffee &amp; tea' variant without breakfast, so the food level here is unconfirmed. Between Park Ave S and Lexington Ave. Independent: Deskpass NYC index lists 'Indy by Industrious Gramercy Park: 120 East 23rd Street, 4th Floor' (https://www.deskpass.com/us-en/ny/new-york-city).</t>
        </is>
      </c>
      <c r="M28" t="inlineStr">
        <is>
          <t>N</t>
        </is>
      </c>
      <c r="N28" t="n">
        <v>0.3</v>
      </c>
      <c r="O28" t="inlineStr">
        <is>
          <t>open</t>
        </is>
      </c>
      <c r="P28" t="inlineStr">
        <is>
          <t>4th Floor</t>
        </is>
      </c>
      <c r="Q28" t="inlineStr"/>
      <c r="R28" t="inlineStr">
        <is>
          <t>1008780065</t>
        </is>
      </c>
      <c r="S28" t="inlineStr"/>
      <c r="T28" t="inlineStr"/>
      <c r="U28" t="inlineStr">
        <is>
          <t>none found</t>
        </is>
      </c>
      <c r="V28" t="inlineStr">
        <is>
          <t>W-10</t>
        </is>
      </c>
      <c r="W28" t="inlineStr">
        <is>
          <t>2026-10-23</t>
        </is>
      </c>
    </row>
    <row r="29">
      <c r="A29" t="inlineStr">
        <is>
          <t>B-W-028</t>
        </is>
      </c>
      <c r="B29" t="inlineStr">
        <is>
          <t>Resident Company Club</t>
        </is>
      </c>
      <c r="C29" t="inlineStr">
        <is>
          <t>Resident Madison Park (Flatiron)</t>
        </is>
      </c>
      <c r="D29" t="inlineStr">
        <is>
          <t>115 East 23rd Street, Floors 4-5, New York, NY 10010</t>
        </is>
      </c>
      <c r="E29" t="n">
        <v>40.740111</v>
      </c>
      <c r="F29" t="n">
        <v>-73.98545900000001</v>
      </c>
      <c r="G29" t="inlineStr">
        <is>
          <t>operator</t>
        </is>
      </c>
      <c r="H29" s="2" t="inlineStr">
        <is>
          <t>https://residentcompanyclub.com/</t>
        </is>
      </c>
      <c r="I29" s="2" t="inlineStr">
        <is>
          <t>https://residentcompanyclub.com/</t>
        </is>
      </c>
      <c r="J29" t="inlineStr">
        <is>
          <t>2026-10-23</t>
        </is>
      </c>
      <c r="K29" t="inlineStr">
        <is>
          <t>high</t>
        </is>
      </c>
      <c r="L29" s="3" t="inlineStr">
        <is>
          <t>Operator site: open, 'One Suite available'; amenities 'Complimentary beverages and brain-boosting snacks'. Independent: Commercial Observer 2025-12-04 says the first club opened at 115 E 23rd St in September (2025). Focus is AI and tech startups and VCs (CoworkingCafe 2025-12-12). About 30 private offices for 1-12 people (Deskpass, updated 2026-10-12). Search-snippet listings (not opened) gave this building as Bond Collective's former Flatiron address; Bond's current site lists no Flatiron location.</t>
        </is>
      </c>
      <c r="M29" t="inlineStr">
        <is>
          <t>N</t>
        </is>
      </c>
      <c r="N29" t="n">
        <v>0.1</v>
      </c>
      <c r="O29" t="inlineStr">
        <is>
          <t>open</t>
        </is>
      </c>
      <c r="P29" t="inlineStr">
        <is>
          <t>Floors 4-5</t>
        </is>
      </c>
      <c r="Q29" t="inlineStr"/>
      <c r="R29" t="inlineStr">
        <is>
          <t>1008790009</t>
        </is>
      </c>
      <c r="S29" t="inlineStr"/>
      <c r="T29" t="inlineStr"/>
      <c r="U29" t="inlineStr">
        <is>
          <t>meal partner named: 'Factor pre-cooked meals (available for purchase)'; not stated as exclusive</t>
        </is>
      </c>
      <c r="V29" t="inlineStr">
        <is>
          <t>W-19</t>
        </is>
      </c>
      <c r="W29" t="inlineStr">
        <is>
          <t>2026-10-23</t>
        </is>
      </c>
    </row>
    <row r="30">
      <c r="A30" t="inlineStr">
        <is>
          <t>B-W-029</t>
        </is>
      </c>
      <c r="B30" t="inlineStr">
        <is>
          <t>WeWork</t>
        </is>
      </c>
      <c r="C30" t="inlineStr">
        <is>
          <t>WeWork 135 Madison Ave</t>
        </is>
      </c>
      <c r="D30" t="inlineStr">
        <is>
          <t>135 Madison Avenue, New York, NY 10016</t>
        </is>
      </c>
      <c r="E30" t="n">
        <v>40.745921</v>
      </c>
      <c r="F30" t="n">
        <v>-73.983876</v>
      </c>
      <c r="G30" t="inlineStr">
        <is>
          <t>operator</t>
        </is>
      </c>
      <c r="H30" s="2" t="inlineStr">
        <is>
          <t>https://www.wework.com/buildings/135-madison-ave--new-york-city--NY</t>
        </is>
      </c>
      <c r="I30" s="2" t="inlineStr">
        <is>
          <t>https://www.wework.com/buildings/135-madison-ave--new-york-city--NY</t>
        </is>
      </c>
      <c r="J30" t="inlineStr">
        <is>
          <t>2026-10-23</t>
        </is>
      </c>
      <c r="K30" t="inlineStr">
        <is>
          <t>medium</t>
        </is>
      </c>
      <c r="L30" s="3" t="inlineStr">
        <is>
          <t>Operator page: 'recharge at the fully stocked pantries'; 'complimentary filtered water, micro-roasted coffee, seltzers and tea'. No snacks named. Madison Ave at 31st St: north of the box, inside the two-street margin.</t>
        </is>
      </c>
      <c r="M30" t="inlineStr">
        <is>
          <t>N</t>
        </is>
      </c>
      <c r="N30" t="n">
        <v>0.8</v>
      </c>
      <c r="O30" t="inlineStr">
        <is>
          <t>open</t>
        </is>
      </c>
      <c r="P30" t="inlineStr">
        <is>
          <t>unknown</t>
        </is>
      </c>
      <c r="Q30" t="inlineStr"/>
      <c r="R30" t="inlineStr">
        <is>
          <t>1008610022</t>
        </is>
      </c>
      <c r="S30" t="inlineStr"/>
      <c r="T30" t="inlineStr"/>
      <c r="U30" t="inlineStr">
        <is>
          <t>none found on amenity page</t>
        </is>
      </c>
      <c r="V30" t="inlineStr">
        <is>
          <t>W-03</t>
        </is>
      </c>
      <c r="W30" t="inlineStr">
        <is>
          <t>2026-10-23</t>
        </is>
      </c>
    </row>
    <row r="31">
      <c r="A31" t="inlineStr">
        <is>
          <t>B-W-030</t>
        </is>
      </c>
      <c r="B31" t="inlineStr">
        <is>
          <t>Regus (IWG)</t>
        </is>
      </c>
      <c r="C31" t="inlineStr">
        <is>
          <t>Regus 136 Madison Avenue</t>
        </is>
      </c>
      <c r="D31" t="inlineStr">
        <is>
          <t>136 Madison Avenue, 6th Floor, New York, NY 10016</t>
        </is>
      </c>
      <c r="E31" t="n">
        <v>40.746229</v>
      </c>
      <c r="F31" t="n">
        <v>-73.984472</v>
      </c>
      <c r="G31" t="inlineStr">
        <is>
          <t>unknown</t>
        </is>
      </c>
      <c r="H31" t="inlineStr"/>
      <c r="I31" s="2" t="inlineStr">
        <is>
          <t>https://old.regus.com/offices/united-states/new-york/new-york-city/office-space/ny-new-york-city-136-madison-avenue</t>
        </is>
      </c>
      <c r="J31" t="inlineStr">
        <is>
          <t>2026-10-23</t>
        </is>
      </c>
      <c r="K31" t="inlineStr">
        <is>
          <t>low</t>
        </is>
      </c>
      <c r="L31" s="3" t="inlineStr">
        <is>
          <t>Legacy Regus page (opened): 136 Madison Avenue, 6th Floor. A current regus.com page seen only in search results; bot-blocked. Open status unverified, founder to confirm. Madison Ave at 31st St, inside the two-street north margin.</t>
        </is>
      </c>
      <c r="M31" t="inlineStr">
        <is>
          <t>N</t>
        </is>
      </c>
      <c r="N31" t="n">
        <v>0.8</v>
      </c>
      <c r="O31" t="inlineStr">
        <is>
          <t>unverified</t>
        </is>
      </c>
      <c r="P31" t="inlineStr">
        <is>
          <t>6th Floor</t>
        </is>
      </c>
      <c r="Q31" t="inlineStr"/>
      <c r="R31" t="inlineStr">
        <is>
          <t>1008610015</t>
        </is>
      </c>
      <c r="S31" t="inlineStr"/>
      <c r="T31" t="inlineStr"/>
      <c r="U31" t="inlineStr">
        <is>
          <t>none found</t>
        </is>
      </c>
      <c r="V31" t="inlineStr">
        <is>
          <t>W-27</t>
        </is>
      </c>
      <c r="W31" t="inlineStr">
        <is>
          <t>2026-10-23</t>
        </is>
      </c>
    </row>
    <row r="32">
      <c r="A32" t="inlineStr">
        <is>
          <t>B-W-031</t>
        </is>
      </c>
      <c r="B32" t="inlineStr">
        <is>
          <t>Regus (IWG)</t>
        </is>
      </c>
      <c r="C32" t="inlineStr">
        <is>
          <t>Regus 1250 Broadway</t>
        </is>
      </c>
      <c r="D32" t="inlineStr">
        <is>
          <t>1250 Broadway, 36th Floor, New York, NY 10001</t>
        </is>
      </c>
      <c r="E32" t="n">
        <v>40.747713</v>
      </c>
      <c r="F32" t="n">
        <v>-73.98781200000001</v>
      </c>
      <c r="G32" t="inlineStr">
        <is>
          <t>unknown</t>
        </is>
      </c>
      <c r="H32" t="inlineStr"/>
      <c r="I32" s="2" t="inlineStr">
        <is>
          <t>https://old.regus.com/offices/united-states/new-york/new-york-city/office-space/ny-new-york-1250-broadway</t>
        </is>
      </c>
      <c r="J32" t="inlineStr">
        <is>
          <t>2026-10-23</t>
        </is>
      </c>
      <c r="K32" t="inlineStr">
        <is>
          <t>low</t>
        </is>
      </c>
      <c r="L32" s="3" t="inlineStr">
        <is>
          <t>Legacy Regus page only (opened): 1250 Broadway, 36th Floor, 'fashionable NoMad neighborhood'. No current source found. Open status unverified, founder to confirm. Broadway at 31st-32nd St, on the north margin line.</t>
        </is>
      </c>
      <c r="M32" t="inlineStr">
        <is>
          <t>N</t>
        </is>
      </c>
      <c r="N32" t="n">
        <v>0.9</v>
      </c>
      <c r="O32" t="inlineStr">
        <is>
          <t>unverified</t>
        </is>
      </c>
      <c r="P32" t="inlineStr">
        <is>
          <t>36th Floor</t>
        </is>
      </c>
      <c r="Q32" t="inlineStr"/>
      <c r="R32" t="inlineStr">
        <is>
          <t>1008330011</t>
        </is>
      </c>
      <c r="S32" t="inlineStr"/>
      <c r="T32" t="inlineStr"/>
      <c r="U32" t="inlineStr">
        <is>
          <t>none found</t>
        </is>
      </c>
      <c r="V32" t="inlineStr">
        <is>
          <t>W-28</t>
        </is>
      </c>
      <c r="W32" t="inlineStr">
        <is>
          <t>2026-10-23</t>
        </is>
      </c>
    </row>
    <row r="33">
      <c r="A33" t="inlineStr">
        <is>
          <t>B-W-032</t>
        </is>
      </c>
      <c r="B33" t="inlineStr">
        <is>
          <t>Corporate Suites</t>
        </is>
      </c>
      <c r="C33" t="inlineStr">
        <is>
          <t>Corporate Suites Two Park Avenue</t>
        </is>
      </c>
      <c r="D33" t="inlineStr">
        <is>
          <t>2 Park Avenue, 20th Floor, New York, NY 10016</t>
        </is>
      </c>
      <c r="E33" t="n">
        <v>40.746342</v>
      </c>
      <c r="F33" t="n">
        <v>-73.982595</v>
      </c>
      <c r="G33" t="inlineStr">
        <is>
          <t>operator</t>
        </is>
      </c>
      <c r="H33" s="2" t="inlineStr">
        <is>
          <t>https://api.deskpass.com/api/spaces/two-park-avenue-coworking</t>
        </is>
      </c>
      <c r="I33" s="2" t="inlineStr">
        <is>
          <t>https://www.corporatesuites.com/</t>
        </is>
      </c>
      <c r="J33" t="inlineStr">
        <is>
          <t>2026-10-23</t>
        </is>
      </c>
      <c r="K33" t="inlineStr">
        <is>
          <t>high</t>
        </is>
      </c>
      <c r="L33" s="3" t="inlineStr">
        <is>
          <t>Deskpass listing (active, updated 2026-10-19) tags 'Snacks Available', 'Complimentary Coffee &amp; Tea', 'Shared Kitchen'. Borderline: the building fills the block from 32nd to 33rd St on Park Ave, right on the north margin line. Serviced-office operator. Operator site (opened 2026-10-24) lists 'Midtown South, NYC - 2 Park Avenue'; rentals include 'access to kitchen/lounge areas with refreshments'.</t>
        </is>
      </c>
      <c r="M33" t="inlineStr">
        <is>
          <t>N</t>
        </is>
      </c>
      <c r="N33" t="n">
        <v>2</v>
      </c>
      <c r="O33" t="inlineStr">
        <is>
          <t>open</t>
        </is>
      </c>
      <c r="P33" t="inlineStr">
        <is>
          <t>20th Floor</t>
        </is>
      </c>
      <c r="Q33" t="inlineStr"/>
      <c r="R33" t="inlineStr">
        <is>
          <t>1008620029</t>
        </is>
      </c>
      <c r="S33" t="inlineStr"/>
      <c r="T33" t="inlineStr"/>
      <c r="U33" t="inlineStr">
        <is>
          <t>named coffee brand: 'Complimentary Starbucks Coffee'; no exclusive contract stated</t>
        </is>
      </c>
      <c r="V33" t="inlineStr">
        <is>
          <t>W-24</t>
        </is>
      </c>
      <c r="W33" t="inlineStr">
        <is>
          <t>2026-10-23</t>
        </is>
      </c>
    </row>
  </sheetData>
  <autoFilter ref="A1:W33"/>
  <hyperlinks>
    <hyperlink xmlns:r="http://schemas.openxmlformats.org/officeDocument/2006/relationships" ref="H2" r:id="rId1"/>
    <hyperlink xmlns:r="http://schemas.openxmlformats.org/officeDocument/2006/relationships" ref="I2" r:id="rId2"/>
    <hyperlink xmlns:r="http://schemas.openxmlformats.org/officeDocument/2006/relationships" ref="I3" r:id="rId3"/>
    <hyperlink xmlns:r="http://schemas.openxmlformats.org/officeDocument/2006/relationships" ref="H4" r:id="rId4"/>
    <hyperlink xmlns:r="http://schemas.openxmlformats.org/officeDocument/2006/relationships" ref="I4" r:id="rId5"/>
    <hyperlink xmlns:r="http://schemas.openxmlformats.org/officeDocument/2006/relationships" ref="H5" r:id="rId6"/>
    <hyperlink xmlns:r="http://schemas.openxmlformats.org/officeDocument/2006/relationships" ref="I5" r:id="rId7"/>
    <hyperlink xmlns:r="http://schemas.openxmlformats.org/officeDocument/2006/relationships" ref="H6" r:id="rId8"/>
    <hyperlink xmlns:r="http://schemas.openxmlformats.org/officeDocument/2006/relationships" ref="I6" r:id="rId9"/>
    <hyperlink xmlns:r="http://schemas.openxmlformats.org/officeDocument/2006/relationships" ref="H7" r:id="rId10"/>
    <hyperlink xmlns:r="http://schemas.openxmlformats.org/officeDocument/2006/relationships" ref="I7" r:id="rId11"/>
    <hyperlink xmlns:r="http://schemas.openxmlformats.org/officeDocument/2006/relationships" ref="H8" r:id="rId12"/>
    <hyperlink xmlns:r="http://schemas.openxmlformats.org/officeDocument/2006/relationships" ref="I8" r:id="rId13"/>
    <hyperlink xmlns:r="http://schemas.openxmlformats.org/officeDocument/2006/relationships" ref="H9" r:id="rId14"/>
    <hyperlink xmlns:r="http://schemas.openxmlformats.org/officeDocument/2006/relationships" ref="I9" r:id="rId15"/>
    <hyperlink xmlns:r="http://schemas.openxmlformats.org/officeDocument/2006/relationships" ref="I10" r:id="rId16"/>
    <hyperlink xmlns:r="http://schemas.openxmlformats.org/officeDocument/2006/relationships" ref="H11" r:id="rId17"/>
    <hyperlink xmlns:r="http://schemas.openxmlformats.org/officeDocument/2006/relationships" ref="I11" r:id="rId18"/>
    <hyperlink xmlns:r="http://schemas.openxmlformats.org/officeDocument/2006/relationships" ref="H12" r:id="rId19"/>
    <hyperlink xmlns:r="http://schemas.openxmlformats.org/officeDocument/2006/relationships" ref="I12" r:id="rId20"/>
    <hyperlink xmlns:r="http://schemas.openxmlformats.org/officeDocument/2006/relationships" ref="I13" r:id="rId21"/>
    <hyperlink xmlns:r="http://schemas.openxmlformats.org/officeDocument/2006/relationships" ref="H14" r:id="rId22"/>
    <hyperlink xmlns:r="http://schemas.openxmlformats.org/officeDocument/2006/relationships" ref="I14" r:id="rId23"/>
    <hyperlink xmlns:r="http://schemas.openxmlformats.org/officeDocument/2006/relationships" ref="T14" r:id="rId24"/>
    <hyperlink xmlns:r="http://schemas.openxmlformats.org/officeDocument/2006/relationships" ref="H15" r:id="rId25"/>
    <hyperlink xmlns:r="http://schemas.openxmlformats.org/officeDocument/2006/relationships" ref="I15" r:id="rId26"/>
    <hyperlink xmlns:r="http://schemas.openxmlformats.org/officeDocument/2006/relationships" ref="H16" r:id="rId27"/>
    <hyperlink xmlns:r="http://schemas.openxmlformats.org/officeDocument/2006/relationships" ref="I16" r:id="rId28"/>
    <hyperlink xmlns:r="http://schemas.openxmlformats.org/officeDocument/2006/relationships" ref="H17" r:id="rId29"/>
    <hyperlink xmlns:r="http://schemas.openxmlformats.org/officeDocument/2006/relationships" ref="I17" r:id="rId30"/>
    <hyperlink xmlns:r="http://schemas.openxmlformats.org/officeDocument/2006/relationships" ref="H18" r:id="rId31"/>
    <hyperlink xmlns:r="http://schemas.openxmlformats.org/officeDocument/2006/relationships" ref="I18" r:id="rId32"/>
    <hyperlink xmlns:r="http://schemas.openxmlformats.org/officeDocument/2006/relationships" ref="H19" r:id="rId33"/>
    <hyperlink xmlns:r="http://schemas.openxmlformats.org/officeDocument/2006/relationships" ref="I19" r:id="rId34"/>
    <hyperlink xmlns:r="http://schemas.openxmlformats.org/officeDocument/2006/relationships" ref="I20" r:id="rId35"/>
    <hyperlink xmlns:r="http://schemas.openxmlformats.org/officeDocument/2006/relationships" ref="H21" r:id="rId36"/>
    <hyperlink xmlns:r="http://schemas.openxmlformats.org/officeDocument/2006/relationships" ref="I21" r:id="rId37"/>
    <hyperlink xmlns:r="http://schemas.openxmlformats.org/officeDocument/2006/relationships" ref="T21" r:id="rId38"/>
    <hyperlink xmlns:r="http://schemas.openxmlformats.org/officeDocument/2006/relationships" ref="H22" r:id="rId39"/>
    <hyperlink xmlns:r="http://schemas.openxmlformats.org/officeDocument/2006/relationships" ref="I22" r:id="rId40"/>
    <hyperlink xmlns:r="http://schemas.openxmlformats.org/officeDocument/2006/relationships" ref="H23" r:id="rId41"/>
    <hyperlink xmlns:r="http://schemas.openxmlformats.org/officeDocument/2006/relationships" ref="I23" r:id="rId42"/>
    <hyperlink xmlns:r="http://schemas.openxmlformats.org/officeDocument/2006/relationships" ref="H24" r:id="rId43"/>
    <hyperlink xmlns:r="http://schemas.openxmlformats.org/officeDocument/2006/relationships" ref="I24" r:id="rId44"/>
    <hyperlink xmlns:r="http://schemas.openxmlformats.org/officeDocument/2006/relationships" ref="H25" r:id="rId45"/>
    <hyperlink xmlns:r="http://schemas.openxmlformats.org/officeDocument/2006/relationships" ref="I25" r:id="rId46"/>
    <hyperlink xmlns:r="http://schemas.openxmlformats.org/officeDocument/2006/relationships" ref="H26" r:id="rId47"/>
    <hyperlink xmlns:r="http://schemas.openxmlformats.org/officeDocument/2006/relationships" ref="I26" r:id="rId48"/>
    <hyperlink xmlns:r="http://schemas.openxmlformats.org/officeDocument/2006/relationships" ref="H27" r:id="rId49"/>
    <hyperlink xmlns:r="http://schemas.openxmlformats.org/officeDocument/2006/relationships" ref="I27" r:id="rId50"/>
    <hyperlink xmlns:r="http://schemas.openxmlformats.org/officeDocument/2006/relationships" ref="H28" r:id="rId51"/>
    <hyperlink xmlns:r="http://schemas.openxmlformats.org/officeDocument/2006/relationships" ref="I28" r:id="rId52"/>
    <hyperlink xmlns:r="http://schemas.openxmlformats.org/officeDocument/2006/relationships" ref="H29" r:id="rId53"/>
    <hyperlink xmlns:r="http://schemas.openxmlformats.org/officeDocument/2006/relationships" ref="I29" r:id="rId54"/>
    <hyperlink xmlns:r="http://schemas.openxmlformats.org/officeDocument/2006/relationships" ref="H30" r:id="rId55"/>
    <hyperlink xmlns:r="http://schemas.openxmlformats.org/officeDocument/2006/relationships" ref="I30" r:id="rId56"/>
    <hyperlink xmlns:r="http://schemas.openxmlformats.org/officeDocument/2006/relationships" ref="I31" r:id="rId57"/>
    <hyperlink xmlns:r="http://schemas.openxmlformats.org/officeDocument/2006/relationships" ref="I32" r:id="rId58"/>
    <hyperlink xmlns:r="http://schemas.openxmlformats.org/officeDocument/2006/relationships" ref="H33" r:id="rId59"/>
    <hyperlink xmlns:r="http://schemas.openxmlformats.org/officeDocument/2006/relationships" ref="I33" r:id="rId6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30" customWidth="1" min="3" max="3"/>
    <col width="12" customWidth="1" min="4" max="4"/>
    <col width="12" customWidth="1" min="5" max="5"/>
    <col width="18" customWidth="1" min="6" max="6"/>
    <col width="17" customWidth="1" min="7" max="7"/>
    <col width="40" customWidth="1" min="8" max="8"/>
    <col width="13" customWidth="1" min="9" max="9"/>
    <col width="14" customWidth="1" min="10" max="10"/>
    <col width="13" customWidth="1" min="11" max="11"/>
    <col width="80" customWidth="1" min="12" max="12"/>
    <col width="16" customWidth="1" min="13" max="13"/>
    <col width="13" customWidth="1" min="14" max="14"/>
    <col width="20" customWidth="1" min="15" max="15"/>
    <col width="26" customWidth="1" min="16" max="16"/>
    <col width="26" customWidth="1" min="17" max="17"/>
    <col width="26" customWidth="1" min="18" max="18"/>
    <col width="45" customWidth="1" min="19" max="19"/>
    <col width="25" customWidth="1" min="20" max="20"/>
    <col width="12" customWidth="1" min="21" max="21"/>
    <col width="14" customWidth="1" min="22" max="22"/>
    <col width="13" customWidth="1" min="23" max="23"/>
  </cols>
  <sheetData>
    <row r="1">
      <c r="A1" s="1" t="inlineStr">
        <is>
          <t>retailer_id</t>
        </is>
      </c>
      <c r="B1" s="1" t="inlineStr">
        <is>
          <t>retailer_name</t>
        </is>
      </c>
      <c r="C1" s="1" t="inlineStr">
        <is>
          <t>street_address</t>
        </is>
      </c>
      <c r="D1" s="1" t="inlineStr">
        <is>
          <t>lat</t>
        </is>
      </c>
      <c r="E1" s="1" t="inlineStr">
        <is>
          <t>lon</t>
        </is>
      </c>
      <c r="F1" s="1" t="inlineStr">
        <is>
          <t>inside_boundary</t>
        </is>
      </c>
      <c r="G1" s="1" t="inlineStr">
        <is>
          <t>blocks_outside</t>
        </is>
      </c>
      <c r="H1" s="1" t="inlineStr">
        <is>
          <t>shelf_set</t>
        </is>
      </c>
      <c r="I1" s="1" t="inlineStr">
        <is>
          <t>source_url</t>
        </is>
      </c>
      <c r="J1" s="1" t="inlineStr">
        <is>
          <t>source_date</t>
        </is>
      </c>
      <c r="K1" s="1" t="inlineStr">
        <is>
          <t>confidence</t>
        </is>
      </c>
      <c r="L1" s="1" t="inlineStr">
        <is>
          <t>notes</t>
        </is>
      </c>
      <c r="M1" s="1" t="inlineStr">
        <is>
          <t>buy_path_tier</t>
        </is>
      </c>
      <c r="N1" s="1" t="inlineStr">
        <is>
          <t>public_map</t>
        </is>
      </c>
      <c r="O1" s="1" t="inlineStr">
        <is>
          <t>public_map_reason</t>
        </is>
      </c>
      <c r="P1" s="1" t="inlineStr">
        <is>
          <t>candidates_within_5_blocks</t>
        </is>
      </c>
      <c r="Q1" s="1" t="inlineStr">
        <is>
          <t>nearest_candidate_building_id</t>
        </is>
      </c>
      <c r="R1" s="1" t="inlineStr">
        <is>
          <t>nearest_candidate_blocks</t>
        </is>
      </c>
      <c r="S1" s="1" t="inlineStr">
        <is>
          <t>emerging_brand_evidence</t>
        </is>
      </c>
      <c r="T1" s="1" t="inlineStr">
        <is>
          <t>operating_evidence_url</t>
        </is>
      </c>
      <c r="U1" s="1" t="inlineStr">
        <is>
          <t>bbl</t>
        </is>
      </c>
      <c r="V1" s="1" t="inlineStr">
        <is>
          <t>research_id</t>
        </is>
      </c>
      <c r="W1" s="1" t="inlineStr">
        <is>
          <t>found_date</t>
        </is>
      </c>
    </row>
    <row r="2">
      <c r="A2" t="inlineStr">
        <is>
          <t>B-R-001</t>
        </is>
      </c>
      <c r="B2" t="inlineStr">
        <is>
          <t>Eataly NYC Flatiron</t>
        </is>
      </c>
      <c r="C2" t="inlineStr">
        <is>
          <t>200 Fifth Avenue, New York, NY 10010</t>
        </is>
      </c>
      <c r="D2" t="n">
        <v>40.742166</v>
      </c>
      <c r="E2" t="n">
        <v>-73.989863</v>
      </c>
      <c r="F2" t="inlineStr">
        <is>
          <t>Y</t>
        </is>
      </c>
      <c r="G2" t="n">
        <v>0</v>
      </c>
      <c r="H2" t="inlineStr">
        <is>
          <t>Italian specialty market (imported Italian grocery; counters and restaurants)</t>
        </is>
      </c>
      <c r="I2" s="2" t="inlineStr">
        <is>
          <t>https://www.eataly.com/us_en/stores/nyc-flatiron</t>
        </is>
      </c>
      <c r="J2" t="inlineStr">
        <is>
          <t>2026-10-23</t>
        </is>
      </c>
      <c r="K2" t="inlineStr">
        <is>
          <t>high</t>
        </is>
      </c>
      <c r="L2" s="3" t="inlineStr">
        <is>
          <t>Buy-path tier B (specialty, gourmet or natural format; emerging set not yet verified). Store page: 'Daily, 7 AM - 11 PM'. Fifth Ave at 23rd-24th St. A weak buy path for US emerging snack brands unless the brand is Italian or Italian-style. Independent: NYS Agriculture and Markets retail food store licence 628776 ('EATALY', 45,000 sq ft) at this address, dataset updated 2026-10-14 (https://data.ny.gov/resource/9a8c-vfzj.json?license_number=628776).</t>
        </is>
      </c>
      <c r="M2" t="inlineStr">
        <is>
          <t>B</t>
        </is>
      </c>
      <c r="N2" t="inlineStr">
        <is>
          <t>Y</t>
        </is>
      </c>
      <c r="O2" t="inlineStr"/>
      <c r="P2" t="n">
        <v>43</v>
      </c>
      <c r="Q2" t="inlineStr">
        <is>
          <t>B-B-056</t>
        </is>
      </c>
      <c r="R2" t="n">
        <v>2.5</v>
      </c>
      <c r="S2" t="inlineStr">
        <is>
          <t>none found for US emerging snack brands; assortment is Italian-focused (site sections: grocery, Italian sweets, organic, gluten-free)</t>
        </is>
      </c>
      <c r="T2" s="2" t="inlineStr">
        <is>
          <t>https://www.eataly.com/us_en/stores/nyc-flatiron</t>
        </is>
      </c>
      <c r="U2" t="inlineStr">
        <is>
          <t>1008250031</t>
        </is>
      </c>
      <c r="V2" t="inlineStr">
        <is>
          <t>R-03</t>
        </is>
      </c>
      <c r="W2" t="inlineStr">
        <is>
          <t>2026-10-23</t>
        </is>
      </c>
    </row>
    <row r="3">
      <c r="A3" t="inlineStr">
        <is>
          <t>B-R-002</t>
        </is>
      </c>
      <c r="B3" t="inlineStr">
        <is>
          <t>Eden Gourmet Marketplace Union Square (formerly Garden of Eden)</t>
        </is>
      </c>
      <c r="C3" t="inlineStr">
        <is>
          <t>7 East 14th Street, New York, NY 10003</t>
        </is>
      </c>
      <c r="D3" t="n">
        <v>40.735814</v>
      </c>
      <c r="E3" t="n">
        <v>-73.992541</v>
      </c>
      <c r="F3" t="inlineStr">
        <is>
          <t>Y</t>
        </is>
      </c>
      <c r="G3" t="n">
        <v>0</v>
      </c>
      <c r="H3" t="inlineStr">
        <is>
          <t>gourmet and specialty grocer ('diverse gourmet products'); emerging set unverified</t>
        </is>
      </c>
      <c r="I3" s="2" t="inlineStr">
        <is>
          <t>https://edengourmet.com/</t>
        </is>
      </c>
      <c r="J3" t="inlineStr">
        <is>
          <t>2026-10-23</t>
        </is>
      </c>
      <c r="K3" t="inlineStr">
        <is>
          <t>low</t>
        </is>
      </c>
      <c r="L3" s="3" t="inlineStr">
        <is>
          <t>Buy-path tier B (specialty, gourmet or natural format; emerging set not yet verified). Site lists 'Union Square Store Address: 7 East 14th Street' and hours of 7am to 9pm, 7 days, (c) 2012-2026. The old gardenofedengourmet.com domain no longer resolves. North side of 14th St between Fifth Ave and University Pl, on the box's south edge. CONFLICT: no NYS Agriculture and Markets food store licence for Eden or Garden of Eden at 7 E 14th St in the dataset updated 2026-10-14 (only a small bakery licence, 'BAKED BY MELISSA', at that number). The Gramercy store is licensed. This store may have closed; founder to confirm on foot before using it.</t>
        </is>
      </c>
      <c r="M3" t="inlineStr">
        <is>
          <t>B</t>
        </is>
      </c>
      <c r="N3" t="inlineStr">
        <is>
          <t>N</t>
        </is>
      </c>
      <c r="O3" t="inlineStr">
        <is>
          <t>Low confidence: the store may have closed; walk it first.</t>
        </is>
      </c>
      <c r="P3" t="n">
        <v>16</v>
      </c>
      <c r="Q3" t="inlineStr">
        <is>
          <t>B-B-004</t>
        </is>
      </c>
      <c r="R3" t="n">
        <v>2.6</v>
      </c>
      <c r="S3" t="inlineStr">
        <is>
          <t>no store-level brand list checked</t>
        </is>
      </c>
      <c r="T3" s="2" t="inlineStr">
        <is>
          <t>https://edengourmet.com/</t>
        </is>
      </c>
      <c r="U3" t="inlineStr">
        <is>
          <t>1008420007</t>
        </is>
      </c>
      <c r="V3" t="inlineStr">
        <is>
          <t>R-14</t>
        </is>
      </c>
      <c r="W3" t="inlineStr">
        <is>
          <t>2026-10-23</t>
        </is>
      </c>
    </row>
    <row r="4">
      <c r="A4" t="inlineStr">
        <is>
          <t>B-R-003</t>
        </is>
      </c>
      <c r="B4" t="inlineStr">
        <is>
          <t>Fairway Market Chelsea</t>
        </is>
      </c>
      <c r="C4" t="inlineStr">
        <is>
          <t>766 Sixth Avenue, New York, NY 10010</t>
        </is>
      </c>
      <c r="D4" t="n">
        <v>40.744352</v>
      </c>
      <c r="E4" t="n">
        <v>-73.99118300000001</v>
      </c>
      <c r="F4" t="inlineStr">
        <is>
          <t>Y</t>
        </is>
      </c>
      <c r="G4" t="n">
        <v>0</v>
      </c>
      <c r="H4" t="inlineStr">
        <is>
          <t>specialty supermarket (organic produce, specialty cheese and meats); emerging set unverified</t>
        </is>
      </c>
      <c r="I4" s="2" t="inlineStr">
        <is>
          <t>https://www.fairwaymarket.com/</t>
        </is>
      </c>
      <c r="J4" t="inlineStr">
        <is>
          <t>2026-10-23</t>
        </is>
      </c>
      <c r="K4" t="inlineStr">
        <is>
          <t>high</t>
        </is>
      </c>
      <c r="L4" s="3" t="inlineStr">
        <is>
          <t>Buy-path tier B (specialty, gourmet or natural format; emerging set not yet verified). Store record embedded in fairwaymarket.com: 'FAIRWAY MARKET OF CHELSEA', 766 6TH AVENUE, status Active, 'Sunday - Saturday: 7 AM - 9 PM'. Caution: the record's own map pin (40.7503, -74.0014) is far from this address; the row uses the city geocode. The Flatiron NoMad Partnership directory also lists 'Fairway' (https://flatironnomad.nyc/business/fairway/). Sixth Ave at 25th-26th St, on the box's west edge. Independent: NYS Agriculture and Markets retail food store licence 742909 ('FAIRWAY MARKET OF CHELSEA (licensee VSM NY HOLDINGS LLC)', 20,000 sq ft) at this address, dataset updated 2026-10-14 (https://data.ny.gov/resource/9a8c-vfzj.json?license_number=742909).</t>
        </is>
      </c>
      <c r="M4" t="inlineStr">
        <is>
          <t>B</t>
        </is>
      </c>
      <c r="N4" t="inlineStr">
        <is>
          <t>Y</t>
        </is>
      </c>
      <c r="O4" t="inlineStr"/>
      <c r="P4" t="n">
        <v>25</v>
      </c>
      <c r="Q4" t="inlineStr">
        <is>
          <t>B-B-054</t>
        </is>
      </c>
      <c r="R4" t="n">
        <v>1.8</v>
      </c>
      <c r="S4" t="inlineStr">
        <is>
          <t>no store-level emerging brand list checked; site categories include Organic and Specialty</t>
        </is>
      </c>
      <c r="T4" s="2" t="inlineStr">
        <is>
          <t>https://www.fairwaymarket.com/</t>
        </is>
      </c>
      <c r="U4" t="inlineStr">
        <is>
          <t>1008270001</t>
        </is>
      </c>
      <c r="V4" t="inlineStr">
        <is>
          <t>R-11</t>
        </is>
      </c>
      <c r="W4" t="inlineStr">
        <is>
          <t>2026-10-23</t>
        </is>
      </c>
    </row>
    <row r="5">
      <c r="A5" t="inlineStr">
        <is>
          <t>B-R-004</t>
        </is>
      </c>
      <c r="B5" t="inlineStr">
        <is>
          <t>Morton Williams (278 Park Avenue South)</t>
        </is>
      </c>
      <c r="C5" t="inlineStr">
        <is>
          <t>278 Park Avenue South, New York, NY 10010</t>
        </is>
      </c>
      <c r="D5" t="n">
        <v>40.739534</v>
      </c>
      <c r="E5" t="n">
        <v>-73.98736</v>
      </c>
      <c r="F5" t="inlineStr">
        <is>
          <t>Y</t>
        </is>
      </c>
      <c r="G5" t="n">
        <v>0</v>
      </c>
      <c r="H5" t="inlineStr">
        <is>
          <t>conventional supermarket; natural or emerging set unverified</t>
        </is>
      </c>
      <c r="I5" s="2" t="inlineStr">
        <is>
          <t>https://www.mortonwilliams.com/our-locations</t>
        </is>
      </c>
      <c r="J5" t="inlineStr">
        <is>
          <t>2026-10-23</t>
        </is>
      </c>
      <c r="K5" t="inlineStr">
        <is>
          <t>high</t>
        </is>
      </c>
      <c r="L5" s="3" t="inlineStr">
        <is>
          <t>Buy-path tier C (mass, conventional or private label; landmark or weak buy path). Locations page: '278 Park Avenue South (22nd Street)', open 24 hours. The Flatiron NoMad Partnership directory also lists 'Morton Williams Associated Supermarket' (https://flatironnomad.nyc/business/morton-williams-associated-supermarket/). On the box's east edge. Shelf set to be checked on the walk. Independent: NYS Agriculture and Markets retail food store licence 768384 ('MORTON WILLIAMS SUPERMARKET', 9,000 sq ft) at this address, dataset updated 2026-10-14 (https://data.ny.gov/resource/9a8c-vfzj.json?license_number=768384).</t>
        </is>
      </c>
      <c r="M5" t="inlineStr">
        <is>
          <t>C</t>
        </is>
      </c>
      <c r="N5" t="inlineStr">
        <is>
          <t>N</t>
        </is>
      </c>
      <c r="O5" t="inlineStr">
        <is>
          <t>Tier C (mass, conventional or private label): a landmark, not a buy path.</t>
        </is>
      </c>
      <c r="P5" t="n">
        <v>34</v>
      </c>
      <c r="Q5" t="inlineStr">
        <is>
          <t>B-B-044</t>
        </is>
      </c>
      <c r="R5" t="n">
        <v>1.1</v>
      </c>
      <c r="S5" t="inlineStr">
        <is>
          <t>none found</t>
        </is>
      </c>
      <c r="T5" s="2" t="inlineStr">
        <is>
          <t>https://www.mortonwilliams.com/our-locations</t>
        </is>
      </c>
      <c r="U5" t="inlineStr">
        <is>
          <t>1008507503</t>
        </is>
      </c>
      <c r="V5" t="inlineStr">
        <is>
          <t>R-20</t>
        </is>
      </c>
      <c r="W5" t="inlineStr">
        <is>
          <t>2026-10-23</t>
        </is>
      </c>
    </row>
    <row r="6">
      <c r="A6" t="inlineStr">
        <is>
          <t>B-R-005</t>
        </is>
      </c>
      <c r="B6" t="inlineStr">
        <is>
          <t>Sunac (4 West 18th St)</t>
        </is>
      </c>
      <c r="C6" t="inlineStr">
        <is>
          <t>4 West 18th Street, New York, NY 10011</t>
        </is>
      </c>
      <c r="D6" t="n">
        <v>40.738668</v>
      </c>
      <c r="E6" t="n">
        <v>-73.992664</v>
      </c>
      <c r="F6" t="inlineStr">
        <is>
          <t>Y</t>
        </is>
      </c>
      <c r="G6" t="n">
        <v>0</v>
      </c>
      <c r="H6" t="inlineStr">
        <is>
          <t>neighbourhood market and deli; natural set unverified</t>
        </is>
      </c>
      <c r="I6" s="2" t="inlineStr">
        <is>
          <t>https://data.ny.gov/resource/9a8c-vfzj.json?license_number=730366</t>
        </is>
      </c>
      <c r="J6" t="inlineStr">
        <is>
          <t>2026-10-24</t>
        </is>
      </c>
      <c r="K6" t="inlineStr">
        <is>
          <t>medium</t>
        </is>
      </c>
      <c r="L6" s="3" t="inlineStr">
        <is>
          <t>Buy-path tier B (specialty, gourmet or natural format; emerging set not yet verified). NYS Agriculture and Markets licence 730366 ('SUNAC', licensee PC4WEST INC), dataset updated 2026-10-14. No operator page found for this store. 18th St just west of Fifth Ave, in the middle of the Flatiron office blocks.</t>
        </is>
      </c>
      <c r="M6" t="inlineStr">
        <is>
          <t>B</t>
        </is>
      </c>
      <c r="N6" t="inlineStr">
        <is>
          <t>N</t>
        </is>
      </c>
      <c r="O6" t="inlineStr">
        <is>
          <t>Neighbourhood deli-market format with no natural set confirmed, so private map only.</t>
        </is>
      </c>
      <c r="P6" t="n">
        <v>40</v>
      </c>
      <c r="Q6" t="inlineStr">
        <is>
          <t>B-B-015</t>
        </is>
      </c>
      <c r="R6" t="n">
        <v>0.4</v>
      </c>
      <c r="S6" t="inlineStr">
        <is>
          <t>none found</t>
        </is>
      </c>
      <c r="T6" s="2" t="inlineStr">
        <is>
          <t>https://data.ny.gov/resource/9a8c-vfzj.json?license_number=730366</t>
        </is>
      </c>
      <c r="U6" t="inlineStr">
        <is>
          <t>1008190049</t>
        </is>
      </c>
      <c r="V6" t="inlineStr">
        <is>
          <t>R-27</t>
        </is>
      </c>
      <c r="W6" t="inlineStr">
        <is>
          <t>2026-10-24</t>
        </is>
      </c>
    </row>
    <row r="7">
      <c r="A7" t="inlineStr">
        <is>
          <t>B-R-006</t>
        </is>
      </c>
      <c r="B7" t="inlineStr">
        <is>
          <t>Sunac (765 Sixth Ave)</t>
        </is>
      </c>
      <c r="C7" t="inlineStr">
        <is>
          <t>765 Sixth Avenue, New York, NY 10010</t>
        </is>
      </c>
      <c r="D7" t="n">
        <v>40.744664</v>
      </c>
      <c r="E7" t="n">
        <v>-73.991882</v>
      </c>
      <c r="F7" t="inlineStr">
        <is>
          <t>Y</t>
        </is>
      </c>
      <c r="G7" t="n">
        <v>0</v>
      </c>
      <c r="H7" t="inlineStr">
        <is>
          <t>neighbourhood market and deli; natural set unverified</t>
        </is>
      </c>
      <c r="I7" s="2" t="inlineStr">
        <is>
          <t>https://data.ny.gov/resource/9a8c-vfzj.json?license_number=628556</t>
        </is>
      </c>
      <c r="J7" t="inlineStr">
        <is>
          <t>2026-10-24</t>
        </is>
      </c>
      <c r="K7" t="inlineStr">
        <is>
          <t>medium</t>
        </is>
      </c>
      <c r="L7" s="3" t="inlineStr">
        <is>
          <t>Buy-path tier B (specialty, gourmet or natural format; emerging set not yet verified). NYS Agriculture and Markets licence 628556 ('SUNAC', licensee 765 SIXTH AVENUE MARKET INC, 4,000 sq ft), dataset updated 2026-10-14. The sunacnatural.com site describes a separate store at 600 W 42nd St ('finest selection of natural foods'); whether this store shares that format is unverified. West side of Sixth Ave at 25th-26th St, across the avenue from Fairway (R-11).</t>
        </is>
      </c>
      <c r="M7" t="inlineStr">
        <is>
          <t>B</t>
        </is>
      </c>
      <c r="N7" t="inlineStr">
        <is>
          <t>N</t>
        </is>
      </c>
      <c r="O7" t="inlineStr">
        <is>
          <t>Neighbourhood deli-market format with no natural set confirmed, so private map only.</t>
        </is>
      </c>
      <c r="P7" t="n">
        <v>27</v>
      </c>
      <c r="Q7" t="inlineStr">
        <is>
          <t>B-B-054</t>
        </is>
      </c>
      <c r="R7" t="n">
        <v>1.9</v>
      </c>
      <c r="S7" t="inlineStr">
        <is>
          <t>none found</t>
        </is>
      </c>
      <c r="T7" s="2" t="inlineStr">
        <is>
          <t>https://data.ny.gov/resource/9a8c-vfzj.json?license_number=628556</t>
        </is>
      </c>
      <c r="U7" t="inlineStr">
        <is>
          <t>1008010041</t>
        </is>
      </c>
      <c r="V7" t="inlineStr">
        <is>
          <t>R-26</t>
        </is>
      </c>
      <c r="W7" t="inlineStr">
        <is>
          <t>2026-10-24</t>
        </is>
      </c>
    </row>
    <row r="8">
      <c r="A8" t="inlineStr">
        <is>
          <t>B-R-007</t>
        </is>
      </c>
      <c r="B8" t="inlineStr">
        <is>
          <t>Target Manhattan Union Square</t>
        </is>
      </c>
      <c r="C8" t="inlineStr">
        <is>
          <t>10 Union Square East, New York, NY 10003</t>
        </is>
      </c>
      <c r="D8" t="n">
        <v>40.73467</v>
      </c>
      <c r="E8" t="n">
        <v>-73.989158</v>
      </c>
      <c r="F8" t="inlineStr">
        <is>
          <t>Y</t>
        </is>
      </c>
      <c r="G8" t="n">
        <v>0</v>
      </c>
      <c r="H8" t="inlineStr">
        <is>
          <t>mass merchant grocery (national brands and Target private label); emerging set unverified</t>
        </is>
      </c>
      <c r="I8" s="2" t="inlineStr">
        <is>
          <t>https://www.target.com/sl/manhattan-union-square/3380</t>
        </is>
      </c>
      <c r="J8" t="inlineStr">
        <is>
          <t>2026-10-23</t>
        </is>
      </c>
      <c r="K8" t="inlineStr">
        <is>
          <t>high</t>
        </is>
      </c>
      <c r="L8" s="3" t="inlineStr">
        <is>
          <t>Buy-path tier C (mass, conventional or private label; landmark or weak buy path). Store page shows hours 8am to 11pm for 23-25 Oct and a CVS pharmacy inside. Union Square East at 15th St, on the box's east edge. Independent: NYS Agriculture and Markets retail food store licence 757300 ('TARGET STORE T-3380', 33,000 sq ft) at this address, dataset updated 2026-10-14 (https://data.ny.gov/resource/9a8c-vfzj.json?license_number=757300).</t>
        </is>
      </c>
      <c r="M8" t="inlineStr">
        <is>
          <t>C</t>
        </is>
      </c>
      <c r="N8" t="inlineStr">
        <is>
          <t>N</t>
        </is>
      </c>
      <c r="O8" t="inlineStr">
        <is>
          <t>Tier C (mass, conventional or private label): a landmark, not a buy path.</t>
        </is>
      </c>
      <c r="P8" t="n">
        <v>21</v>
      </c>
      <c r="Q8" t="inlineStr">
        <is>
          <t>B-B-002</t>
        </is>
      </c>
      <c r="R8" t="n">
        <v>2.1</v>
      </c>
      <c r="S8" t="inlineStr">
        <is>
          <t>no store-level evidence checked; any brand claim needs the brand's locator or Target's store-availability page</t>
        </is>
      </c>
      <c r="T8" s="2" t="inlineStr">
        <is>
          <t>https://www.target.com/sl/manhattan-union-square/3380</t>
        </is>
      </c>
      <c r="U8" t="inlineStr">
        <is>
          <t>1008707501</t>
        </is>
      </c>
      <c r="V8" t="inlineStr">
        <is>
          <t>R-07</t>
        </is>
      </c>
      <c r="W8" t="inlineStr">
        <is>
          <t>2026-10-23</t>
        </is>
      </c>
    </row>
    <row r="9">
      <c r="A9" t="inlineStr">
        <is>
          <t>B-R-008</t>
        </is>
      </c>
      <c r="B9" t="inlineStr">
        <is>
          <t>Trader Joe's Chelsea (store 543)</t>
        </is>
      </c>
      <c r="C9" t="inlineStr">
        <is>
          <t>675 Sixth Avenue, New York, NY 10010</t>
        </is>
      </c>
      <c r="D9" t="n">
        <v>40.742133</v>
      </c>
      <c r="E9" t="n">
        <v>-73.99399099999999</v>
      </c>
      <c r="F9" t="inlineStr">
        <is>
          <t>Y</t>
        </is>
      </c>
      <c r="G9" t="n">
        <v>0</v>
      </c>
      <c r="H9" t="inlineStr">
        <is>
          <t>mostly private label</t>
        </is>
      </c>
      <c r="I9" s="2" t="inlineStr">
        <is>
          <t>https://locations.traderjoes.com/ny/new-york/</t>
        </is>
      </c>
      <c r="J9" t="inlineStr">
        <is>
          <t>2026-10-23</t>
        </is>
      </c>
      <c r="K9" t="inlineStr">
        <is>
          <t>high</t>
        </is>
      </c>
      <c r="L9" s="3" t="inlineStr">
        <is>
          <t>Buy-path tier C (mass, conventional or private label; landmark or weak buy path). Listed on Trader Joe's NYC locations page. West side of Sixth Ave at 21st-22nd St, on the box's west edge. Landmark only, not a buy path for third-party brands. Independent: NYS Agriculture and Markets retail food store licence 628738 ('TRADER JOES #543', 21,000 sq ft) at this address, dataset updated 2026-10-14 (https://data.ny.gov/resource/9a8c-vfzj.json?license_number=628738).</t>
        </is>
      </c>
      <c r="M9" t="inlineStr">
        <is>
          <t>C</t>
        </is>
      </c>
      <c r="N9" t="inlineStr">
        <is>
          <t>N</t>
        </is>
      </c>
      <c r="O9" t="inlineStr">
        <is>
          <t>Tier C (mass, conventional or private label): a landmark, not a buy path.</t>
        </is>
      </c>
      <c r="P9" t="n">
        <v>27</v>
      </c>
      <c r="Q9" t="inlineStr">
        <is>
          <t>B-B-038</t>
        </is>
      </c>
      <c r="R9" t="n">
        <v>0.8</v>
      </c>
      <c r="S9" t="inlineStr">
        <is>
          <t>none found; Trader Joe's carries little third-party emerging product per the task brief (not shelf-checked)</t>
        </is>
      </c>
      <c r="T9" s="2" t="inlineStr">
        <is>
          <t>https://locations.traderjoes.com/ny/new-york/</t>
        </is>
      </c>
      <c r="U9" t="inlineStr">
        <is>
          <t>1007970037</t>
        </is>
      </c>
      <c r="V9" t="inlineStr">
        <is>
          <t>R-22</t>
        </is>
      </c>
      <c r="W9" t="inlineStr">
        <is>
          <t>2026-10-23</t>
        </is>
      </c>
    </row>
    <row r="10">
      <c r="A10" t="inlineStr">
        <is>
          <t>B-R-009</t>
        </is>
      </c>
      <c r="B10" t="inlineStr">
        <is>
          <t>Trader Joe's Union Square (store 540)</t>
        </is>
      </c>
      <c r="C10" t="inlineStr">
        <is>
          <t>142 East 14th Street, New York, NY 10003</t>
        </is>
      </c>
      <c r="D10" t="n">
        <v>40.733327</v>
      </c>
      <c r="E10" t="n">
        <v>-73.98820499999999</v>
      </c>
      <c r="F10" t="inlineStr">
        <is>
          <t>Y</t>
        </is>
      </c>
      <c r="G10" t="n">
        <v>0</v>
      </c>
      <c r="H10" t="inlineStr">
        <is>
          <t>mostly private label</t>
        </is>
      </c>
      <c r="I10" s="2" t="inlineStr">
        <is>
          <t>https://locations.traderjoes.com/ny/new-york/</t>
        </is>
      </c>
      <c r="J10" t="inlineStr">
        <is>
          <t>2026-10-23</t>
        </is>
      </c>
      <c r="K10" t="inlineStr">
        <is>
          <t>high</t>
        </is>
      </c>
      <c r="L10" s="3" t="inlineStr">
        <is>
          <t>Buy-path tier C (mass, conventional or private label; landmark or weak buy path). Listed on Trader Joe's NYC locations page with store number and phone. On 14th St east of Park Ave S (between Irving Pl and Third Ave), about 3 blocks outside the east edge. Useful only as a landmark, not as a buy path for third-party brands. Independent: NYS Agriculture and Markets retail food store licence 626894 ('TRADER JOES #540', 10,000 sq ft) at this address, dataset updated 2026-10-14 (https://data.ny.gov/resource/9a8c-vfzj.json?license_number=626894).</t>
        </is>
      </c>
      <c r="M10" t="inlineStr">
        <is>
          <t>C</t>
        </is>
      </c>
      <c r="N10" t="inlineStr">
        <is>
          <t>N</t>
        </is>
      </c>
      <c r="O10" t="inlineStr">
        <is>
          <t>Tier C (mass, conventional or private label): a landmark, not a buy path.</t>
        </is>
      </c>
      <c r="P10" t="n">
        <v>11</v>
      </c>
      <c r="Q10" t="inlineStr">
        <is>
          <t>B-B-002</t>
        </is>
      </c>
      <c r="R10" t="n">
        <v>1.1</v>
      </c>
      <c r="S10" t="inlineStr">
        <is>
          <t>none found; the task brief notes Trader Joe's carries little third-party emerging product (not shelf-checked)</t>
        </is>
      </c>
      <c r="T10" s="2" t="inlineStr">
        <is>
          <t>https://locations.traderjoes.com/ny/new-york/</t>
        </is>
      </c>
      <c r="U10" t="inlineStr">
        <is>
          <t>1005590022</t>
        </is>
      </c>
      <c r="V10" t="inlineStr">
        <is>
          <t>R-02</t>
        </is>
      </c>
      <c r="W10" t="inlineStr">
        <is>
          <t>2026-10-23</t>
        </is>
      </c>
    </row>
    <row r="11">
      <c r="A11" t="inlineStr">
        <is>
          <t>B-R-010</t>
        </is>
      </c>
      <c r="B11" t="inlineStr">
        <is>
          <t>Whole Foods Market NoMad</t>
        </is>
      </c>
      <c r="C11" t="inlineStr">
        <is>
          <t>63 Madison Avenue, New York, NY 10016</t>
        </is>
      </c>
      <c r="D11" t="n">
        <v>40.743465</v>
      </c>
      <c r="E11" t="n">
        <v>-73.98534600000001</v>
      </c>
      <c r="F11" t="inlineStr">
        <is>
          <t>Y</t>
        </is>
      </c>
      <c r="G11" t="n">
        <v>0</v>
      </c>
      <c r="H11" t="inlineStr">
        <is>
          <t>natural and organic supermarket; local and emerging set</t>
        </is>
      </c>
      <c r="I11" s="2" t="inlineStr">
        <is>
          <t>https://www.wholefoodsmarket.com/stores/nomad</t>
        </is>
      </c>
      <c r="J11" t="inlineStr">
        <is>
          <t>2026-10-23</t>
        </is>
      </c>
      <c r="K11" t="inlineStr">
        <is>
          <t>high</t>
        </is>
      </c>
      <c r="L11" s="3" t="inlineStr">
        <is>
          <t>Buy-path tier A (documented natural, local or emerging set). Store page lists 7 am to 10 pm daily. Independent: the Flatiron NoMad Partnership directory lists 'Whole Foods' under grocery stores (https://flatironnomad.nyc/business/whole-foods-coming-soon/; the URL slug still says coming soon). Madison Ave at 27th St, in the centre of the box: the closest major emerging-brand shelf to most NoMad offices. Independent: NYS Agriculture and Markets retail food store licence 751686 ('WHOLE FOODS MARKET') at this address, dataset updated 2026-10-14 (https://data.ny.gov/resource/9a8c-vfzj.json?license_number=751686).</t>
        </is>
      </c>
      <c r="M11" t="inlineStr">
        <is>
          <t>A</t>
        </is>
      </c>
      <c r="N11" t="inlineStr">
        <is>
          <t>Y</t>
        </is>
      </c>
      <c r="O11" t="inlineStr"/>
      <c r="P11" t="n">
        <v>58</v>
      </c>
      <c r="Q11" t="inlineStr">
        <is>
          <t>B-B-066</t>
        </is>
      </c>
      <c r="R11" t="n">
        <v>1.9</v>
      </c>
      <c r="S11" t="inlineStr">
        <is>
          <t>Store page: 'local products from makers near you'; in-store Cafe Grumpy coffee bar and a 'NoMad 63' bar with local beer. Chain-level Local and Emerging Accelerator Program (2026 release).</t>
        </is>
      </c>
      <c r="T11" s="2" t="inlineStr">
        <is>
          <t>https://www.wholefoodsmarket.com/stores/nomad</t>
        </is>
      </c>
      <c r="U11" t="inlineStr">
        <is>
          <t>1008570024</t>
        </is>
      </c>
      <c r="V11" t="inlineStr">
        <is>
          <t>R-04</t>
        </is>
      </c>
      <c r="W11" t="inlineStr">
        <is>
          <t>2026-10-23</t>
        </is>
      </c>
    </row>
    <row r="12">
      <c r="A12" t="inlineStr">
        <is>
          <t>B-R-011</t>
        </is>
      </c>
      <c r="B12" t="inlineStr">
        <is>
          <t>Whole Foods Market Union Square</t>
        </is>
      </c>
      <c r="C12" t="inlineStr">
        <is>
          <t>4 Union Square South, New York, NY 10003</t>
        </is>
      </c>
      <c r="D12" t="n">
        <v>40.734649</v>
      </c>
      <c r="E12" t="n">
        <v>-73.991535</v>
      </c>
      <c r="F12" t="inlineStr">
        <is>
          <t>Y</t>
        </is>
      </c>
      <c r="G12" t="n">
        <v>0</v>
      </c>
      <c r="H12" t="inlineStr">
        <is>
          <t>natural and organic supermarket; local and emerging set</t>
        </is>
      </c>
      <c r="I12" s="2" t="inlineStr">
        <is>
          <t>https://www.wholefoodsmarket.com/stores/unionsquare</t>
        </is>
      </c>
      <c r="J12" t="inlineStr">
        <is>
          <t>2026-10-23</t>
        </is>
      </c>
      <c r="K12" t="inlineStr">
        <is>
          <t>high</t>
        </is>
      </c>
      <c r="L12" s="3" t="inlineStr">
        <is>
          <t>Buy-path tier A (documented natural, local or emerging set). Store page lists hours of 7 am to 10 pm daily and Amazon returns and pickup. On Union Square South (14th St), the box's south edge. Plan anchor retailer. Independent: NYS Agriculture and Markets retail food store licence 625900 ('WHOLE FOOD MARKET 10162', 26,000 sq ft) at this address, dataset updated 2026-10-14 (https://data.ny.gov/resource/9a8c-vfzj.json?license_number=625900).</t>
        </is>
      </c>
      <c r="M12" t="inlineStr">
        <is>
          <t>A</t>
        </is>
      </c>
      <c r="N12" t="inlineStr">
        <is>
          <t>Y</t>
        </is>
      </c>
      <c r="O12" t="inlineStr"/>
      <c r="P12" t="n">
        <v>19</v>
      </c>
      <c r="Q12" t="inlineStr">
        <is>
          <t>B-B-001</t>
        </is>
      </c>
      <c r="R12" t="n">
        <v>1.7</v>
      </c>
      <c r="S12" t="inlineStr">
        <is>
          <t>Store page: team helps you pick 'local products from makers near you'. Chain-level: Whole Foods runs a Local and Emerging Accelerator Program (2026 applications release: https://www.wholefoodsmarket.com/company-info/newsroom/news-releases/2026-local-and-emerging-accelerator-program). No store-level brand list checked.</t>
        </is>
      </c>
      <c r="T12" s="2" t="inlineStr">
        <is>
          <t>https://www.wholefoodsmarket.com/stores/unionsquare</t>
        </is>
      </c>
      <c r="U12" t="inlineStr">
        <is>
          <t>1005650011</t>
        </is>
      </c>
      <c r="V12" t="inlineStr">
        <is>
          <t>R-01</t>
        </is>
      </c>
      <c r="W12" t="inlineStr">
        <is>
          <t>2026-10-23</t>
        </is>
      </c>
    </row>
    <row r="13">
      <c r="A13" t="inlineStr">
        <is>
          <t>B-R-012</t>
        </is>
      </c>
      <c r="B13" t="inlineStr">
        <is>
          <t>Merci Market Union Square</t>
        </is>
      </c>
      <c r="C13" t="inlineStr">
        <is>
          <t>59 Fifth Avenue, New York, NY 10003</t>
        </is>
      </c>
      <c r="D13" t="n">
        <v>40.735034</v>
      </c>
      <c r="E13" t="n">
        <v>-73.993965</v>
      </c>
      <c r="F13" t="inlineStr">
        <is>
          <t>N</t>
        </is>
      </c>
      <c r="G13" t="n">
        <v>1</v>
      </c>
      <c r="H13" t="inlineStr">
        <is>
          <t>upscale deli and grocery ('more than a deli'; pantry staples); emerging set unverified</t>
        </is>
      </c>
      <c r="I13" s="2" t="inlineStr">
        <is>
          <t>https://mercimarketnyc.com/</t>
        </is>
      </c>
      <c r="J13" t="inlineStr">
        <is>
          <t>2026-10-24</t>
        </is>
      </c>
      <c r="K13" t="inlineStr">
        <is>
          <t>high</t>
        </is>
      </c>
      <c r="L13" s="3" t="inlineStr">
        <is>
          <t>Buy-path tier B (specialty, gourmet or natural format; emerging set not yet verified). Operator site, (c) 2026, lists 'Merci Market Union Square, 59 5th Ave' among six Manhattan stores (also 45 University Pl, 168 7th Ave, 136 E 34th St). Independent: NYS Agriculture and Markets licence 723261 ('MERCI MARKET', 50,000 sq ft as filed), dataset updated 2026-10-14 (https://data.ny.gov/resource/9a8c-vfzj.json?license_number=723261). Fifth Ave at 12th-13th St, one block south of the box.</t>
        </is>
      </c>
      <c r="M13" t="inlineStr">
        <is>
          <t>B</t>
        </is>
      </c>
      <c r="N13" t="inlineStr">
        <is>
          <t>Y</t>
        </is>
      </c>
      <c r="O13" t="inlineStr"/>
      <c r="P13" t="n">
        <v>16</v>
      </c>
      <c r="Q13" t="inlineStr">
        <is>
          <t>B-B-004</t>
        </is>
      </c>
      <c r="R13" t="n">
        <v>3</v>
      </c>
      <c r="S13" t="inlineStr">
        <is>
          <t>none found</t>
        </is>
      </c>
      <c r="T13" s="2" t="inlineStr">
        <is>
          <t>https://mercimarketnyc.com/</t>
        </is>
      </c>
      <c r="U13" t="inlineStr">
        <is>
          <t>1005700006</t>
        </is>
      </c>
      <c r="V13" t="inlineStr">
        <is>
          <t>R-24</t>
        </is>
      </c>
      <c r="W13" t="inlineStr">
        <is>
          <t>2026-10-24</t>
        </is>
      </c>
    </row>
    <row r="14">
      <c r="A14" t="inlineStr">
        <is>
          <t>B-R-013</t>
        </is>
      </c>
      <c r="B14" t="inlineStr">
        <is>
          <t>Westside Market NYC (84 Third Ave)</t>
        </is>
      </c>
      <c r="C14" t="inlineStr">
        <is>
          <t>84 Third Avenue, New York, NY 10003</t>
        </is>
      </c>
      <c r="D14" t="n">
        <v>40.731868</v>
      </c>
      <c r="E14" t="n">
        <v>-73.988569</v>
      </c>
      <c r="F14" t="inlineStr">
        <is>
          <t>N</t>
        </is>
      </c>
      <c r="G14" t="n">
        <v>1</v>
      </c>
      <c r="H14" t="inlineStr">
        <is>
          <t>gourmet neighbourhood market; emerging set unverified</t>
        </is>
      </c>
      <c r="I14" s="2" t="inlineStr">
        <is>
          <t>https://www.wmarketnyc.com/</t>
        </is>
      </c>
      <c r="J14" t="inlineStr">
        <is>
          <t>2026-10-23</t>
        </is>
      </c>
      <c r="K14" t="inlineStr">
        <is>
          <t>high</t>
        </is>
      </c>
      <c r="L14" s="3" t="inlineStr">
        <is>
          <t>Buy-path tier B (specialty, gourmet or natural format; emerging set not yet verified). Site store list: 84 3rd Ave, open 24 hours. Third Ave at 12th St, south-east of the box. Independent: NYS Agriculture and Markets retail food store licence 711658 ('WESTSIDE MARKET', 18,000 sq ft) at this address, dataset updated 2026-10-14 (https://data.ny.gov/resource/9a8c-vfzj.json?license_number=711658).</t>
        </is>
      </c>
      <c r="M14" t="inlineStr">
        <is>
          <t>B</t>
        </is>
      </c>
      <c r="N14" t="inlineStr">
        <is>
          <t>Y</t>
        </is>
      </c>
      <c r="O14" t="inlineStr"/>
      <c r="P14" t="n">
        <v>3</v>
      </c>
      <c r="Q14" t="inlineStr">
        <is>
          <t>B-B-002</t>
        </is>
      </c>
      <c r="R14" t="n">
        <v>3.9</v>
      </c>
      <c r="S14" t="inlineStr">
        <is>
          <t>no store-level brand list checked</t>
        </is>
      </c>
      <c r="T14" s="2" t="inlineStr">
        <is>
          <t>https://www.wmarketnyc.com/</t>
        </is>
      </c>
      <c r="U14" t="inlineStr">
        <is>
          <t>1005567502</t>
        </is>
      </c>
      <c r="V14" t="inlineStr">
        <is>
          <t>R-19</t>
        </is>
      </c>
      <c r="W14" t="inlineStr">
        <is>
          <t>2026-10-23</t>
        </is>
      </c>
    </row>
    <row r="15">
      <c r="A15" t="inlineStr">
        <is>
          <t>B-R-014</t>
        </is>
      </c>
      <c r="B15" t="inlineStr">
        <is>
          <t>Kalustyan's</t>
        </is>
      </c>
      <c r="C15" t="inlineStr">
        <is>
          <t>123 Lexington Avenue, New York, NY 10016</t>
        </is>
      </c>
      <c r="D15" t="n">
        <v>40.742767</v>
      </c>
      <c r="E15" t="n">
        <v>-73.98210400000001</v>
      </c>
      <c r="F15" t="inlineStr">
        <is>
          <t>N</t>
        </is>
      </c>
      <c r="G15" t="n">
        <v>1</v>
      </c>
      <c r="H15" t="inlineStr">
        <is>
          <t>international spice and specialty foods; snack set unverified</t>
        </is>
      </c>
      <c r="I15" s="2" t="inlineStr">
        <is>
          <t>https://data.ny.gov/resource/9a8c-vfzj.json?license_number=622971</t>
        </is>
      </c>
      <c r="J15" t="inlineStr">
        <is>
          <t>2026-10-24</t>
        </is>
      </c>
      <c r="K15" t="inlineStr">
        <is>
          <t>high</t>
        </is>
      </c>
      <c r="L15" s="3" t="inlineStr">
        <is>
          <t>Buy-path tier B (specialty, gourmet or natural format; emerging set not yet verified). NYS Agriculture and Markets licence 622971 ('KALUSTYANS', licensee MARHABA INTERNATIONAL INC, 2,200 sq ft), dataset updated 2026-10-14. The operator site loads ('Kalustyans LP') but the store text did not render. Next door to New Foods of India (R-30), Lexington Ave at 28th St.</t>
        </is>
      </c>
      <c r="M15" t="inlineStr">
        <is>
          <t>B</t>
        </is>
      </c>
      <c r="N15" t="inlineStr">
        <is>
          <t>N</t>
        </is>
      </c>
      <c r="O15" t="inlineStr">
        <is>
          <t>Niche spice and international specialty store, so private map only.</t>
        </is>
      </c>
      <c r="P15" t="n">
        <v>15</v>
      </c>
      <c r="Q15" t="inlineStr">
        <is>
          <t>B-B-073</t>
        </is>
      </c>
      <c r="R15" t="n">
        <v>3.4</v>
      </c>
      <c r="S15" t="inlineStr">
        <is>
          <t>none found</t>
        </is>
      </c>
      <c r="T15" s="2" t="inlineStr">
        <is>
          <t>https://www.kalustyans.com/</t>
        </is>
      </c>
      <c r="U15" t="inlineStr">
        <is>
          <t>1008840024</t>
        </is>
      </c>
      <c r="V15" t="inlineStr">
        <is>
          <t>R-31</t>
        </is>
      </c>
      <c r="W15" t="inlineStr">
        <is>
          <t>2026-10-24</t>
        </is>
      </c>
    </row>
    <row r="16">
      <c r="A16" t="inlineStr">
        <is>
          <t>B-R-015</t>
        </is>
      </c>
      <c r="B16" t="inlineStr">
        <is>
          <t>New Foods of India</t>
        </is>
      </c>
      <c r="C16" t="inlineStr">
        <is>
          <t>121 Lexington Avenue, New York, NY 10016</t>
        </is>
      </c>
      <c r="D16" t="n">
        <v>40.742714</v>
      </c>
      <c r="E16" t="n">
        <v>-73.98214299999999</v>
      </c>
      <c r="F16" t="inlineStr">
        <is>
          <t>N</t>
        </is>
      </c>
      <c r="G16" t="n">
        <v>1</v>
      </c>
      <c r="H16" t="inlineStr">
        <is>
          <t>Indian grocery (Curry Hill); relevant only for South Asian or spice-led snack brands</t>
        </is>
      </c>
      <c r="I16" s="2" t="inlineStr">
        <is>
          <t>https://data.ny.gov/resource/9a8c-vfzj.json?license_number=710893</t>
        </is>
      </c>
      <c r="J16" t="inlineStr">
        <is>
          <t>2026-10-24</t>
        </is>
      </c>
      <c r="K16" t="inlineStr">
        <is>
          <t>medium</t>
        </is>
      </c>
      <c r="L16" s="3" t="inlineStr">
        <is>
          <t>Buy-path tier B (specialty, gourmet or natural format; emerging set not yet verified). NYS Agriculture and Markets licence 710893 ('NEW FOODS OF INDIA', 2,400 sq ft), dataset updated 2026-10-14. foodsofindianyc.com could not be reached from this environment. Lexington Ave at 28th St, about 2 blocks east of the box.</t>
        </is>
      </c>
      <c r="M16" t="inlineStr">
        <is>
          <t>B</t>
        </is>
      </c>
      <c r="N16" t="inlineStr">
        <is>
          <t>N</t>
        </is>
      </c>
      <c r="O16" t="inlineStr">
        <is>
          <t>Niche South Asian grocery: useful only for spice-led or South Asian brands, so private map only.</t>
        </is>
      </c>
      <c r="P16" t="n">
        <v>15</v>
      </c>
      <c r="Q16" t="inlineStr">
        <is>
          <t>B-B-073</t>
        </is>
      </c>
      <c r="R16" t="n">
        <v>3.3</v>
      </c>
      <c r="S16" t="inlineStr">
        <is>
          <t>none found</t>
        </is>
      </c>
      <c r="T16" s="2" t="inlineStr">
        <is>
          <t>https://data.ny.gov/resource/9a8c-vfzj.json?license_number=710893</t>
        </is>
      </c>
      <c r="U16" t="inlineStr">
        <is>
          <t>1008840025</t>
        </is>
      </c>
      <c r="V16" t="inlineStr">
        <is>
          <t>R-30</t>
        </is>
      </c>
      <c r="W16" t="inlineStr">
        <is>
          <t>2026-10-24</t>
        </is>
      </c>
    </row>
    <row r="17">
      <c r="A17" t="inlineStr">
        <is>
          <t>B-R-016</t>
        </is>
      </c>
      <c r="B17" t="inlineStr">
        <is>
          <t>Westside Market NYC (180 Third Ave)</t>
        </is>
      </c>
      <c r="C17" t="inlineStr">
        <is>
          <t>180 Third Avenue, New York, NY 10003</t>
        </is>
      </c>
      <c r="D17" t="n">
        <v>40.735054</v>
      </c>
      <c r="E17" t="n">
        <v>-73.98631399999999</v>
      </c>
      <c r="F17" t="inlineStr">
        <is>
          <t>N</t>
        </is>
      </c>
      <c r="G17" t="n">
        <v>2</v>
      </c>
      <c r="H17" t="inlineStr">
        <is>
          <t>gourmet neighbourhood market; emerging set unverified</t>
        </is>
      </c>
      <c r="I17" s="2" t="inlineStr">
        <is>
          <t>https://www.wmarketnyc.com/</t>
        </is>
      </c>
      <c r="J17" t="inlineStr">
        <is>
          <t>2026-10-23</t>
        </is>
      </c>
      <c r="K17" t="inlineStr">
        <is>
          <t>high</t>
        </is>
      </c>
      <c r="L17" s="3" t="inlineStr">
        <is>
          <t>Buy-path tier B (specialty, gourmet or natural format; emerging set not yet verified). Site store list: 180 3rd Ave, daily 7:00 AM - 11:00 PM. Third Ave at 16th-17th St, east of the box. Independent: NYS Agriculture and Markets retail food store licence 734145 ('WESTSIDE MARKET', 5,200 sq ft) at this address, dataset updated 2026-10-14 (https://data.ny.gov/resource/9a8c-vfzj.json?license_number=734145).</t>
        </is>
      </c>
      <c r="M17" t="inlineStr">
        <is>
          <t>B</t>
        </is>
      </c>
      <c r="N17" t="inlineStr">
        <is>
          <t>Y</t>
        </is>
      </c>
      <c r="O17" t="inlineStr"/>
      <c r="P17" t="n">
        <v>3</v>
      </c>
      <c r="Q17" t="inlineStr">
        <is>
          <t>B-B-002</t>
        </is>
      </c>
      <c r="R17" t="n">
        <v>4.6</v>
      </c>
      <c r="S17" t="inlineStr">
        <is>
          <t>no store-level brand list checked</t>
        </is>
      </c>
      <c r="T17" s="2" t="inlineStr">
        <is>
          <t>https://www.wmarketnyc.com/</t>
        </is>
      </c>
      <c r="U17" t="inlineStr">
        <is>
          <t>1008720035</t>
        </is>
      </c>
      <c r="V17" t="inlineStr">
        <is>
          <t>R-18</t>
        </is>
      </c>
      <c r="W17" t="inlineStr">
        <is>
          <t>2026-10-23</t>
        </is>
      </c>
    </row>
    <row r="18">
      <c r="A18" t="inlineStr">
        <is>
          <t>B-R-017</t>
        </is>
      </c>
      <c r="B18" t="inlineStr">
        <is>
          <t>Westside Market NYC (170 West 23rd St)</t>
        </is>
      </c>
      <c r="C18" t="inlineStr">
        <is>
          <t>170 West 23rd Street, New York, NY 10011</t>
        </is>
      </c>
      <c r="D18" t="n">
        <v>40.74382</v>
      </c>
      <c r="E18" t="n">
        <v>-73.99526400000001</v>
      </c>
      <c r="F18" t="inlineStr">
        <is>
          <t>N</t>
        </is>
      </c>
      <c r="G18" t="n">
        <v>2</v>
      </c>
      <c r="H18" t="inlineStr">
        <is>
          <t>gourmet neighbourhood market; emerging set unverified</t>
        </is>
      </c>
      <c r="I18" s="2" t="inlineStr">
        <is>
          <t>https://www.wmarketnyc.com/</t>
        </is>
      </c>
      <c r="J18" t="inlineStr">
        <is>
          <t>2026-10-23</t>
        </is>
      </c>
      <c r="K18" t="inlineStr">
        <is>
          <t>high</t>
        </is>
      </c>
      <c r="L18" s="3" t="inlineStr">
        <is>
          <t>Buy-path tier B (specialty, gourmet or natural format; emerging set not yet verified). Site store list: 170 W 23rd St, daily 7:00 AM - 12:00 AM. 23rd St near Seventh Ave, west of the box. Independent: NYS Agriculture and Markets retail food store licence 736936 ('WESTSIDE MARKET') at this address, dataset updated 2026-10-14 (https://data.ny.gov/resource/9a8c-vfzj.json?license_number=736936). Pin moved at assembly from street index 22.32 to the south frontage of 23th St named by the address (tax lot unchanged; the geocoder had placed it on the far side of the lot).</t>
        </is>
      </c>
      <c r="M18" t="inlineStr">
        <is>
          <t>B</t>
        </is>
      </c>
      <c r="N18" t="inlineStr">
        <is>
          <t>Y</t>
        </is>
      </c>
      <c r="O18" t="inlineStr"/>
      <c r="P18" t="n">
        <v>12</v>
      </c>
      <c r="Q18" t="inlineStr">
        <is>
          <t>B-B-048</t>
        </is>
      </c>
      <c r="R18" t="n">
        <v>3.8</v>
      </c>
      <c r="S18" t="inlineStr">
        <is>
          <t>no store-level brand list checked</t>
        </is>
      </c>
      <c r="T18" s="2" t="inlineStr">
        <is>
          <t>https://www.wmarketnyc.com/</t>
        </is>
      </c>
      <c r="U18" t="inlineStr">
        <is>
          <t>1007987502</t>
        </is>
      </c>
      <c r="V18" t="inlineStr">
        <is>
          <t>R-17</t>
        </is>
      </c>
      <c r="W18" t="inlineStr">
        <is>
          <t>2026-10-23</t>
        </is>
      </c>
    </row>
    <row r="19">
      <c r="A19" t="inlineStr">
        <is>
          <t>B-R-018</t>
        </is>
      </c>
      <c r="B19" t="inlineStr">
        <is>
          <t>Westside Market NYC (77 Seventh Ave)</t>
        </is>
      </c>
      <c r="C19" t="inlineStr">
        <is>
          <t>77 Seventh Avenue, New York, NY 10011</t>
        </is>
      </c>
      <c r="D19" t="n">
        <v>40.738773</v>
      </c>
      <c r="E19" t="n">
        <v>-73.999107</v>
      </c>
      <c r="F19" t="inlineStr">
        <is>
          <t>N</t>
        </is>
      </c>
      <c r="G19" t="n">
        <v>2</v>
      </c>
      <c r="H19" t="inlineStr">
        <is>
          <t>gourmet neighbourhood market ('highest quality foods and hard-to-find products'); emerging set unverified</t>
        </is>
      </c>
      <c r="I19" s="2" t="inlineStr">
        <is>
          <t>https://www.wmarketnyc.com/</t>
        </is>
      </c>
      <c r="J19" t="inlineStr">
        <is>
          <t>2026-10-23</t>
        </is>
      </c>
      <c r="K19" t="inlineStr">
        <is>
          <t>high</t>
        </is>
      </c>
      <c r="L19" s="3" t="inlineStr">
        <is>
          <t>Buy-path tier B (specialty, gourmet or natural format; emerging set not yet verified). Site store list: 77 7th Ave, daily 7:00 AM - 11:00 PM, with online shop and catering. Seventh Ave at 15th St, one avenue west of the box. Independent: NYS Agriculture and Markets retail food store licence 625236 ('WESTSIDE SUPERMARKET', 25,000 sq ft) at this address, dataset updated 2026-10-14 (https://data.ny.gov/resource/9a8c-vfzj.json?license_number=625236).</t>
        </is>
      </c>
      <c r="M19" t="inlineStr">
        <is>
          <t>B</t>
        </is>
      </c>
      <c r="N19" t="inlineStr">
        <is>
          <t>Y</t>
        </is>
      </c>
      <c r="O19" t="inlineStr"/>
      <c r="P19" t="n">
        <v>0</v>
      </c>
      <c r="Q19" t="inlineStr">
        <is>
          <t>B-B-020</t>
        </is>
      </c>
      <c r="R19" t="n">
        <v>7.7</v>
      </c>
      <c r="S19" t="inlineStr">
        <is>
          <t>no store-level brand list checked</t>
        </is>
      </c>
      <c r="T19" s="2" t="inlineStr">
        <is>
          <t>https://www.wmarketnyc.com/</t>
        </is>
      </c>
      <c r="U19" t="inlineStr">
        <is>
          <t>1007900001</t>
        </is>
      </c>
      <c r="V19" t="inlineStr">
        <is>
          <t>R-16</t>
        </is>
      </c>
      <c r="W19" t="inlineStr">
        <is>
          <t>2026-10-23</t>
        </is>
      </c>
    </row>
    <row r="20">
      <c r="A20" t="inlineStr">
        <is>
          <t>B-R-019</t>
        </is>
      </c>
      <c r="B20" t="inlineStr">
        <is>
          <t>Elm Wellness (Elm Health Chelsea)</t>
        </is>
      </c>
      <c r="C20" t="inlineStr">
        <is>
          <t>56 Seventh Avenue, New York, NY 10011</t>
        </is>
      </c>
      <c r="D20" t="n">
        <v>40.738374</v>
      </c>
      <c r="E20" t="n">
        <v>-74.00022</v>
      </c>
      <c r="F20" t="inlineStr">
        <is>
          <t>N</t>
        </is>
      </c>
      <c r="G20" t="n">
        <v>3</v>
      </c>
      <c r="H20" t="inlineStr">
        <is>
          <t>health and natural foods store (going by the licensee name); unverified</t>
        </is>
      </c>
      <c r="I20" s="2" t="inlineStr">
        <is>
          <t>https://data.ny.gov/resource/9a8c-vfzj.json?license_number=629113</t>
        </is>
      </c>
      <c r="J20" t="inlineStr">
        <is>
          <t>2026-10-24</t>
        </is>
      </c>
      <c r="K20" t="inlineStr">
        <is>
          <t>low</t>
        </is>
      </c>
      <c r="L20" s="3" t="inlineStr">
        <is>
          <t>Buy-path tier B (specialty, gourmet or natural format; emerging set not yet verified). NYS Agriculture and Markets licence 629113 ('ELM WELLNESS', licensee ELM HEALTH CHELSEA CORP, 10,000 sq ft), dataset updated 2026-10-14. CONFLICT: the old elmhealth.com domain now redirects to a parked '/lander' page, and elmwellness.com belongs to an unrelated counselling practice, so there is no current store website. Founder to confirm on foot. Seventh Ave at 14th St, one avenue west of the box.</t>
        </is>
      </c>
      <c r="M20" t="inlineStr">
        <is>
          <t>B</t>
        </is>
      </c>
      <c r="N20" t="inlineStr">
        <is>
          <t>N</t>
        </is>
      </c>
      <c r="O20" t="inlineStr">
        <is>
          <t>Low confidence: the store may have closed; walk it first.</t>
        </is>
      </c>
      <c r="P20" t="n">
        <v>0</v>
      </c>
      <c r="Q20" t="inlineStr">
        <is>
          <t>B-B-020</t>
        </is>
      </c>
      <c r="R20" t="n">
        <v>8.800000000000001</v>
      </c>
      <c r="S20" t="inlineStr">
        <is>
          <t>none found</t>
        </is>
      </c>
      <c r="T20" s="2" t="inlineStr">
        <is>
          <t>https://data.ny.gov/resource/9a8c-vfzj.json?license_number=629113</t>
        </is>
      </c>
      <c r="U20" t="inlineStr">
        <is>
          <t>1006180033</t>
        </is>
      </c>
      <c r="V20" t="inlineStr">
        <is>
          <t>R-28</t>
        </is>
      </c>
      <c r="W20" t="inlineStr">
        <is>
          <t>2026-10-24</t>
        </is>
      </c>
    </row>
    <row r="21">
      <c r="A21" t="inlineStr">
        <is>
          <t>B-R-020</t>
        </is>
      </c>
      <c r="B21" t="inlineStr">
        <is>
          <t>Eden Gourmet Marketplace Gramercy Park</t>
        </is>
      </c>
      <c r="C21" t="inlineStr">
        <is>
          <t>275 Third Avenue, New York, NY 10010</t>
        </is>
      </c>
      <c r="D21" t="n">
        <v>40.737638</v>
      </c>
      <c r="E21" t="n">
        <v>-73.983582</v>
      </c>
      <c r="F21" t="inlineStr">
        <is>
          <t>N</t>
        </is>
      </c>
      <c r="G21" t="n">
        <v>4</v>
      </c>
      <c r="H21" t="inlineStr">
        <is>
          <t>gourmet and specialty grocer; emerging set unverified</t>
        </is>
      </c>
      <c r="I21" s="2" t="inlineStr">
        <is>
          <t>https://edengourmet.com/</t>
        </is>
      </c>
      <c r="J21" t="inlineStr">
        <is>
          <t>2026-10-23</t>
        </is>
      </c>
      <c r="K21" t="inlineStr">
        <is>
          <t>high</t>
        </is>
      </c>
      <c r="L21" s="3" t="inlineStr">
        <is>
          <t>Buy-path tier B (specialty, gourmet or natural format; emerging set not yet verified). Site lists 'Gramercy Park Store Address: 275 3rd Ave' (the site prints ZIP 10001). Third Ave at 21st-22nd St, east of the box. Independent: NYS Agriculture and Markets retail food store licence 767591 ('EDEN GOURMET MARKETPLACE', 11,000 sq ft) at this address, dataset updated 2026-10-14 (https://data.ny.gov/resource/9a8c-vfzj.json?license_number=767591).</t>
        </is>
      </c>
      <c r="M21" t="inlineStr">
        <is>
          <t>B</t>
        </is>
      </c>
      <c r="N21" t="inlineStr">
        <is>
          <t>Y</t>
        </is>
      </c>
      <c r="O21" t="inlineStr"/>
      <c r="P21" t="n">
        <v>0</v>
      </c>
      <c r="Q21" t="inlineStr">
        <is>
          <t>B-B-032</t>
        </is>
      </c>
      <c r="R21" t="n">
        <v>5.2</v>
      </c>
      <c r="S21" t="inlineStr">
        <is>
          <t>no store-level brand list checked</t>
        </is>
      </c>
      <c r="T21" s="2" t="inlineStr">
        <is>
          <t>https://edengourmet.com/</t>
        </is>
      </c>
      <c r="U21" t="inlineStr">
        <is>
          <t>1009020001</t>
        </is>
      </c>
      <c r="V21" t="inlineStr">
        <is>
          <t>R-15</t>
        </is>
      </c>
      <c r="W21" t="inlineStr">
        <is>
          <t>2026-10-23</t>
        </is>
      </c>
    </row>
    <row r="22">
      <c r="A22" t="inlineStr">
        <is>
          <t>B-R-021</t>
        </is>
      </c>
      <c r="B22" t="inlineStr">
        <is>
          <t>Whole Foods Market Chelsea</t>
        </is>
      </c>
      <c r="C22" t="inlineStr">
        <is>
          <t>250 Seventh Avenue, New York, NY 10001</t>
        </is>
      </c>
      <c r="D22" t="n">
        <v>40.745314</v>
      </c>
      <c r="E22" t="n">
        <v>-73.99549</v>
      </c>
      <c r="F22" t="inlineStr">
        <is>
          <t>N</t>
        </is>
      </c>
      <c r="G22" t="n">
        <v>4</v>
      </c>
      <c r="H22" t="inlineStr">
        <is>
          <t>natural and organic supermarket; local and emerging set</t>
        </is>
      </c>
      <c r="I22" s="2" t="inlineStr">
        <is>
          <t>https://www.wholefoodsmarket.com/stores/chelsea</t>
        </is>
      </c>
      <c r="J22" t="inlineStr">
        <is>
          <t>2026-10-23</t>
        </is>
      </c>
      <c r="K22" t="inlineStr">
        <is>
          <t>high</t>
        </is>
      </c>
      <c r="L22" s="3" t="inlineStr">
        <is>
          <t>Buy-path tier A (documented natural, local or emerging set). Store page lists 7 am to 10 pm daily. Seventh Ave at 24th-25th St: about one long avenue block west of the Sixth Ave edge. Independent: NYS Agriculture and Markets retail food store licence 623606 ('WHOLE FOODS MARKET') at this address, dataset updated 2026-10-14 (https://data.ny.gov/resource/9a8c-vfzj.json?license_number=623606).</t>
        </is>
      </c>
      <c r="M22" t="inlineStr">
        <is>
          <t>A</t>
        </is>
      </c>
      <c r="N22" t="inlineStr">
        <is>
          <t>Y</t>
        </is>
      </c>
      <c r="O22" t="inlineStr"/>
      <c r="P22" t="n">
        <v>0</v>
      </c>
      <c r="Q22" t="inlineStr">
        <is>
          <t>B-B-054</t>
        </is>
      </c>
      <c r="R22" t="n">
        <v>5.5</v>
      </c>
      <c r="S22" t="inlineStr">
        <is>
          <t>Store page: 'local products from makers near you'. Chain-level Local and Emerging Accelerator Program.</t>
        </is>
      </c>
      <c r="T22" s="2" t="inlineStr">
        <is>
          <t>https://www.wholefoodsmarket.com/stores/chelsea</t>
        </is>
      </c>
      <c r="U22" t="inlineStr">
        <is>
          <t>1007747501</t>
        </is>
      </c>
      <c r="V22" t="inlineStr">
        <is>
          <t>R-05</t>
        </is>
      </c>
      <c r="W22" t="inlineStr">
        <is>
          <t>2026-10-23</t>
        </is>
      </c>
    </row>
    <row r="23">
      <c r="A23" t="inlineStr">
        <is>
          <t>B-R-022</t>
        </is>
      </c>
      <c r="B23" t="inlineStr">
        <is>
          <t>Target Manhattan Herald Square</t>
        </is>
      </c>
      <c r="C23" t="inlineStr">
        <is>
          <t>112 West 34th Street, New York, NY 10120</t>
        </is>
      </c>
      <c r="D23" t="n">
        <v>40.7501</v>
      </c>
      <c r="E23" t="n">
        <v>-73.988868</v>
      </c>
      <c r="F23" t="inlineStr">
        <is>
          <t>N</t>
        </is>
      </c>
      <c r="G23" t="n">
        <v>4</v>
      </c>
      <c r="H23" t="inlineStr">
        <is>
          <t>mass merchant grocery; emerging set unverified</t>
        </is>
      </c>
      <c r="I23" s="2" t="inlineStr">
        <is>
          <t>https://www.target.com/sl/manhattan-herald-square/3277</t>
        </is>
      </c>
      <c r="J23" t="inlineStr">
        <is>
          <t>2026-10-23</t>
        </is>
      </c>
      <c r="K23" t="inlineStr">
        <is>
          <t>high</t>
        </is>
      </c>
      <c r="L23" s="3" t="inlineStr">
        <is>
          <t>Buy-path tier C (mass, conventional or private label; landmark or weak buy path). Store page shows hours 8am to 11pm for 23-25 Oct. 34th St just west of Sixth Ave, about 4 streets north of the 30th St edge. Independent: NYS Agriculture and Markets retail food store licence 730774 ('TARGET STORE T-3277') at this address, dataset updated 2026-10-14 (https://data.ny.gov/resource/9a8c-vfzj.json?license_number=730774). Pin moved at assembly from street index 33.29 to the south frontage of 34th St named by the address (tax lot unchanged; the geocoder had placed it on the far side of the lot).</t>
        </is>
      </c>
      <c r="M23" t="inlineStr">
        <is>
          <t>C</t>
        </is>
      </c>
      <c r="N23" t="inlineStr">
        <is>
          <t>N</t>
        </is>
      </c>
      <c r="O23" t="inlineStr">
        <is>
          <t>Tier C (mass, conventional or private label): a landmark, not a buy path.</t>
        </is>
      </c>
      <c r="P23" t="n">
        <v>0</v>
      </c>
      <c r="Q23" t="inlineStr">
        <is>
          <t>B-B-075</t>
        </is>
      </c>
      <c r="R23" t="n">
        <v>8.4</v>
      </c>
      <c r="S23" t="inlineStr">
        <is>
          <t>no store-level evidence checked</t>
        </is>
      </c>
      <c r="T23" s="2" t="inlineStr">
        <is>
          <t>https://www.target.com/sl/manhattan-herald-square/3277</t>
        </is>
      </c>
      <c r="U23" t="inlineStr">
        <is>
          <t>1008090053</t>
        </is>
      </c>
      <c r="V23" t="inlineStr">
        <is>
          <t>R-10</t>
        </is>
      </c>
      <c r="W23" t="inlineStr">
        <is>
          <t>2026-10-23</t>
        </is>
      </c>
    </row>
    <row r="24">
      <c r="A24" t="inlineStr">
        <is>
          <t>B-R-023</t>
        </is>
      </c>
      <c r="B24" t="inlineStr">
        <is>
          <t>Citarella Greenwich Village</t>
        </is>
      </c>
      <c r="C24" t="inlineStr">
        <is>
          <t>424 Sixth Avenue, New York, NY 10011</t>
        </is>
      </c>
      <c r="D24" t="n">
        <v>40.734279</v>
      </c>
      <c r="E24" t="n">
        <v>-73.998678</v>
      </c>
      <c r="F24" t="inlineStr">
        <is>
          <t>N</t>
        </is>
      </c>
      <c r="G24" t="n">
        <v>4</v>
      </c>
      <c r="H24" t="inlineStr">
        <is>
          <t>gourmet market; shelf set unverified (operator site blocked)</t>
        </is>
      </c>
      <c r="I24" s="2" t="inlineStr">
        <is>
          <t>https://data.ny.gov/resource/9a8c-vfzj.json?license_number=624652</t>
        </is>
      </c>
      <c r="J24" t="inlineStr">
        <is>
          <t>2026-10-24</t>
        </is>
      </c>
      <c r="K24" t="inlineStr">
        <is>
          <t>medium</t>
        </is>
      </c>
      <c r="L24" s="3" t="inlineStr">
        <is>
          <t>Buy-path tier B (specialty, gourmet or natural format; emerging set not yet verified). NYS Agriculture and Markets licence 624652 ('CITARELLA', licensee VILLAGE ENTERPRISES LLC, 15,000 sq ft), dataset updated 2026-10-14. citarella.com returned 403 to this environment, so there is no second source; open status unverified, founder to confirm. Sixth Ave at 9th St, about 5 streets south of the 14th St edge.</t>
        </is>
      </c>
      <c r="M24" t="inlineStr">
        <is>
          <t>B</t>
        </is>
      </c>
      <c r="N24" t="inlineStr">
        <is>
          <t>Y</t>
        </is>
      </c>
      <c r="O24" t="inlineStr"/>
      <c r="P24" t="n">
        <v>0</v>
      </c>
      <c r="Q24" t="inlineStr">
        <is>
          <t>B-B-008</t>
        </is>
      </c>
      <c r="R24" t="n">
        <v>9.9</v>
      </c>
      <c r="S24" t="inlineStr">
        <is>
          <t>none found</t>
        </is>
      </c>
      <c r="T24" s="2" t="inlineStr">
        <is>
          <t>https://data.ny.gov/resource/9a8c-vfzj.json?license_number=624652</t>
        </is>
      </c>
      <c r="U24" t="inlineStr">
        <is>
          <t>1005737502</t>
        </is>
      </c>
      <c r="V24" t="inlineStr">
        <is>
          <t>R-25</t>
        </is>
      </c>
      <c r="W24" t="inlineStr">
        <is>
          <t>2026-10-24</t>
        </is>
      </c>
    </row>
    <row r="25">
      <c r="A25" t="inlineStr">
        <is>
          <t>B-R-024</t>
        </is>
      </c>
      <c r="B25" t="inlineStr">
        <is>
          <t>Wegmans Astor Place</t>
        </is>
      </c>
      <c r="C25" t="inlineStr">
        <is>
          <t>770 Broadway, New York, NY 10003</t>
        </is>
      </c>
      <c r="D25" t="n">
        <v>40.730604</v>
      </c>
      <c r="E25" t="n">
        <v>-73.99151999999999</v>
      </c>
      <c r="F25" t="inlineStr">
        <is>
          <t>N</t>
        </is>
      </c>
      <c r="G25" t="n">
        <v>4</v>
      </c>
      <c r="H25" t="inlineStr">
        <is>
          <t>large supermarket with natural, organic and specialty sets (store nav lists 'Living Gluten Free' and 'Active &amp; Sports Nutrition')</t>
        </is>
      </c>
      <c r="I25" s="2" t="inlineStr">
        <is>
          <t>https://www.wegmans.com/stores/astor-place-ny/</t>
        </is>
      </c>
      <c r="J25" t="inlineStr">
        <is>
          <t>2026-10-23</t>
        </is>
      </c>
      <c r="K25" t="inlineStr">
        <is>
          <t>high</t>
        </is>
      </c>
      <c r="L25" s="3" t="inlineStr">
        <is>
          <t>Buy-path tier A (documented natural, local or emerging set). Store page: 'Open 7AM to 11PM, 7 Days a Week'. Broadway at 8th-9th St, about 5-6 streets south of 14th St and inside the box's east-west span; blocks_outside set to 6 by hand because the tax lot's centroid sits toward Lafayette St. Independent: NYS Agriculture and Markets retail food store licence 758490 ('WEGMANS FOOD MARKET #156', 90,000 sq ft) at this address, dataset updated 2026-10-14 (https://data.ny.gov/resource/9a8c-vfzj.json?license_number=758490).</t>
        </is>
      </c>
      <c r="M25" t="inlineStr">
        <is>
          <t>A</t>
        </is>
      </c>
      <c r="N25" t="inlineStr">
        <is>
          <t>Y</t>
        </is>
      </c>
      <c r="O25" t="inlineStr"/>
      <c r="P25" t="n">
        <v>0</v>
      </c>
      <c r="Q25" t="inlineStr">
        <is>
          <t>B-B-001</t>
        </is>
      </c>
      <c r="R25" t="n">
        <v>7.5</v>
      </c>
      <c r="S25" t="inlineStr">
        <is>
          <t>no store-level emerging brand list checked</t>
        </is>
      </c>
      <c r="T25" s="2" t="inlineStr">
        <is>
          <t>https://www.wegmans.com/stores/astor-place-ny/</t>
        </is>
      </c>
      <c r="U25" t="inlineStr">
        <is>
          <t>1005547501</t>
        </is>
      </c>
      <c r="V25" t="inlineStr">
        <is>
          <t>R-06</t>
        </is>
      </c>
      <c r="W25" t="inlineStr">
        <is>
          <t>2026-10-23</t>
        </is>
      </c>
    </row>
    <row r="26">
      <c r="A26" t="inlineStr">
        <is>
          <t>B-R-025</t>
        </is>
      </c>
      <c r="B26" t="inlineStr">
        <is>
          <t>LifeThyme Natural Market</t>
        </is>
      </c>
      <c r="C26" t="inlineStr">
        <is>
          <t>410 Sixth Avenue, New York, NY 10011</t>
        </is>
      </c>
      <c r="D26" t="n">
        <v>40.733799</v>
      </c>
      <c r="E26" t="n">
        <v>-73.999072</v>
      </c>
      <c r="F26" t="inlineStr">
        <is>
          <t>N</t>
        </is>
      </c>
      <c r="G26" t="n">
        <v>5</v>
      </c>
      <c r="H26" t="inlineStr">
        <is>
          <t>independent natural and organic grocer</t>
        </is>
      </c>
      <c r="I26" s="2" t="inlineStr">
        <is>
          <t>https://www.lifethymemarket.com/</t>
        </is>
      </c>
      <c r="J26" t="inlineStr">
        <is>
          <t>2026-10-23</t>
        </is>
      </c>
      <c r="K26" t="inlineStr">
        <is>
          <t>high</t>
        </is>
      </c>
      <c r="L26" s="3" t="inlineStr">
        <is>
          <t>Buy-path tier A (documented natural, local or emerging set). Site lists hours (Mon-Fri 7:30AM-9:30PM; Sat-Sun 8AM-9:30PM), a current Thanksgiving menu with pre-orders from 15 Oct, and (c) 2026. Sixth Ave between 8th and 9th St, about 5-6 streets south of the 14th St edge. Independent natural grocers often take emerging brands earlier than chains. Independent: NYS Agriculture and Markets retail food store licence 621229 ('LIFETHYME NATURAL MARKET', 6,000 sq ft) at this address, dataset updated 2026-10-14 (https://data.ny.gov/resource/9a8c-vfzj.json?license_number=621229).</t>
        </is>
      </c>
      <c r="M26" t="inlineStr">
        <is>
          <t>A</t>
        </is>
      </c>
      <c r="N26" t="inlineStr">
        <is>
          <t>Y</t>
        </is>
      </c>
      <c r="O26" t="inlineStr"/>
      <c r="P26" t="n">
        <v>0</v>
      </c>
      <c r="Q26" t="inlineStr">
        <is>
          <t>B-B-008</t>
        </is>
      </c>
      <c r="R26" t="n">
        <v>10.6</v>
      </c>
      <c r="S26" t="inlineStr">
        <is>
          <t>Site: mission is 'the best natural and organic food'; no store-level brand list checked</t>
        </is>
      </c>
      <c r="T26" s="2" t="inlineStr">
        <is>
          <t>https://www.lifethymemarket.com/</t>
        </is>
      </c>
      <c r="U26" t="inlineStr">
        <is>
          <t>1005720005</t>
        </is>
      </c>
      <c r="V26" t="inlineStr">
        <is>
          <t>R-13</t>
        </is>
      </c>
      <c r="W26" t="inlineStr">
        <is>
          <t>2026-10-23</t>
        </is>
      </c>
    </row>
    <row r="27">
      <c r="A27" t="inlineStr">
        <is>
          <t>B-R-026</t>
        </is>
      </c>
      <c r="B27" t="inlineStr">
        <is>
          <t>Wholesome Organic Market</t>
        </is>
      </c>
      <c r="C27" t="inlineStr">
        <is>
          <t>343 Second Avenue, New York, NY 10010</t>
        </is>
      </c>
      <c r="D27" t="n">
        <v>40.735855</v>
      </c>
      <c r="E27" t="n">
        <v>-73.982789</v>
      </c>
      <c r="F27" t="inlineStr">
        <is>
          <t>N</t>
        </is>
      </c>
      <c r="G27" t="n">
        <v>6</v>
      </c>
      <c r="H27" t="inlineStr">
        <is>
          <t>small organic market (going by the name); unverified</t>
        </is>
      </c>
      <c r="I27" s="2" t="inlineStr">
        <is>
          <t>https://data.ny.gov/resource/9a8c-vfzj.json?license_number=752904</t>
        </is>
      </c>
      <c r="J27" t="inlineStr">
        <is>
          <t>2026-10-24</t>
        </is>
      </c>
      <c r="K27" t="inlineStr">
        <is>
          <t>medium</t>
        </is>
      </c>
      <c r="L27" s="3" t="inlineStr">
        <is>
          <t>Buy-path tier B (specialty, gourmet or natural format; emerging set not yet verified). NYS Agriculture and Markets licence 752904 ('WHOLESOME ORGANIC MARKET', 2,800 sq ft), dataset updated 2026-10-14. wholesomeorganicmarket.com did not connect. Second Ave at 20th St, east of the box.</t>
        </is>
      </c>
      <c r="M27" t="inlineStr">
        <is>
          <t>B</t>
        </is>
      </c>
      <c r="N27" t="inlineStr">
        <is>
          <t>Y</t>
        </is>
      </c>
      <c r="O27" t="inlineStr"/>
      <c r="P27" t="n">
        <v>0</v>
      </c>
      <c r="Q27" t="inlineStr">
        <is>
          <t>B-B-028</t>
        </is>
      </c>
      <c r="R27" t="n">
        <v>7.6</v>
      </c>
      <c r="S27" t="inlineStr">
        <is>
          <t>none found</t>
        </is>
      </c>
      <c r="T27" s="2" t="inlineStr">
        <is>
          <t>https://data.ny.gov/resource/9a8c-vfzj.json?license_number=752904</t>
        </is>
      </c>
      <c r="U27" t="inlineStr">
        <is>
          <t>1009000027</t>
        </is>
      </c>
      <c r="V27" t="inlineStr">
        <is>
          <t>R-29</t>
        </is>
      </c>
      <c r="W27" t="inlineStr">
        <is>
          <t>2026-10-24</t>
        </is>
      </c>
    </row>
    <row r="28">
      <c r="A28" t="inlineStr">
        <is>
          <t>B-R-027</t>
        </is>
      </c>
      <c r="B28" t="inlineStr">
        <is>
          <t>Target Chelsea 23rd and 8th</t>
        </is>
      </c>
      <c r="C28" t="inlineStr">
        <is>
          <t>258 Eighth Avenue, New York, NY 10011</t>
        </is>
      </c>
      <c r="D28" t="n">
        <v>40.74552</v>
      </c>
      <c r="E28" t="n">
        <v>-73.99791</v>
      </c>
      <c r="F28" t="inlineStr">
        <is>
          <t>N</t>
        </is>
      </c>
      <c r="G28" t="n">
        <v>6</v>
      </c>
      <c r="H28" t="inlineStr">
        <is>
          <t>mass merchant grocery; emerging set unverified</t>
        </is>
      </c>
      <c r="I28" s="2" t="inlineStr">
        <is>
          <t>https://www.target.com/sl/chelsea-23rd-and-8th/3412</t>
        </is>
      </c>
      <c r="J28" t="inlineStr">
        <is>
          <t>2026-10-23</t>
        </is>
      </c>
      <c r="K28" t="inlineStr">
        <is>
          <t>high</t>
        </is>
      </c>
      <c r="L28" s="3" t="inlineStr">
        <is>
          <t>Buy-path tier C (mass, conventional or private label; landmark or weak buy path). Store page shows hours 8am to 11pm for 23-25 Oct and a CVS pharmacy inside. Eighth Ave at 23rd St, two avenues west of the Sixth Ave edge. Independent: NYS Agriculture and Markets retail food store licence 763247 ('TARGET STORE T-3412', 20,000 sq ft) at this address, dataset updated 2026-10-14 (https://data.ny.gov/resource/9a8c-vfzj.json?license_number=763247).</t>
        </is>
      </c>
      <c r="M28" t="inlineStr">
        <is>
          <t>C</t>
        </is>
      </c>
      <c r="N28" t="inlineStr">
        <is>
          <t>N</t>
        </is>
      </c>
      <c r="O28" t="inlineStr">
        <is>
          <t>Tier C (mass, conventional or private label): a landmark, not a buy path.</t>
        </is>
      </c>
      <c r="P28" t="n">
        <v>0</v>
      </c>
      <c r="Q28" t="inlineStr">
        <is>
          <t>B-B-048</t>
        </is>
      </c>
      <c r="R28" t="n">
        <v>7.4</v>
      </c>
      <c r="S28" t="inlineStr">
        <is>
          <t>no store-level evidence checked</t>
        </is>
      </c>
      <c r="T28" s="2" t="inlineStr">
        <is>
          <t>https://www.target.com/sl/chelsea-23rd-and-8th/3412</t>
        </is>
      </c>
      <c r="U28" t="inlineStr">
        <is>
          <t>1007737504</t>
        </is>
      </c>
      <c r="V28" t="inlineStr">
        <is>
          <t>R-09</t>
        </is>
      </c>
      <c r="W28" t="inlineStr">
        <is>
          <t>2026-10-23</t>
        </is>
      </c>
    </row>
    <row r="29">
      <c r="A29" t="inlineStr">
        <is>
          <t>B-R-028</t>
        </is>
      </c>
      <c r="B29" t="inlineStr">
        <is>
          <t>Target Kips Bay</t>
        </is>
      </c>
      <c r="C29" t="inlineStr">
        <is>
          <t>512 Second Avenue, New York, NY 10016</t>
        </is>
      </c>
      <c r="D29" t="n">
        <v>40.740979</v>
      </c>
      <c r="E29" t="n">
        <v>-73.977625</v>
      </c>
      <c r="F29" t="inlineStr">
        <is>
          <t>N</t>
        </is>
      </c>
      <c r="G29" t="n">
        <v>7</v>
      </c>
      <c r="H29" t="inlineStr">
        <is>
          <t>mass merchant grocery; emerging set unverified</t>
        </is>
      </c>
      <c r="I29" s="2" t="inlineStr">
        <is>
          <t>https://www.target.com/sl/kips-bay/3321</t>
        </is>
      </c>
      <c r="J29" t="inlineStr">
        <is>
          <t>2026-10-23</t>
        </is>
      </c>
      <c r="K29" t="inlineStr">
        <is>
          <t>high</t>
        </is>
      </c>
      <c r="L29" s="3" t="inlineStr">
        <is>
          <t>Buy-path tier C (mass, conventional or private label; landmark or weak buy path). Store page shows hours 8am to 10pm for 23-25 Oct. Second Ave at 29th-30th St, east of the box. Independent: NYS Agriculture and Markets retail food store licence 737637 ('TARGET STORE T-3321') at this address, dataset updated 2026-10-14 (https://data.ny.gov/resource/9a8c-vfzj.json?license_number=737637).</t>
        </is>
      </c>
      <c r="M29" t="inlineStr">
        <is>
          <t>C</t>
        </is>
      </c>
      <c r="N29" t="inlineStr">
        <is>
          <t>N</t>
        </is>
      </c>
      <c r="O29" t="inlineStr">
        <is>
          <t>Tier C (mass, conventional or private label): a landmark, not a buy path.</t>
        </is>
      </c>
      <c r="P29" t="n">
        <v>0</v>
      </c>
      <c r="Q29" t="inlineStr">
        <is>
          <t>B-B-079</t>
        </is>
      </c>
      <c r="R29" t="n">
        <v>8.699999999999999</v>
      </c>
      <c r="S29" t="inlineStr">
        <is>
          <t>no store-level evidence checked</t>
        </is>
      </c>
      <c r="T29" s="2" t="inlineStr">
        <is>
          <t>https://www.target.com/sl/kips-bay/3321</t>
        </is>
      </c>
      <c r="U29" t="inlineStr">
        <is>
          <t>1009340001</t>
        </is>
      </c>
      <c r="V29" t="inlineStr">
        <is>
          <t>R-08</t>
        </is>
      </c>
      <c r="W29" t="inlineStr">
        <is>
          <t>2026-10-23</t>
        </is>
      </c>
    </row>
    <row r="30">
      <c r="A30" t="inlineStr">
        <is>
          <t>B-R-029</t>
        </is>
      </c>
      <c r="B30" t="inlineStr">
        <is>
          <t>Fairway Market Kips Bay</t>
        </is>
      </c>
      <c r="C30" t="inlineStr">
        <is>
          <t>550 Second Avenue, New York, NY 10016</t>
        </is>
      </c>
      <c r="D30" t="n">
        <v>40.74271</v>
      </c>
      <c r="E30" t="n">
        <v>-73.97677</v>
      </c>
      <c r="F30" t="inlineStr">
        <is>
          <t>N</t>
        </is>
      </c>
      <c r="G30" t="n">
        <v>7</v>
      </c>
      <c r="H30" t="inlineStr">
        <is>
          <t>specialty supermarket; emerging set unverified</t>
        </is>
      </c>
      <c r="I30" s="2" t="inlineStr">
        <is>
          <t>https://www.fairwaymarket.com/</t>
        </is>
      </c>
      <c r="J30" t="inlineStr">
        <is>
          <t>2026-10-23</t>
        </is>
      </c>
      <c r="K30" t="inlineStr">
        <is>
          <t>high</t>
        </is>
      </c>
      <c r="L30" s="3" t="inlineStr">
        <is>
          <t>Buy-path tier B (specialty, gourmet or natural format; emerging set not yet verified). Store record embedded in fairwaymarket.com: 'FAIRWAY MARKET OF KIPS BAY', 550 2ND AVENUE, status Active, 7 AM - 10 PM. Second Ave at 30th-31st St, near the outer limit of the ten-block range. Independent: NYS Agriculture and Markets retail food store licence 742908 ('FAIRWAY MARKET OF KIPS BAY (licensee VSM NY HOLDINGS LLC)') at this address, dataset updated 2026-10-14 (https://data.ny.gov/resource/9a8c-vfzj.json?license_number=742908).</t>
        </is>
      </c>
      <c r="M30" t="inlineStr">
        <is>
          <t>B</t>
        </is>
      </c>
      <c r="N30" t="inlineStr">
        <is>
          <t>Y</t>
        </is>
      </c>
      <c r="O30" t="inlineStr"/>
      <c r="P30" t="n">
        <v>0</v>
      </c>
      <c r="Q30" t="inlineStr">
        <is>
          <t>B-B-080</t>
        </is>
      </c>
      <c r="R30" t="n">
        <v>9</v>
      </c>
      <c r="S30" t="inlineStr">
        <is>
          <t>no store-level evidence checked</t>
        </is>
      </c>
      <c r="T30" s="2" t="inlineStr">
        <is>
          <t>https://www.fairwaymarket.com/</t>
        </is>
      </c>
      <c r="U30" t="inlineStr">
        <is>
          <t>1009360001</t>
        </is>
      </c>
      <c r="V30" t="inlineStr">
        <is>
          <t>R-12</t>
        </is>
      </c>
      <c r="W30" t="inlineStr">
        <is>
          <t>2026-10-23</t>
        </is>
      </c>
    </row>
    <row r="31">
      <c r="A31" t="inlineStr">
        <is>
          <t>B-R-030</t>
        </is>
      </c>
      <c r="B31" t="inlineStr">
        <is>
          <t>Morton Williams (311 East 23rd St)</t>
        </is>
      </c>
      <c r="C31" t="inlineStr">
        <is>
          <t>311 East 23rd Street, New York, NY 10010</t>
        </is>
      </c>
      <c r="D31" t="n">
        <v>40.737748</v>
      </c>
      <c r="E31" t="n">
        <v>-73.97990900000001</v>
      </c>
      <c r="F31" t="inlineStr">
        <is>
          <t>N</t>
        </is>
      </c>
      <c r="G31" t="n">
        <v>7</v>
      </c>
      <c r="H31" t="inlineStr">
        <is>
          <t>conventional supermarket; natural or emerging set unverified</t>
        </is>
      </c>
      <c r="I31" s="2" t="inlineStr">
        <is>
          <t>https://www.mortonwilliams.com/our-locations</t>
        </is>
      </c>
      <c r="J31" t="inlineStr">
        <is>
          <t>2026-10-23</t>
        </is>
      </c>
      <c r="K31" t="inlineStr">
        <is>
          <t>high</t>
        </is>
      </c>
      <c r="L31" s="3" t="inlineStr">
        <is>
          <t>Buy-path tier C (mass, conventional or private label; landmark or weak buy path). Locations page: '311 East 23rd Street (2nd Avenue)', 7 AM - 1 AM. East of the box. Independent: NYS Agriculture and Markets retail food store licence 768353 ('MORTON WILLIAMS SUPERMARKET', 14,500 sq ft) at this address, dataset updated 2026-10-14 (https://data.ny.gov/resource/9a8c-vfzj.json?license_number=768353).</t>
        </is>
      </c>
      <c r="M31" t="inlineStr">
        <is>
          <t>C</t>
        </is>
      </c>
      <c r="N31" t="inlineStr">
        <is>
          <t>N</t>
        </is>
      </c>
      <c r="O31" t="inlineStr">
        <is>
          <t>Tier C (mass, conventional or private label): a landmark, not a buy path.</t>
        </is>
      </c>
      <c r="P31" t="n">
        <v>0</v>
      </c>
      <c r="Q31" t="inlineStr">
        <is>
          <t>B-B-044</t>
        </is>
      </c>
      <c r="R31" t="n">
        <v>9.199999999999999</v>
      </c>
      <c r="S31" t="inlineStr">
        <is>
          <t>none found</t>
        </is>
      </c>
      <c r="T31" s="2" t="inlineStr">
        <is>
          <t>https://www.mortonwilliams.com/our-locations</t>
        </is>
      </c>
      <c r="U31" t="inlineStr">
        <is>
          <t>1009290001</t>
        </is>
      </c>
      <c r="V31" t="inlineStr">
        <is>
          <t>R-21</t>
        </is>
      </c>
      <c r="W31" t="inlineStr">
        <is>
          <t>2026-10-23</t>
        </is>
      </c>
    </row>
  </sheetData>
  <autoFilter ref="A1:W31"/>
  <hyperlinks>
    <hyperlink xmlns:r="http://schemas.openxmlformats.org/officeDocument/2006/relationships" ref="I2" r:id="rId1"/>
    <hyperlink xmlns:r="http://schemas.openxmlformats.org/officeDocument/2006/relationships" ref="T2" r:id="rId2"/>
    <hyperlink xmlns:r="http://schemas.openxmlformats.org/officeDocument/2006/relationships" ref="I3" r:id="rId3"/>
    <hyperlink xmlns:r="http://schemas.openxmlformats.org/officeDocument/2006/relationships" ref="T3" r:id="rId4"/>
    <hyperlink xmlns:r="http://schemas.openxmlformats.org/officeDocument/2006/relationships" ref="I4" r:id="rId5"/>
    <hyperlink xmlns:r="http://schemas.openxmlformats.org/officeDocument/2006/relationships" ref="T4" r:id="rId6"/>
    <hyperlink xmlns:r="http://schemas.openxmlformats.org/officeDocument/2006/relationships" ref="I5" r:id="rId7"/>
    <hyperlink xmlns:r="http://schemas.openxmlformats.org/officeDocument/2006/relationships" ref="T5" r:id="rId8"/>
    <hyperlink xmlns:r="http://schemas.openxmlformats.org/officeDocument/2006/relationships" ref="I6" r:id="rId9"/>
    <hyperlink xmlns:r="http://schemas.openxmlformats.org/officeDocument/2006/relationships" ref="T6" r:id="rId10"/>
    <hyperlink xmlns:r="http://schemas.openxmlformats.org/officeDocument/2006/relationships" ref="I7" r:id="rId11"/>
    <hyperlink xmlns:r="http://schemas.openxmlformats.org/officeDocument/2006/relationships" ref="T7" r:id="rId12"/>
    <hyperlink xmlns:r="http://schemas.openxmlformats.org/officeDocument/2006/relationships" ref="I8" r:id="rId13"/>
    <hyperlink xmlns:r="http://schemas.openxmlformats.org/officeDocument/2006/relationships" ref="T8" r:id="rId14"/>
    <hyperlink xmlns:r="http://schemas.openxmlformats.org/officeDocument/2006/relationships" ref="I9" r:id="rId15"/>
    <hyperlink xmlns:r="http://schemas.openxmlformats.org/officeDocument/2006/relationships" ref="T9" r:id="rId16"/>
    <hyperlink xmlns:r="http://schemas.openxmlformats.org/officeDocument/2006/relationships" ref="I10" r:id="rId17"/>
    <hyperlink xmlns:r="http://schemas.openxmlformats.org/officeDocument/2006/relationships" ref="T10" r:id="rId18"/>
    <hyperlink xmlns:r="http://schemas.openxmlformats.org/officeDocument/2006/relationships" ref="I11" r:id="rId19"/>
    <hyperlink xmlns:r="http://schemas.openxmlformats.org/officeDocument/2006/relationships" ref="T11" r:id="rId20"/>
    <hyperlink xmlns:r="http://schemas.openxmlformats.org/officeDocument/2006/relationships" ref="I12" r:id="rId21"/>
    <hyperlink xmlns:r="http://schemas.openxmlformats.org/officeDocument/2006/relationships" ref="T12" r:id="rId22"/>
    <hyperlink xmlns:r="http://schemas.openxmlformats.org/officeDocument/2006/relationships" ref="I13" r:id="rId23"/>
    <hyperlink xmlns:r="http://schemas.openxmlformats.org/officeDocument/2006/relationships" ref="T13" r:id="rId24"/>
    <hyperlink xmlns:r="http://schemas.openxmlformats.org/officeDocument/2006/relationships" ref="I14" r:id="rId25"/>
    <hyperlink xmlns:r="http://schemas.openxmlformats.org/officeDocument/2006/relationships" ref="T14" r:id="rId26"/>
    <hyperlink xmlns:r="http://schemas.openxmlformats.org/officeDocument/2006/relationships" ref="I15" r:id="rId27"/>
    <hyperlink xmlns:r="http://schemas.openxmlformats.org/officeDocument/2006/relationships" ref="T15" r:id="rId28"/>
    <hyperlink xmlns:r="http://schemas.openxmlformats.org/officeDocument/2006/relationships" ref="I16" r:id="rId29"/>
    <hyperlink xmlns:r="http://schemas.openxmlformats.org/officeDocument/2006/relationships" ref="T16" r:id="rId30"/>
    <hyperlink xmlns:r="http://schemas.openxmlformats.org/officeDocument/2006/relationships" ref="I17" r:id="rId31"/>
    <hyperlink xmlns:r="http://schemas.openxmlformats.org/officeDocument/2006/relationships" ref="T17" r:id="rId32"/>
    <hyperlink xmlns:r="http://schemas.openxmlformats.org/officeDocument/2006/relationships" ref="I18" r:id="rId33"/>
    <hyperlink xmlns:r="http://schemas.openxmlformats.org/officeDocument/2006/relationships" ref="T18" r:id="rId34"/>
    <hyperlink xmlns:r="http://schemas.openxmlformats.org/officeDocument/2006/relationships" ref="I19" r:id="rId35"/>
    <hyperlink xmlns:r="http://schemas.openxmlformats.org/officeDocument/2006/relationships" ref="T19" r:id="rId36"/>
    <hyperlink xmlns:r="http://schemas.openxmlformats.org/officeDocument/2006/relationships" ref="I20" r:id="rId37"/>
    <hyperlink xmlns:r="http://schemas.openxmlformats.org/officeDocument/2006/relationships" ref="T20" r:id="rId38"/>
    <hyperlink xmlns:r="http://schemas.openxmlformats.org/officeDocument/2006/relationships" ref="I21" r:id="rId39"/>
    <hyperlink xmlns:r="http://schemas.openxmlformats.org/officeDocument/2006/relationships" ref="T21" r:id="rId40"/>
    <hyperlink xmlns:r="http://schemas.openxmlformats.org/officeDocument/2006/relationships" ref="I22" r:id="rId41"/>
    <hyperlink xmlns:r="http://schemas.openxmlformats.org/officeDocument/2006/relationships" ref="T22" r:id="rId42"/>
    <hyperlink xmlns:r="http://schemas.openxmlformats.org/officeDocument/2006/relationships" ref="I23" r:id="rId43"/>
    <hyperlink xmlns:r="http://schemas.openxmlformats.org/officeDocument/2006/relationships" ref="T23" r:id="rId44"/>
    <hyperlink xmlns:r="http://schemas.openxmlformats.org/officeDocument/2006/relationships" ref="I24" r:id="rId45"/>
    <hyperlink xmlns:r="http://schemas.openxmlformats.org/officeDocument/2006/relationships" ref="T24" r:id="rId46"/>
    <hyperlink xmlns:r="http://schemas.openxmlformats.org/officeDocument/2006/relationships" ref="I25" r:id="rId47"/>
    <hyperlink xmlns:r="http://schemas.openxmlformats.org/officeDocument/2006/relationships" ref="T25" r:id="rId48"/>
    <hyperlink xmlns:r="http://schemas.openxmlformats.org/officeDocument/2006/relationships" ref="I26" r:id="rId49"/>
    <hyperlink xmlns:r="http://schemas.openxmlformats.org/officeDocument/2006/relationships" ref="T26" r:id="rId50"/>
    <hyperlink xmlns:r="http://schemas.openxmlformats.org/officeDocument/2006/relationships" ref="I27" r:id="rId51"/>
    <hyperlink xmlns:r="http://schemas.openxmlformats.org/officeDocument/2006/relationships" ref="T27" r:id="rId52"/>
    <hyperlink xmlns:r="http://schemas.openxmlformats.org/officeDocument/2006/relationships" ref="I28" r:id="rId53"/>
    <hyperlink xmlns:r="http://schemas.openxmlformats.org/officeDocument/2006/relationships" ref="T28" r:id="rId54"/>
    <hyperlink xmlns:r="http://schemas.openxmlformats.org/officeDocument/2006/relationships" ref="I29" r:id="rId55"/>
    <hyperlink xmlns:r="http://schemas.openxmlformats.org/officeDocument/2006/relationships" ref="T29" r:id="rId56"/>
    <hyperlink xmlns:r="http://schemas.openxmlformats.org/officeDocument/2006/relationships" ref="I30" r:id="rId57"/>
    <hyperlink xmlns:r="http://schemas.openxmlformats.org/officeDocument/2006/relationships" ref="T30" r:id="rId58"/>
    <hyperlink xmlns:r="http://schemas.openxmlformats.org/officeDocument/2006/relationships" ref="I31" r:id="rId59"/>
    <hyperlink xmlns:r="http://schemas.openxmlformats.org/officeDocument/2006/relationships" ref="T31" r:id="rId6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44"/>
  <sheetViews>
    <sheetView workbookViewId="0">
      <pane xSplit="3" ySplit="15" topLeftCell="D16" activePane="bottomRight" state="frozen"/>
      <selection pane="topRight"/>
      <selection pane="bottomLeft"/>
      <selection pane="bottomRight" activeCell="A1" sqref="A1"/>
    </sheetView>
  </sheetViews>
  <sheetFormatPr baseColWidth="8" defaultRowHeight="15"/>
  <cols>
    <col width="28" customWidth="1" min="1" max="1"/>
    <col width="12" customWidth="1" min="2" max="2"/>
    <col width="30" customWidth="1" min="3" max="3"/>
    <col width="13" customWidth="1" min="4" max="4"/>
    <col width="30" customWidth="1" min="5" max="5"/>
    <col width="11" customWidth="1" min="6" max="6"/>
    <col width="12" customWidth="1" min="7" max="7"/>
    <col width="16" customWidth="1" min="8" max="8"/>
    <col width="12" customWidth="1" min="9" max="9"/>
    <col width="11" customWidth="1" min="10" max="10"/>
    <col width="11" customWidth="1" min="11" max="11"/>
    <col width="16" customWidth="1" min="12" max="12"/>
    <col width="18" customWidth="1" min="13" max="13"/>
    <col width="18" customWidth="1" min="14" max="14"/>
    <col width="15" customWidth="1" min="15" max="15"/>
    <col width="17" customWidth="1" min="16" max="16"/>
    <col width="17" customWidth="1" min="17" max="17"/>
    <col width="12" customWidth="1" min="18" max="18"/>
    <col width="14" customWidth="1" min="19" max="19"/>
    <col width="12" customWidth="1" min="20" max="20"/>
    <col width="12" customWidth="1" min="21" max="21"/>
    <col width="24" customWidth="1" min="22" max="22"/>
    <col width="11" customWidth="1" min="23" max="23"/>
  </cols>
  <sheetData>
    <row r="1">
      <c r="A1" s="4">
        <f>company_name&amp;": model ten-stop Tuesday route, 8 to 11 am, on foot from the first stop (all times are estimates)"</f>
        <v/>
      </c>
    </row>
    <row r="2">
      <c r="A2" s="5" t="inlineStr">
        <is>
          <t>Parameters (yellow cells are editable; every time below recalculates)</t>
        </is>
      </c>
    </row>
    <row r="3">
      <c r="A3" t="inlineStr">
        <is>
          <t>hand_truck_pace_m_per_min</t>
        </is>
      </c>
      <c r="B3" s="6" t="n">
        <v>64</v>
      </c>
      <c r="C3" s="7" t="inlineStr">
        <is>
          <t>MUTCD 2009 4E.06: 3.5 ft/s design walking speed (64 m/min). https://mutcd.fhwa.dot.gov/htm/2009/part4/part4e.htm</t>
        </is>
      </c>
    </row>
    <row r="4">
      <c r="A4" t="inlineStr">
        <is>
          <t>wait_avenue_crossing_s</t>
        </is>
      </c>
      <c r="B4" s="6" t="n">
        <v>25</v>
      </c>
      <c r="C4" s="7" t="inlineStr">
        <is>
          <t>Assumption: expected wait at an avenue crossing with a hand truck. Time it on the walk.</t>
        </is>
      </c>
    </row>
    <row r="5">
      <c r="A5" t="inlineStr">
        <is>
          <t>wait_street_crossing_s</t>
        </is>
      </c>
      <c r="B5" s="6" t="n">
        <v>15</v>
      </c>
      <c r="C5" s="7" t="inlineStr">
        <is>
          <t>Assumption: expected wait crossing a side street. Time it on the walk.</t>
        </is>
      </c>
    </row>
    <row r="6">
      <c r="A6" t="inlineStr">
        <is>
          <t>minutes_per_stop</t>
        </is>
      </c>
      <c r="B6" s="6" t="n">
        <v>15</v>
      </c>
      <c r="C6" s="7" t="inlineStr">
        <is>
          <t>plan.md Phase 3, per-stop procedure: 15 minutes.</t>
        </is>
      </c>
    </row>
    <row r="7">
      <c r="A7" t="inlineStr">
        <is>
          <t>same_building_transfer_min</t>
        </is>
      </c>
      <c r="B7" s="6" t="n">
        <v>3</v>
      </c>
      <c r="C7" s="7" t="inlineStr">
        <is>
          <t>Assumption: down one elevator and up another.</t>
        </is>
      </c>
    </row>
    <row r="8">
      <c r="A8" t="inlineStr">
        <is>
          <t>route_start</t>
        </is>
      </c>
      <c r="B8" s="8" t="n">
        <v>0.3333333333333333</v>
      </c>
      <c r="C8" s="7" t="inlineStr">
        <is>
          <t>Window opens (plan.md).</t>
        </is>
      </c>
    </row>
    <row r="9">
      <c r="A9" t="inlineStr">
        <is>
          <t>window_minutes</t>
        </is>
      </c>
      <c r="B9" s="6" t="n">
        <v>180</v>
      </c>
      <c r="C9" s="7" t="inlineStr">
        <is>
          <t>8 to 11 am.</t>
        </is>
      </c>
    </row>
    <row r="10">
      <c r="A10" t="inlineStr">
        <is>
          <t>car_overhead_min</t>
        </is>
      </c>
      <c r="B10" s="6" t="n">
        <v>8</v>
      </c>
      <c r="C10" s="7" t="inlineStr">
        <is>
          <t>Assumption: 5 min to hail and load the hand truck, 3 min to unload.</t>
        </is>
      </c>
    </row>
    <row r="11">
      <c r="A11" t="inlineStr">
        <is>
          <t>car_speed_mph</t>
        </is>
      </c>
      <c r="B11" s="6" t="n">
        <v>9.699999999999999</v>
      </c>
      <c r="C11" s="7" t="inlineStr">
        <is>
          <t>NBER Digest 2025-06-01: CBD average speed rose from 8.2 to 9.7 mph after congestion pricing. https://www.nber.org/digest/202506/impact-new-york-citys-congestion-pricing-program</t>
        </is>
      </c>
    </row>
    <row r="12">
      <c r="A12" t="inlineStr">
        <is>
          <t>car_detour_factor</t>
        </is>
      </c>
      <c r="B12" s="6" t="n">
        <v>1.3</v>
      </c>
      <c r="C12" s="7" t="inlineStr">
        <is>
          <t>Assumption: one-way streets and turns.</t>
        </is>
      </c>
    </row>
    <row r="15">
      <c r="A15" s="1" t="inlineStr">
        <is>
          <t>stop</t>
        </is>
      </c>
      <c r="B15" s="1" t="inlineStr">
        <is>
          <t>company_id</t>
        </is>
      </c>
      <c r="C15" s="1" t="inlineStr">
        <is>
          <t>company_name</t>
        </is>
      </c>
      <c r="D15" s="1" t="inlineStr">
        <is>
          <t>building_id</t>
        </is>
      </c>
      <c r="E15" s="1" t="inlineStr">
        <is>
          <t>street_address</t>
        </is>
      </c>
      <c r="F15" s="1" t="inlineStr">
        <is>
          <t>floor</t>
        </is>
      </c>
      <c r="G15" s="1" t="inlineStr">
        <is>
          <t>lobby_type</t>
        </is>
      </c>
      <c r="H15" s="1" t="inlineStr">
        <is>
          <t>headcount_band</t>
        </is>
      </c>
      <c r="I15" s="1" t="inlineStr">
        <is>
          <t>confidence</t>
        </is>
      </c>
      <c r="J15" s="1" t="inlineStr">
        <is>
          <t>lat</t>
        </is>
      </c>
      <c r="K15" s="1" t="inlineStr">
        <is>
          <t>lon</t>
        </is>
      </c>
      <c r="L15" s="1" t="inlineStr">
        <is>
          <t>leg_metres_est</t>
        </is>
      </c>
      <c r="M15" s="1" t="inlineStr">
        <is>
          <t>avenue_crossings</t>
        </is>
      </c>
      <c r="N15" s="1" t="inlineStr">
        <is>
          <t>street_crossings</t>
        </is>
      </c>
      <c r="O15" s="1" t="inlineStr">
        <is>
          <t>same_building</t>
        </is>
      </c>
      <c r="P15" s="1" t="inlineStr">
        <is>
          <t>leg_minutes_est</t>
        </is>
      </c>
      <c r="Q15" s="1" t="inlineStr">
        <is>
          <t>car_minutes_est</t>
        </is>
      </c>
      <c r="R15" s="1" t="inlineStr">
        <is>
          <t>car_faster</t>
        </is>
      </c>
      <c r="S15" s="1" t="inlineStr">
        <is>
          <t>stop_minutes</t>
        </is>
      </c>
      <c r="T15" s="1" t="inlineStr">
        <is>
          <t>arrive_est</t>
        </is>
      </c>
      <c r="U15" s="1" t="inlineStr">
        <is>
          <t>depart_est</t>
        </is>
      </c>
      <c r="V15" s="1" t="inlineStr">
        <is>
          <t>receiving_window_from_intake</t>
        </is>
      </c>
      <c r="W15" s="1" t="inlineStr">
        <is>
          <t>label</t>
        </is>
      </c>
    </row>
    <row r="16">
      <c r="A16" t="n">
        <v>1</v>
      </c>
      <c r="B16" t="inlineStr">
        <is>
          <t>B-C-051</t>
        </is>
      </c>
      <c r="C16" t="inlineStr">
        <is>
          <t>Morning Brew</t>
        </is>
      </c>
      <c r="D16" t="inlineStr">
        <is>
          <t>B-B-022</t>
        </is>
      </c>
      <c r="E16" t="inlineStr">
        <is>
          <t>22 West 19th Street</t>
        </is>
      </c>
      <c r="F16" t="inlineStr">
        <is>
          <t>3-4</t>
        </is>
      </c>
      <c r="G16" t="inlineStr">
        <is>
          <t>unknown</t>
        </is>
      </c>
      <c r="H16" t="inlineStr">
        <is>
          <t>251-500</t>
        </is>
      </c>
      <c r="I16" t="inlineStr">
        <is>
          <t>high</t>
        </is>
      </c>
      <c r="J16" t="n">
        <v>40.739399</v>
      </c>
      <c r="K16" t="n">
        <v>-73.992895</v>
      </c>
      <c r="L16" t="n">
        <v>0</v>
      </c>
      <c r="M16" t="n">
        <v>0</v>
      </c>
      <c r="N16" t="n">
        <v>0</v>
      </c>
      <c r="O16" t="inlineStr"/>
      <c r="P16" t="n">
        <v>0</v>
      </c>
      <c r="Q16" t="inlineStr"/>
      <c r="R16" t="inlineStr"/>
      <c r="S16">
        <f>$B$6</f>
        <v/>
      </c>
      <c r="T16" s="9">
        <f>$B$8</f>
        <v/>
      </c>
      <c r="U16" s="9">
        <f>T16+S16/1440</f>
        <v/>
      </c>
      <c r="V16" t="inlineStr"/>
      <c r="W16" t="inlineStr">
        <is>
          <t>estimate</t>
        </is>
      </c>
    </row>
    <row r="17">
      <c r="A17" t="n">
        <v>2</v>
      </c>
      <c r="B17" t="inlineStr">
        <is>
          <t>B-C-047</t>
        </is>
      </c>
      <c r="C17" t="inlineStr">
        <is>
          <t>The Vita Coco Company</t>
        </is>
      </c>
      <c r="D17" t="inlineStr">
        <is>
          <t>B-B-018</t>
        </is>
      </c>
      <c r="E17" t="inlineStr">
        <is>
          <t>111 Fifth Avenue</t>
        </is>
      </c>
      <c r="F17" t="inlineStr">
        <is>
          <t>2</t>
        </is>
      </c>
      <c r="G17" t="inlineStr">
        <is>
          <t>unknown</t>
        </is>
      </c>
      <c r="H17" t="inlineStr">
        <is>
          <t>251-500</t>
        </is>
      </c>
      <c r="I17" t="inlineStr">
        <is>
          <t>high</t>
        </is>
      </c>
      <c r="J17" t="n">
        <v>40.738502</v>
      </c>
      <c r="K17" t="n">
        <v>-73.991191</v>
      </c>
      <c r="L17" t="n">
        <v>236</v>
      </c>
      <c r="M17" t="n">
        <v>1</v>
      </c>
      <c r="N17" t="n">
        <v>0</v>
      </c>
      <c r="O17" t="inlineStr">
        <is>
          <t>N</t>
        </is>
      </c>
      <c r="P17">
        <f>ROUND(IF(O17="Y",$B$7,L17/$B$3+(M17*$B$4+N17*$B$5)/60),1)</f>
        <v/>
      </c>
      <c r="Q17">
        <f>IF(O17="Y","",ROUND($B$10+L17*$B$12/($B$11*1609.344/60),1))</f>
        <v/>
      </c>
      <c r="R17">
        <f>IF(Q17="","",IF(Q17&lt;P17,"Y","N"))</f>
        <v/>
      </c>
      <c r="S17">
        <f>$B$6</f>
        <v/>
      </c>
      <c r="T17" s="9">
        <f>U16+P17/1440</f>
        <v/>
      </c>
      <c r="U17" s="9">
        <f>T17+S17/1440</f>
        <v/>
      </c>
      <c r="V17" t="inlineStr"/>
      <c r="W17" t="inlineStr">
        <is>
          <t>estimate</t>
        </is>
      </c>
    </row>
    <row r="18">
      <c r="A18" t="n">
        <v>3</v>
      </c>
      <c r="B18" t="inlineStr">
        <is>
          <t>B-C-031</t>
        </is>
      </c>
      <c r="C18" t="inlineStr">
        <is>
          <t>Dashlane</t>
        </is>
      </c>
      <c r="D18" t="inlineStr">
        <is>
          <t>B-B-013</t>
        </is>
      </c>
      <c r="E18" t="inlineStr">
        <is>
          <t>44 West 18th Street</t>
        </is>
      </c>
      <c r="F18" t="inlineStr">
        <is>
          <t>4</t>
        </is>
      </c>
      <c r="G18" t="inlineStr">
        <is>
          <t>unknown</t>
        </is>
      </c>
      <c r="H18" t="inlineStr">
        <is>
          <t>251-500</t>
        </is>
      </c>
      <c r="I18" t="inlineStr">
        <is>
          <t>high</t>
        </is>
      </c>
      <c r="J18" t="n">
        <v>40.73921</v>
      </c>
      <c r="K18" t="n">
        <v>-73.994384</v>
      </c>
      <c r="L18" t="n">
        <v>337</v>
      </c>
      <c r="M18" t="n">
        <v>1</v>
      </c>
      <c r="N18" t="n">
        <v>1</v>
      </c>
      <c r="O18" t="inlineStr">
        <is>
          <t>N</t>
        </is>
      </c>
      <c r="P18">
        <f>ROUND(IF(O18="Y",$B$7,L18/$B$3+(M18*$B$4+N18*$B$5)/60),1)</f>
        <v/>
      </c>
      <c r="Q18">
        <f>IF(O18="Y","",ROUND($B$10+L18*$B$12/($B$11*1609.344/60),1))</f>
        <v/>
      </c>
      <c r="R18">
        <f>IF(Q18="","",IF(Q18&lt;P18,"Y","N"))</f>
        <v/>
      </c>
      <c r="S18">
        <f>$B$6</f>
        <v/>
      </c>
      <c r="T18" s="9">
        <f>U17+P18/1440</f>
        <v/>
      </c>
      <c r="U18" s="9">
        <f>T18+S18/1440</f>
        <v/>
      </c>
      <c r="V18" t="inlineStr"/>
      <c r="W18" t="inlineStr">
        <is>
          <t>estimate</t>
        </is>
      </c>
    </row>
    <row r="19">
      <c r="A19" t="n">
        <v>4</v>
      </c>
      <c r="B19" t="inlineStr">
        <is>
          <t>B-C-050</t>
        </is>
      </c>
      <c r="C19" t="inlineStr">
        <is>
          <t>Global Trading Systems (GTS)</t>
        </is>
      </c>
      <c r="D19" t="inlineStr">
        <is>
          <t>B-B-020</t>
        </is>
      </c>
      <c r="E19" t="inlineStr">
        <is>
          <t>625 Avenue of the Americas</t>
        </is>
      </c>
      <c r="F19" t="inlineStr">
        <is>
          <t>3</t>
        </is>
      </c>
      <c r="G19" t="inlineStr">
        <is>
          <t>unknown</t>
        </is>
      </c>
      <c r="H19" t="inlineStr">
        <is>
          <t>251-500</t>
        </is>
      </c>
      <c r="I19" t="inlineStr">
        <is>
          <t>high</t>
        </is>
      </c>
      <c r="J19" t="n">
        <v>40.740326</v>
      </c>
      <c r="K19" t="n">
        <v>-73.99520099999999</v>
      </c>
      <c r="L19" t="n">
        <v>195</v>
      </c>
      <c r="M19" t="n">
        <v>1</v>
      </c>
      <c r="N19" t="n">
        <v>1</v>
      </c>
      <c r="O19" t="inlineStr">
        <is>
          <t>N</t>
        </is>
      </c>
      <c r="P19">
        <f>ROUND(IF(O19="Y",$B$7,L19/$B$3+(M19*$B$4+N19*$B$5)/60),1)</f>
        <v/>
      </c>
      <c r="Q19">
        <f>IF(O19="Y","",ROUND($B$10+L19*$B$12/($B$11*1609.344/60),1))</f>
        <v/>
      </c>
      <c r="R19">
        <f>IF(Q19="","",IF(Q19&lt;P19,"Y","N"))</f>
        <v/>
      </c>
      <c r="S19">
        <f>$B$6</f>
        <v/>
      </c>
      <c r="T19" s="9">
        <f>U18+P19/1440</f>
        <v/>
      </c>
      <c r="U19" s="9">
        <f>T19+S19/1440</f>
        <v/>
      </c>
      <c r="V19" t="inlineStr"/>
      <c r="W19" t="inlineStr">
        <is>
          <t>estimate</t>
        </is>
      </c>
    </row>
    <row r="20">
      <c r="A20" t="n">
        <v>5</v>
      </c>
      <c r="B20" t="inlineStr">
        <is>
          <t>B-C-083</t>
        </is>
      </c>
      <c r="C20" t="inlineStr">
        <is>
          <t>CompStak</t>
        </is>
      </c>
      <c r="D20" t="inlineStr">
        <is>
          <t>B-B-038</t>
        </is>
      </c>
      <c r="E20" t="inlineStr">
        <is>
          <t>675 Avenue of the Americas</t>
        </is>
      </c>
      <c r="F20" t="inlineStr">
        <is>
          <t>4</t>
        </is>
      </c>
      <c r="G20" t="inlineStr">
        <is>
          <t>unknown</t>
        </is>
      </c>
      <c r="H20" t="inlineStr">
        <is>
          <t>76-150</t>
        </is>
      </c>
      <c r="I20" t="inlineStr">
        <is>
          <t>high</t>
        </is>
      </c>
      <c r="J20" t="n">
        <v>40.742133</v>
      </c>
      <c r="K20" t="n">
        <v>-73.99399099999999</v>
      </c>
      <c r="L20" t="n">
        <v>278</v>
      </c>
      <c r="M20" t="n">
        <v>0</v>
      </c>
      <c r="N20" t="n">
        <v>3</v>
      </c>
      <c r="O20" t="inlineStr">
        <is>
          <t>N</t>
        </is>
      </c>
      <c r="P20">
        <f>ROUND(IF(O20="Y",$B$7,L20/$B$3+(M20*$B$4+N20*$B$5)/60),1)</f>
        <v/>
      </c>
      <c r="Q20">
        <f>IF(O20="Y","",ROUND($B$10+L20*$B$12/($B$11*1609.344/60),1))</f>
        <v/>
      </c>
      <c r="R20">
        <f>IF(Q20="","",IF(Q20&lt;P20,"Y","N"))</f>
        <v/>
      </c>
      <c r="S20">
        <f>$B$6</f>
        <v/>
      </c>
      <c r="T20" s="9">
        <f>U19+P20/1440</f>
        <v/>
      </c>
      <c r="U20" s="9">
        <f>T20+S20/1440</f>
        <v/>
      </c>
      <c r="V20" t="inlineStr"/>
      <c r="W20" t="inlineStr">
        <is>
          <t>estimate</t>
        </is>
      </c>
    </row>
    <row r="21">
      <c r="A21" t="n">
        <v>6</v>
      </c>
      <c r="B21" t="inlineStr">
        <is>
          <t>B-C-085</t>
        </is>
      </c>
      <c r="C21" t="inlineStr">
        <is>
          <t>Empathy</t>
        </is>
      </c>
      <c r="D21" t="inlineStr">
        <is>
          <t>B-B-039</t>
        </is>
      </c>
      <c r="E21" t="inlineStr">
        <is>
          <t>56 West 22nd Street</t>
        </is>
      </c>
      <c r="F21" t="inlineStr">
        <is>
          <t>PH</t>
        </is>
      </c>
      <c r="G21" t="inlineStr">
        <is>
          <t>unknown</t>
        </is>
      </c>
      <c r="H21" t="inlineStr">
        <is>
          <t>151-250</t>
        </is>
      </c>
      <c r="I21" t="inlineStr">
        <is>
          <t>high</t>
        </is>
      </c>
      <c r="J21" t="n">
        <v>40.741838</v>
      </c>
      <c r="K21" t="n">
        <v>-73.992892</v>
      </c>
      <c r="L21" t="n">
        <v>163</v>
      </c>
      <c r="M21" t="n">
        <v>1</v>
      </c>
      <c r="N21" t="n">
        <v>0</v>
      </c>
      <c r="O21" t="inlineStr">
        <is>
          <t>N</t>
        </is>
      </c>
      <c r="P21">
        <f>ROUND(IF(O21="Y",$B$7,L21/$B$3+(M21*$B$4+N21*$B$5)/60),1)</f>
        <v/>
      </c>
      <c r="Q21">
        <f>IF(O21="Y","",ROUND($B$10+L21*$B$12/($B$11*1609.344/60),1))</f>
        <v/>
      </c>
      <c r="R21">
        <f>IF(Q21="","",IF(Q21&lt;P21,"Y","N"))</f>
        <v/>
      </c>
      <c r="S21">
        <f>$B$6</f>
        <v/>
      </c>
      <c r="T21" s="9">
        <f>U20+P21/1440</f>
        <v/>
      </c>
      <c r="U21" s="9">
        <f>T21+S21/1440</f>
        <v/>
      </c>
      <c r="V21" t="inlineStr"/>
      <c r="W21" t="inlineStr">
        <is>
          <t>estimate</t>
        </is>
      </c>
    </row>
    <row r="22">
      <c r="A22" t="n">
        <v>7</v>
      </c>
      <c r="B22" t="inlineStr">
        <is>
          <t>B-C-098</t>
        </is>
      </c>
      <c r="C22" t="inlineStr">
        <is>
          <t>BrainPOP</t>
        </is>
      </c>
      <c r="D22" t="inlineStr">
        <is>
          <t>B-B-048</t>
        </is>
      </c>
      <c r="E22" t="inlineStr">
        <is>
          <t>71 West 23rd Street</t>
        </is>
      </c>
      <c r="F22" t="inlineStr">
        <is>
          <t>17</t>
        </is>
      </c>
      <c r="G22" t="inlineStr">
        <is>
          <t>unknown</t>
        </is>
      </c>
      <c r="H22" t="inlineStr">
        <is>
          <t>151-250</t>
        </is>
      </c>
      <c r="I22" t="inlineStr">
        <is>
          <t>high</t>
        </is>
      </c>
      <c r="J22" t="n">
        <v>40.743043</v>
      </c>
      <c r="K22" t="n">
        <v>-73.99233</v>
      </c>
      <c r="L22" t="n">
        <v>222</v>
      </c>
      <c r="M22" t="n">
        <v>0</v>
      </c>
      <c r="N22" t="n">
        <v>2</v>
      </c>
      <c r="O22" t="inlineStr">
        <is>
          <t>N</t>
        </is>
      </c>
      <c r="P22">
        <f>ROUND(IF(O22="Y",$B$7,L22/$B$3+(M22*$B$4+N22*$B$5)/60),1)</f>
        <v/>
      </c>
      <c r="Q22">
        <f>IF(O22="Y","",ROUND($B$10+L22*$B$12/($B$11*1609.344/60),1))</f>
        <v/>
      </c>
      <c r="R22">
        <f>IF(Q22="","",IF(Q22&lt;P22,"Y","N"))</f>
        <v/>
      </c>
      <c r="S22">
        <f>$B$6</f>
        <v/>
      </c>
      <c r="T22" s="9">
        <f>U21+P22/1440</f>
        <v/>
      </c>
      <c r="U22" s="9">
        <f>T22+S22/1440</f>
        <v/>
      </c>
      <c r="V22" t="inlineStr"/>
      <c r="W22" t="inlineStr">
        <is>
          <t>estimate</t>
        </is>
      </c>
    </row>
    <row r="23">
      <c r="A23" t="n">
        <v>8</v>
      </c>
      <c r="B23" t="inlineStr">
        <is>
          <t>B-C-096</t>
        </is>
      </c>
      <c r="C23" t="inlineStr">
        <is>
          <t>Inspiren</t>
        </is>
      </c>
      <c r="D23" t="inlineStr">
        <is>
          <t>B-B-047</t>
        </is>
      </c>
      <c r="E23" t="inlineStr">
        <is>
          <t>61 West 23rd Street</t>
        </is>
      </c>
      <c r="F23" t="inlineStr">
        <is>
          <t>full floor (floor number not stated)</t>
        </is>
      </c>
      <c r="G23" t="inlineStr">
        <is>
          <t>unknown</t>
        </is>
      </c>
      <c r="H23" t="inlineStr">
        <is>
          <t>76-150</t>
        </is>
      </c>
      <c r="I23" t="inlineStr">
        <is>
          <t>high</t>
        </is>
      </c>
      <c r="J23" t="n">
        <v>40.742771</v>
      </c>
      <c r="K23" t="n">
        <v>-73.991782</v>
      </c>
      <c r="L23" t="n">
        <v>85</v>
      </c>
      <c r="M23" t="n">
        <v>0</v>
      </c>
      <c r="N23" t="n">
        <v>0</v>
      </c>
      <c r="O23" t="inlineStr">
        <is>
          <t>N</t>
        </is>
      </c>
      <c r="P23">
        <f>ROUND(IF(O23="Y",$B$7,L23/$B$3+(M23*$B$4+N23*$B$5)/60),1)</f>
        <v/>
      </c>
      <c r="Q23">
        <f>IF(O23="Y","",ROUND($B$10+L23*$B$12/($B$11*1609.344/60),1))</f>
        <v/>
      </c>
      <c r="R23">
        <f>IF(Q23="","",IF(Q23&lt;P23,"Y","N"))</f>
        <v/>
      </c>
      <c r="S23">
        <f>$B$6</f>
        <v/>
      </c>
      <c r="T23" s="9">
        <f>U22+P23/1440</f>
        <v/>
      </c>
      <c r="U23" s="9">
        <f>T23+S23/1440</f>
        <v/>
      </c>
      <c r="V23" t="inlineStr"/>
      <c r="W23" t="inlineStr">
        <is>
          <t>estimate</t>
        </is>
      </c>
    </row>
    <row r="24">
      <c r="A24" t="n">
        <v>9</v>
      </c>
      <c r="B24" t="inlineStr">
        <is>
          <t>B-C-101</t>
        </is>
      </c>
      <c r="C24" t="inlineStr">
        <is>
          <t>TripleLift</t>
        </is>
      </c>
      <c r="D24" t="inlineStr">
        <is>
          <t>B-B-050</t>
        </is>
      </c>
      <c r="E24" t="inlineStr">
        <is>
          <t>53 West 23rd Street</t>
        </is>
      </c>
      <c r="F24" t="inlineStr">
        <is>
          <t>12</t>
        </is>
      </c>
      <c r="G24" t="inlineStr">
        <is>
          <t>security desk</t>
        </is>
      </c>
      <c r="H24" t="inlineStr">
        <is>
          <t>251-500</t>
        </is>
      </c>
      <c r="I24" t="inlineStr">
        <is>
          <t>high</t>
        </is>
      </c>
      <c r="J24" t="n">
        <v>40.742807</v>
      </c>
      <c r="K24" t="n">
        <v>-73.99144699999999</v>
      </c>
      <c r="L24" t="n">
        <v>67</v>
      </c>
      <c r="M24" t="n">
        <v>0</v>
      </c>
      <c r="N24" t="n">
        <v>0</v>
      </c>
      <c r="O24" t="inlineStr">
        <is>
          <t>N</t>
        </is>
      </c>
      <c r="P24">
        <f>ROUND(IF(O24="Y",$B$7,L24/$B$3+(M24*$B$4+N24*$B$5)/60),1)</f>
        <v/>
      </c>
      <c r="Q24">
        <f>IF(O24="Y","",ROUND($B$10+L24*$B$12/($B$11*1609.344/60),1))</f>
        <v/>
      </c>
      <c r="R24">
        <f>IF(Q24="","",IF(Q24&lt;P24,"Y","N"))</f>
        <v/>
      </c>
      <c r="S24">
        <f>$B$6</f>
        <v/>
      </c>
      <c r="T24" s="9">
        <f>U23+P24/1440</f>
        <v/>
      </c>
      <c r="U24" s="9">
        <f>T24+S24/1440</f>
        <v/>
      </c>
      <c r="V24" t="inlineStr"/>
      <c r="W24" t="inlineStr">
        <is>
          <t>estimate</t>
        </is>
      </c>
    </row>
    <row r="25">
      <c r="A25" t="n">
        <v>10</v>
      </c>
      <c r="B25" t="inlineStr">
        <is>
          <t>B-C-095</t>
        </is>
      </c>
      <c r="C25" t="inlineStr">
        <is>
          <t>Foursquare</t>
        </is>
      </c>
      <c r="D25" t="inlineStr">
        <is>
          <t>B-B-046</t>
        </is>
      </c>
      <c r="E25" t="inlineStr">
        <is>
          <t>50 West 23rd Street</t>
        </is>
      </c>
      <c r="F25" t="inlineStr">
        <is>
          <t>unknown</t>
        </is>
      </c>
      <c r="G25" t="inlineStr">
        <is>
          <t>security desk</t>
        </is>
      </c>
      <c r="H25" t="inlineStr">
        <is>
          <t>251-500</t>
        </is>
      </c>
      <c r="I25" t="inlineStr">
        <is>
          <t>high</t>
        </is>
      </c>
      <c r="J25" t="n">
        <v>40.742075</v>
      </c>
      <c r="K25" t="n">
        <v>-73.991811</v>
      </c>
      <c r="L25" t="n">
        <v>313</v>
      </c>
      <c r="M25" t="n">
        <v>0</v>
      </c>
      <c r="N25" t="n">
        <v>1</v>
      </c>
      <c r="O25" t="inlineStr">
        <is>
          <t>N</t>
        </is>
      </c>
      <c r="P25">
        <f>ROUND(IF(O25="Y",$B$7,L25/$B$3+(M25*$B$4+N25*$B$5)/60),1)</f>
        <v/>
      </c>
      <c r="Q25">
        <f>IF(O25="Y","",ROUND($B$10+L25*$B$12/($B$11*1609.344/60),1))</f>
        <v/>
      </c>
      <c r="R25">
        <f>IF(Q25="","",IF(Q25&lt;P25,"Y","N"))</f>
        <v/>
      </c>
      <c r="S25">
        <f>$B$6</f>
        <v/>
      </c>
      <c r="T25" s="9">
        <f>U24+P25/1440</f>
        <v/>
      </c>
      <c r="U25" s="9">
        <f>T25+S25/1440</f>
        <v/>
      </c>
      <c r="V25" t="inlineStr"/>
      <c r="W25" t="inlineStr">
        <is>
          <t>estimate</t>
        </is>
      </c>
    </row>
    <row r="27">
      <c r="A27" s="5" t="inlineStr">
        <is>
          <t>Totals (estimates)</t>
        </is>
      </c>
    </row>
    <row r="28">
      <c r="A28" t="inlineStr">
        <is>
          <t>walking minutes</t>
        </is>
      </c>
      <c r="B28">
        <f>SUM(P16:P25)</f>
        <v/>
      </c>
    </row>
    <row r="29">
      <c r="A29" t="inlineStr">
        <is>
          <t>walking metres</t>
        </is>
      </c>
      <c r="B29">
        <f>SUM(L16:L25)</f>
        <v/>
      </c>
    </row>
    <row r="30">
      <c r="A30" t="inlineStr">
        <is>
          <t>stop minutes</t>
        </is>
      </c>
      <c r="B30">
        <f>SUM(S16:S25)</f>
        <v/>
      </c>
    </row>
    <row r="31">
      <c r="A31" t="inlineStr">
        <is>
          <t>total minutes, 08:00 to last departure</t>
        </is>
      </c>
      <c r="B31">
        <f>ROUND((U25-$B$8)*1440,0)</f>
        <v/>
      </c>
    </row>
    <row r="32">
      <c r="A32" t="inlineStr">
        <is>
          <t>finish time</t>
        </is>
      </c>
      <c r="B32" s="9">
        <f>U25</f>
        <v/>
      </c>
    </row>
    <row r="33">
      <c r="A33" t="inlineStr">
        <is>
          <t>fits 8 to 11 am?</t>
        </is>
      </c>
      <c r="B33">
        <f>IF(B31&lt;=$B$9,"fits, "&amp;($B$9-B31)&amp;" min spare","over by "&amp;(B31-$B$9)&amp;" min")</f>
        <v/>
      </c>
    </row>
    <row r="34">
      <c r="A34" t="inlineStr">
        <is>
          <t>legs where a car is faster</t>
        </is>
      </c>
      <c r="B34">
        <f>COUNTIF(R16:R25,"Y")</f>
        <v/>
      </c>
    </row>
    <row r="35">
      <c r="A35" t="inlineStr">
        <is>
          <t>total if stops took 12 min</t>
        </is>
      </c>
      <c r="B35">
        <f>ROUND(B28+12*10,0)</f>
        <v/>
      </c>
    </row>
    <row r="36">
      <c r="A36" t="inlineStr">
        <is>
          <t>total with the first nine stops only</t>
        </is>
      </c>
      <c r="B36">
        <f>ROUND(SUM(P16:P24)+9*$B$6,0)</f>
        <v/>
      </c>
    </row>
    <row r="38">
      <c r="A38" s="7" t="inlineStr">
        <is>
          <t>How to read this: stop 1 starts at 08:00. Each leg follows the street grid to the corner and across (never mid-block) at hand-truck pace, plus an expected signal wait per crossing. Each stop takes the plan's 15 minutes.</t>
        </is>
      </c>
    </row>
    <row r="39">
      <c r="A39" s="7" t="inlineStr">
        <is>
          <t>Result: 10 stops = 150 min at stops + 33.2 min walking = 183.2 min, finishing about 11:03. That is over the 3-hour window by about 3 min with no slack, even though this is the most compact high-confidence set found.</t>
        </is>
      </c>
    </row>
    <row r="40">
      <c r="A40" s="7" t="inlineStr">
        <is>
          <t>What makes ten fit: 12-minute stops at repeat offices (about 153 min), nine stops (about 163 min), more roster offices sharing a building, or splitting a ten-office drop across Tuesday and Wednesday (the plan allows both days).</t>
        </is>
      </c>
    </row>
    <row r="41">
      <c r="A41" s="7" t="inlineStr">
        <is>
          <t>Load check: ten 50-unit cases of a canned drink weigh about 200 kg (50 cans x about 0.37 kg each, by arithmetic). Check the hand truck's printed load rating; heavy products need a mid-route reload or two loops.</t>
        </is>
      </c>
    </row>
    <row r="42">
      <c r="A42" s="7" t="inlineStr">
        <is>
          <t>8 am check: a walk-up office needs a person there at 08:00. Confirm every receiving window at intake and re-order the stops to match. Security desks often send deliveries to a freight elevator or loading dock with set hours.</t>
        </is>
      </c>
    </row>
    <row r="43">
      <c r="A43" s="7" t="inlineStr">
        <is>
          <t>Lobby types: no walk-up lobby is sourced yet, so unknown-lobby buildings come first and the two sourced security-desk buildings come last. Re-run the order after the verification walk.</t>
        </is>
      </c>
    </row>
    <row r="44">
      <c r="A44" s="7" t="inlineStr">
        <is>
          <t>This is a model. The real route uses the signed roster; company names are examples only and none has been contacted.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1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50" customWidth="1" min="4" max="4"/>
    <col width="13" customWidth="1" min="5" max="5"/>
    <col width="30" customWidth="1" min="6" max="6"/>
    <col width="12" customWidth="1" min="7" max="7"/>
    <col width="12" customWidth="1" min="8" max="8"/>
    <col width="26" customWidth="1" min="9" max="9"/>
    <col width="20" customWidth="1" min="10" max="10"/>
    <col width="25" customWidth="1" min="11" max="11"/>
    <col width="22" customWidth="1" min="12" max="12"/>
    <col width="34" customWidth="1" min="13" max="13"/>
    <col width="34" customWidth="1" min="14" max="14"/>
    <col width="70" customWidth="1" min="15" max="15"/>
    <col width="22" customWidth="1" min="16" max="16"/>
    <col width="16" customWidth="1" min="17" max="17"/>
    <col width="21" customWidth="1" min="18" max="18"/>
    <col width="14" customWidth="1" min="19" max="19"/>
    <col width="18" customWidth="1" min="20" max="20"/>
    <col width="26" customWidth="1" min="21" max="21"/>
    <col width="16" customWidth="1" min="22" max="22"/>
    <col width="16" customWidth="1" min="24" max="24"/>
    <col width="16" customWidth="1" min="25" max="25"/>
    <col width="16" customWidth="1" min="26" max="26"/>
    <col width="16" customWidth="1" min="27" max="27"/>
    <col width="34" customWidth="1" min="28" max="28"/>
    <col width="34" customWidth="1" min="29" max="29"/>
  </cols>
  <sheetData>
    <row r="1">
      <c r="A1" s="1" t="inlineStr">
        <is>
          <t>session</t>
        </is>
      </c>
      <c r="B1" s="1" t="inlineStr">
        <is>
          <t>phase</t>
        </is>
      </c>
      <c r="C1" s="1" t="inlineStr">
        <is>
          <t>order</t>
        </is>
      </c>
      <c r="D1" s="1" t="inlineStr">
        <is>
          <t>stops_here</t>
        </is>
      </c>
      <c r="E1" s="1" t="inlineStr">
        <is>
          <t>stop_types</t>
        </is>
      </c>
      <c r="F1" s="1" t="inlineStr">
        <is>
          <t>street_address</t>
        </is>
      </c>
      <c r="G1" s="1" t="inlineStr">
        <is>
          <t>lat</t>
        </is>
      </c>
      <c r="H1" s="1" t="inlineStr">
        <is>
          <t>lon</t>
        </is>
      </c>
      <c r="I1" s="1" t="inlineStr">
        <is>
          <t>walk_minutes_from_previous_est</t>
        </is>
      </c>
      <c r="J1" s="1" t="inlineStr">
        <is>
          <t>dwell_minutes_est</t>
        </is>
      </c>
      <c r="K1" s="1" t="inlineStr">
        <is>
          <t>cumulative_minutes_est</t>
        </is>
      </c>
      <c r="L1" s="1" t="inlineStr">
        <is>
          <t>session_minutes_est</t>
        </is>
      </c>
      <c r="M1" s="1" t="inlineStr">
        <is>
          <t>start_point</t>
        </is>
      </c>
      <c r="N1" s="1" t="inlineStr">
        <is>
          <t>end_point</t>
        </is>
      </c>
      <c r="O1" s="1" t="inlineStr">
        <is>
          <t>verify_checklist</t>
        </is>
      </c>
      <c r="P1" s="1" t="inlineStr">
        <is>
          <t>observed_lobby_type</t>
        </is>
      </c>
      <c r="Q1" s="1" t="inlineStr">
        <is>
          <t>security_desk</t>
        </is>
      </c>
      <c r="R1" s="1" t="inlineStr">
        <is>
          <t>loading_dock_hours</t>
        </is>
      </c>
      <c r="S1" s="1" t="inlineStr">
        <is>
          <t>coi_signage</t>
        </is>
      </c>
      <c r="T1" s="1" t="inlineStr">
        <is>
          <t>receiving_hours</t>
        </is>
      </c>
      <c r="U1" s="1" t="inlineStr">
        <is>
          <t>emerging_set_photo_taken</t>
        </is>
      </c>
      <c r="V1" s="1" t="inlineStr">
        <is>
          <t>founder_notes</t>
        </is>
      </c>
      <c r="X1" s="1" t="inlineStr">
        <is>
          <t>session_summary</t>
        </is>
      </c>
      <c r="Y1" s="1" t="inlineStr">
        <is>
          <t>phase</t>
        </is>
      </c>
      <c r="Z1" s="1" t="inlineStr">
        <is>
          <t>stops</t>
        </is>
      </c>
      <c r="AA1" s="1" t="inlineStr">
        <is>
          <t>minutes_est</t>
        </is>
      </c>
      <c r="AB1" s="1" t="inlineStr">
        <is>
          <t>start_point</t>
        </is>
      </c>
      <c r="AC1" s="1" t="inlineStr">
        <is>
          <t>end_point</t>
        </is>
      </c>
    </row>
    <row r="2">
      <c r="A2" t="n">
        <v>1</v>
      </c>
      <c r="B2" t="inlineStr">
        <is>
          <t>core (inside the boundary)</t>
        </is>
      </c>
      <c r="C2" t="n">
        <v>1</v>
      </c>
      <c r="D2" s="3" t="inlineStr">
        <is>
          <t>B-R-011 Whole Foods Market Union Square</t>
        </is>
      </c>
      <c r="E2" t="inlineStr">
        <is>
          <t>retailer</t>
        </is>
      </c>
      <c r="F2" t="inlineStr">
        <is>
          <t>4 Union Square South</t>
        </is>
      </c>
      <c r="G2" t="n">
        <v>40.734649</v>
      </c>
      <c r="H2" t="n">
        <v>-73.991535</v>
      </c>
      <c r="I2" t="n">
        <v>0</v>
      </c>
      <c r="J2" t="n">
        <v>10</v>
      </c>
      <c r="K2">
        <f>I2+J2</f>
        <v/>
      </c>
      <c r="L2">
        <f>SUMIF($A$2:$A$118,A2,$I$2:$I$118)+SUMIF($A$2:$A$118,A2,$J$2:$J$118)</f>
        <v/>
      </c>
      <c r="M2" t="inlineStr">
        <is>
          <t>14 St-Union Sq (L), about 1 min walk</t>
        </is>
      </c>
      <c r="N2" t="inlineStr">
        <is>
          <t>14 St-Union Sq (N Q R W), about 3 min walk</t>
        </is>
      </c>
      <c r="O2" s="3" t="inlineStr">
        <is>
          <t>RETAILER: Store open; photo of the local or emerging snack and drink set (aisle and shelf tags); note which shelf it is in; any 'local' or 'new' shelf signage</t>
        </is>
      </c>
      <c r="P2" s="10" t="inlineStr"/>
      <c r="Q2" s="10" t="inlineStr"/>
      <c r="R2" s="10" t="inlineStr"/>
      <c r="S2" s="10" t="inlineStr"/>
      <c r="T2" s="10" t="inlineStr"/>
      <c r="U2" s="10" t="inlineStr"/>
      <c r="V2" s="10" t="inlineStr"/>
      <c r="X2" t="n">
        <v>1</v>
      </c>
      <c r="Y2" t="inlineStr">
        <is>
          <t>core (inside the boundary)</t>
        </is>
      </c>
      <c r="Z2">
        <f>COUNTIF($A$2:$A$118,X2)</f>
        <v/>
      </c>
      <c r="AA2">
        <f>ROUND(SUMIF($A$2:$A$118,X2,$I$2:$I$118)+SUMIF($A$2:$A$118,X2,$J$2:$J$118),0)</f>
        <v/>
      </c>
      <c r="AB2" t="inlineStr">
        <is>
          <t>14 St-Union Sq (L), about 1 min walk</t>
        </is>
      </c>
      <c r="AC2" t="inlineStr">
        <is>
          <t>14 St-Union Sq (N Q R W), about 3 min walk</t>
        </is>
      </c>
    </row>
    <row r="3">
      <c r="A3" t="n">
        <v>1</v>
      </c>
      <c r="B3" t="inlineStr">
        <is>
          <t>core (inside the boundary)</t>
        </is>
      </c>
      <c r="C3" t="n">
        <v>2</v>
      </c>
      <c r="D3" s="3" t="inlineStr">
        <is>
          <t>B-B-003 Spingler Building (5-9 Union Square West)</t>
        </is>
      </c>
      <c r="E3" t="inlineStr">
        <is>
          <t>building</t>
        </is>
      </c>
      <c r="F3" t="inlineStr">
        <is>
          <t>5 Union Square West</t>
        </is>
      </c>
      <c r="G3" t="n">
        <v>40.7357</v>
      </c>
      <c r="H3" t="n">
        <v>-73.991754</v>
      </c>
      <c r="I3" t="n">
        <v>2.5</v>
      </c>
      <c r="J3" t="n">
        <v>3.5</v>
      </c>
      <c r="K3">
        <f>IF(A3=A2,K2,0)+I3+J3</f>
        <v/>
      </c>
      <c r="L3">
        <f>SUMIF($A$2:$A$118,A3,$I$2:$I$118)+SUMIF($A$2:$A$118,A3,$J$2:$J$118)</f>
        <v/>
      </c>
      <c r="M3" t="inlineStr">
        <is>
          <t>14 St-Union Sq (L), about 1 min walk</t>
        </is>
      </c>
      <c r="N3" t="inlineStr">
        <is>
          <t>14 St-Union Sq (N Q R W), about 3 min walk</t>
        </is>
      </c>
      <c r="O3"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3" s="10" t="inlineStr"/>
      <c r="Q3" s="10" t="inlineStr"/>
      <c r="R3" s="10" t="inlineStr"/>
      <c r="S3" s="10" t="inlineStr"/>
      <c r="T3" s="10" t="inlineStr"/>
      <c r="U3" s="10" t="inlineStr"/>
      <c r="V3" s="10" t="inlineStr"/>
      <c r="X3" t="n">
        <v>2</v>
      </c>
      <c r="Y3" t="inlineStr">
        <is>
          <t>core (inside the boundary)</t>
        </is>
      </c>
      <c r="Z3">
        <f>COUNTIF($A$2:$A$118,X3)</f>
        <v/>
      </c>
      <c r="AA3">
        <f>ROUND(SUMIF($A$2:$A$118,X3,$I$2:$I$118)+SUMIF($A$2:$A$118,X3,$J$2:$J$118),0)</f>
        <v/>
      </c>
      <c r="AB3" t="inlineStr">
        <is>
          <t>14 St-Union Sq (4 5 6), about 4 min walk</t>
        </is>
      </c>
      <c r="AC3" t="inlineStr">
        <is>
          <t>14 St (F M), about 4 min walk</t>
        </is>
      </c>
    </row>
    <row r="4">
      <c r="A4" t="n">
        <v>1</v>
      </c>
      <c r="B4" t="inlineStr">
        <is>
          <t>core (inside the boundary)</t>
        </is>
      </c>
      <c r="C4" t="n">
        <v>3</v>
      </c>
      <c r="D4" s="3" t="inlineStr">
        <is>
          <t>B-R-007 Target Manhattan Union Square</t>
        </is>
      </c>
      <c r="E4" t="inlineStr">
        <is>
          <t>retailer</t>
        </is>
      </c>
      <c r="F4" t="inlineStr">
        <is>
          <t>10 Union Square East</t>
        </is>
      </c>
      <c r="G4" t="n">
        <v>40.73467</v>
      </c>
      <c r="H4" t="n">
        <v>-73.989158</v>
      </c>
      <c r="I4" t="n">
        <v>3.9</v>
      </c>
      <c r="J4" t="n">
        <v>3</v>
      </c>
      <c r="K4">
        <f>IF(A4=A3,K3,0)+I4+J4</f>
        <v/>
      </c>
      <c r="L4">
        <f>SUMIF($A$2:$A$118,A4,$I$2:$I$118)+SUMIF($A$2:$A$118,A4,$J$2:$J$118)</f>
        <v/>
      </c>
      <c r="M4" t="inlineStr">
        <is>
          <t>14 St-Union Sq (L), about 1 min walk</t>
        </is>
      </c>
      <c r="N4" t="inlineStr">
        <is>
          <t>14 St-Union Sq (N Q R W), about 3 min walk</t>
        </is>
      </c>
      <c r="O4" s="3" t="inlineStr">
        <is>
          <t>RETAILER: Store open; photo of the local or emerging snack and drink set (aisle and shelf tags); note which shelf it is in; any 'local' or 'new' shelf signage</t>
        </is>
      </c>
      <c r="P4" s="10" t="inlineStr"/>
      <c r="Q4" s="10" t="inlineStr"/>
      <c r="R4" s="10" t="inlineStr"/>
      <c r="S4" s="10" t="inlineStr"/>
      <c r="T4" s="10" t="inlineStr"/>
      <c r="U4" s="10" t="inlineStr"/>
      <c r="V4" s="10" t="inlineStr"/>
      <c r="X4" t="n">
        <v>3</v>
      </c>
      <c r="Y4" t="inlineStr">
        <is>
          <t>core (inside the boundary)</t>
        </is>
      </c>
      <c r="Z4">
        <f>COUNTIF($A$2:$A$118,X4)</f>
        <v/>
      </c>
      <c r="AA4">
        <f>ROUND(SUMIF($A$2:$A$118,X4,$I$2:$I$118)+SUMIF($A$2:$A$118,X4,$J$2:$J$118),0)</f>
        <v/>
      </c>
      <c r="AB4" t="inlineStr">
        <is>
          <t>18 St (1), about 4 min walk</t>
        </is>
      </c>
      <c r="AC4" t="inlineStr">
        <is>
          <t>23 St-Baruch College (6), about 2 min walk</t>
        </is>
      </c>
    </row>
    <row r="5">
      <c r="A5" t="n">
        <v>1</v>
      </c>
      <c r="B5" t="inlineStr">
        <is>
          <t>core (inside the boundary)</t>
        </is>
      </c>
      <c r="C5" t="n">
        <v>4</v>
      </c>
      <c r="D5" s="3" t="inlineStr">
        <is>
          <t>B-B-002 Zero Irving; B-W-001 Civic Hall, Union Square (Zero Irving)</t>
        </is>
      </c>
      <c r="E5" t="inlineStr">
        <is>
          <t>building; coworking</t>
        </is>
      </c>
      <c r="F5" t="inlineStr">
        <is>
          <t>124 East 14th Street</t>
        </is>
      </c>
      <c r="G5" t="n">
        <v>40.733674</v>
      </c>
      <c r="H5" t="n">
        <v>-73.988766</v>
      </c>
      <c r="I5" t="n">
        <v>2.5</v>
      </c>
      <c r="J5" t="n">
        <v>5</v>
      </c>
      <c r="K5">
        <f>IF(A5=A4,K4,0)+I5+J5</f>
        <v/>
      </c>
      <c r="L5">
        <f>SUMIF($A$2:$A$118,A5,$I$2:$I$118)+SUMIF($A$2:$A$118,A5,$J$2:$J$118)</f>
        <v/>
      </c>
      <c r="M5" t="inlineStr">
        <is>
          <t>14 St-Union Sq (L), about 1 min walk</t>
        </is>
      </c>
      <c r="N5" t="inlineStr">
        <is>
          <t>14 St-Union Sq (N Q R W), about 3 min walk</t>
        </is>
      </c>
      <c r="O5"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 || COWORKING: Operator signage in the lobby; floors listed on the directory; front-desk hours; who receives deliveries for members</t>
        </is>
      </c>
      <c r="P5" s="10" t="inlineStr"/>
      <c r="Q5" s="10" t="inlineStr"/>
      <c r="R5" s="10" t="inlineStr"/>
      <c r="S5" s="10" t="inlineStr"/>
      <c r="T5" s="10" t="inlineStr"/>
      <c r="U5" s="10" t="inlineStr"/>
      <c r="V5" s="10" t="inlineStr"/>
      <c r="X5" t="n">
        <v>4</v>
      </c>
      <c r="Y5" t="inlineStr">
        <is>
          <t>core (inside the boundary)</t>
        </is>
      </c>
      <c r="Z5">
        <f>COUNTIF($A$2:$A$118,X5)</f>
        <v/>
      </c>
      <c r="AA5">
        <f>ROUND(SUMIF($A$2:$A$118,X5,$I$2:$I$118)+SUMIF($A$2:$A$118,X5,$J$2:$J$118),0)</f>
        <v/>
      </c>
      <c r="AB5" t="inlineStr">
        <is>
          <t>23 St-Baruch College (6), about 1 min walk</t>
        </is>
      </c>
      <c r="AC5" t="inlineStr">
        <is>
          <t>28 St (6), about 2 min walk</t>
        </is>
      </c>
    </row>
    <row r="6">
      <c r="A6" t="n">
        <v>1</v>
      </c>
      <c r="B6" t="inlineStr">
        <is>
          <t>core (inside the boundary)</t>
        </is>
      </c>
      <c r="C6" t="n">
        <v>5</v>
      </c>
      <c r="D6" s="3" t="inlineStr">
        <is>
          <t>B-R-009 Trader Joe's Union Square (store 540)</t>
        </is>
      </c>
      <c r="E6" t="inlineStr">
        <is>
          <t>retailer</t>
        </is>
      </c>
      <c r="F6" t="inlineStr">
        <is>
          <t>142 East 14th Street</t>
        </is>
      </c>
      <c r="G6" t="n">
        <v>40.733327</v>
      </c>
      <c r="H6" t="n">
        <v>-73.98820499999999</v>
      </c>
      <c r="I6" t="n">
        <v>1.2</v>
      </c>
      <c r="J6" t="n">
        <v>3</v>
      </c>
      <c r="K6">
        <f>IF(A6=A5,K5,0)+I6+J6</f>
        <v/>
      </c>
      <c r="L6">
        <f>SUMIF($A$2:$A$118,A6,$I$2:$I$118)+SUMIF($A$2:$A$118,A6,$J$2:$J$118)</f>
        <v/>
      </c>
      <c r="M6" t="inlineStr">
        <is>
          <t>14 St-Union Sq (L), about 1 min walk</t>
        </is>
      </c>
      <c r="N6" t="inlineStr">
        <is>
          <t>14 St-Union Sq (N Q R W), about 3 min walk</t>
        </is>
      </c>
      <c r="O6" s="3" t="inlineStr">
        <is>
          <t>RETAILER: Store open; photo of the local or emerging snack and drink set (aisle and shelf tags); note which shelf it is in; any 'local' or 'new' shelf signage</t>
        </is>
      </c>
      <c r="P6" s="10" t="inlineStr"/>
      <c r="Q6" s="10" t="inlineStr"/>
      <c r="R6" s="10" t="inlineStr"/>
      <c r="S6" s="10" t="inlineStr"/>
      <c r="T6" s="10" t="inlineStr"/>
      <c r="U6" s="10" t="inlineStr"/>
      <c r="V6" s="10" t="inlineStr"/>
      <c r="X6" t="n">
        <v>5</v>
      </c>
      <c r="Y6" t="inlineStr">
        <is>
          <t>core (inside the boundary)</t>
        </is>
      </c>
      <c r="Z6">
        <f>COUNTIF($A$2:$A$118,X6)</f>
        <v/>
      </c>
      <c r="AA6">
        <f>ROUND(SUMIF($A$2:$A$118,X6,$I$2:$I$118)+SUMIF($A$2:$A$118,X6,$J$2:$J$118),0)</f>
        <v/>
      </c>
      <c r="AB6" t="inlineStr">
        <is>
          <t>28 St (6), about 2 min walk</t>
        </is>
      </c>
      <c r="AC6" t="inlineStr">
        <is>
          <t>23 St-Baruch College (6), about 2 min walk</t>
        </is>
      </c>
    </row>
    <row r="7">
      <c r="A7" t="n">
        <v>1</v>
      </c>
      <c r="B7" t="inlineStr">
        <is>
          <t>core (inside the boundary)</t>
        </is>
      </c>
      <c r="C7" t="n">
        <v>6</v>
      </c>
      <c r="D7" s="3" t="inlineStr">
        <is>
          <t>B-B-001 853 Broadway (Union Building)</t>
        </is>
      </c>
      <c r="E7" t="inlineStr">
        <is>
          <t>building</t>
        </is>
      </c>
      <c r="F7" t="inlineStr">
        <is>
          <t>853 Broadway</t>
        </is>
      </c>
      <c r="G7" t="n">
        <v>40.734626</v>
      </c>
      <c r="H7" t="n">
        <v>-73.9911</v>
      </c>
      <c r="I7" t="n">
        <v>4.3</v>
      </c>
      <c r="J7" t="n">
        <v>6</v>
      </c>
      <c r="K7">
        <f>IF(A7=A6,K6,0)+I7+J7</f>
        <v/>
      </c>
      <c r="L7">
        <f>SUMIF($A$2:$A$118,A7,$I$2:$I$118)+SUMIF($A$2:$A$118,A7,$J$2:$J$118)</f>
        <v/>
      </c>
      <c r="M7" t="inlineStr">
        <is>
          <t>14 St-Union Sq (L), about 1 min walk</t>
        </is>
      </c>
      <c r="N7" t="inlineStr">
        <is>
          <t>14 St-Union Sq (N Q R W), about 3 min walk</t>
        </is>
      </c>
      <c r="O7"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7" s="10" t="inlineStr"/>
      <c r="Q7" s="10" t="inlineStr"/>
      <c r="R7" s="10" t="inlineStr"/>
      <c r="S7" s="10" t="inlineStr"/>
      <c r="T7" s="10" t="inlineStr"/>
      <c r="U7" s="10" t="inlineStr"/>
      <c r="V7" s="10" t="inlineStr"/>
      <c r="X7" t="n">
        <v>6</v>
      </c>
      <c r="Y7" t="inlineStr">
        <is>
          <t>core (inside the boundary)</t>
        </is>
      </c>
      <c r="Z7">
        <f>COUNTIF($A$2:$A$118,X7)</f>
        <v/>
      </c>
      <c r="AA7">
        <f>ROUND(SUMIF($A$2:$A$118,X7,$I$2:$I$118)+SUMIF($A$2:$A$118,X7,$J$2:$J$118),0)</f>
        <v/>
      </c>
      <c r="AB7" t="inlineStr">
        <is>
          <t>23 St (R W), about 4 min walk</t>
        </is>
      </c>
      <c r="AC7" t="inlineStr">
        <is>
          <t>23 St (F M), about 4 min walk</t>
        </is>
      </c>
    </row>
    <row r="8">
      <c r="A8" t="n">
        <v>1</v>
      </c>
      <c r="B8" t="inlineStr">
        <is>
          <t>core (inside the boundary)</t>
        </is>
      </c>
      <c r="C8" t="n">
        <v>7</v>
      </c>
      <c r="D8" s="3" t="inlineStr">
        <is>
          <t>B-R-002 Eden Gourmet Marketplace Union Square (formerly Garden of Eden)</t>
        </is>
      </c>
      <c r="E8" t="inlineStr">
        <is>
          <t>retailer</t>
        </is>
      </c>
      <c r="F8" t="inlineStr">
        <is>
          <t>7 East 14th Street</t>
        </is>
      </c>
      <c r="G8" t="n">
        <v>40.735814</v>
      </c>
      <c r="H8" t="n">
        <v>-73.992541</v>
      </c>
      <c r="I8" t="n">
        <v>3.3</v>
      </c>
      <c r="J8" t="n">
        <v>6</v>
      </c>
      <c r="K8">
        <f>IF(A8=A7,K7,0)+I8+J8</f>
        <v/>
      </c>
      <c r="L8">
        <f>SUMIF($A$2:$A$118,A8,$I$2:$I$118)+SUMIF($A$2:$A$118,A8,$J$2:$J$118)</f>
        <v/>
      </c>
      <c r="M8" t="inlineStr">
        <is>
          <t>14 St-Union Sq (L), about 1 min walk</t>
        </is>
      </c>
      <c r="N8" t="inlineStr">
        <is>
          <t>14 St-Union Sq (N Q R W), about 3 min walk</t>
        </is>
      </c>
      <c r="O8" s="3" t="inlineStr">
        <is>
          <t>RETAILER: Store open; photo of the local or emerging snack and drink set (aisle and shelf tags); note which shelf it is in; any 'local' or 'new' shelf signage</t>
        </is>
      </c>
      <c r="P8" s="10" t="inlineStr"/>
      <c r="Q8" s="10" t="inlineStr"/>
      <c r="R8" s="10" t="inlineStr"/>
      <c r="S8" s="10" t="inlineStr"/>
      <c r="T8" s="10" t="inlineStr"/>
      <c r="U8" s="10" t="inlineStr"/>
      <c r="V8" s="10" t="inlineStr"/>
      <c r="X8" t="n">
        <v>7</v>
      </c>
      <c r="Y8" t="inlineStr">
        <is>
          <t>core (inside the boundary)</t>
        </is>
      </c>
      <c r="Z8">
        <f>COUNTIF($A$2:$A$118,X8)</f>
        <v/>
      </c>
      <c r="AA8">
        <f>ROUND(SUMIF($A$2:$A$118,X8,$I$2:$I$118)+SUMIF($A$2:$A$118,X8,$J$2:$J$118),0)</f>
        <v/>
      </c>
      <c r="AB8" t="inlineStr">
        <is>
          <t>23 St (F M), about 1 min walk</t>
        </is>
      </c>
      <c r="AC8" t="inlineStr">
        <is>
          <t>28 St (R W), about 1 min walk</t>
        </is>
      </c>
    </row>
    <row r="9">
      <c r="A9" t="n">
        <v>1</v>
      </c>
      <c r="B9" t="inlineStr">
        <is>
          <t>core (inside the boundary)</t>
        </is>
      </c>
      <c r="C9" t="n">
        <v>8</v>
      </c>
      <c r="D9" s="3" t="inlineStr">
        <is>
          <t>B-B-004 71 Fifth Avenue</t>
        </is>
      </c>
      <c r="E9" t="inlineStr">
        <is>
          <t>building</t>
        </is>
      </c>
      <c r="F9" t="inlineStr">
        <is>
          <t>71 Fifth Avenue</t>
        </is>
      </c>
      <c r="G9" t="n">
        <v>40.736357</v>
      </c>
      <c r="H9" t="n">
        <v>-73.992824</v>
      </c>
      <c r="I9" t="n">
        <v>2.8</v>
      </c>
      <c r="J9" t="n">
        <v>3</v>
      </c>
      <c r="K9">
        <f>IF(A9=A8,K8,0)+I9+J9</f>
        <v/>
      </c>
      <c r="L9">
        <f>SUMIF($A$2:$A$118,A9,$I$2:$I$118)+SUMIF($A$2:$A$118,A9,$J$2:$J$118)</f>
        <v/>
      </c>
      <c r="M9" t="inlineStr">
        <is>
          <t>14 St-Union Sq (L), about 1 min walk</t>
        </is>
      </c>
      <c r="N9" t="inlineStr">
        <is>
          <t>14 St-Union Sq (N Q R W), about 3 min walk</t>
        </is>
      </c>
      <c r="O9"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9" s="10" t="inlineStr"/>
      <c r="Q9" s="10" t="inlineStr"/>
      <c r="R9" s="10" t="inlineStr"/>
      <c r="S9" s="10" t="inlineStr"/>
      <c r="T9" s="10" t="inlineStr"/>
      <c r="U9" s="10" t="inlineStr"/>
      <c r="V9" s="10" t="inlineStr"/>
      <c r="X9" t="n">
        <v>8</v>
      </c>
      <c r="Y9" t="inlineStr">
        <is>
          <t>core (inside the boundary)</t>
        </is>
      </c>
      <c r="Z9">
        <f>COUNTIF($A$2:$A$118,X9)</f>
        <v/>
      </c>
      <c r="AA9">
        <f>ROUND(SUMIF($A$2:$A$118,X9,$I$2:$I$118)+SUMIF($A$2:$A$118,X9,$J$2:$J$118),0)</f>
        <v/>
      </c>
      <c r="AB9" t="inlineStr">
        <is>
          <t>28 St (R W), about 2 min walk</t>
        </is>
      </c>
      <c r="AC9" t="inlineStr">
        <is>
          <t>23 St (F M), about 2 min walk</t>
        </is>
      </c>
    </row>
    <row r="10">
      <c r="A10" t="n">
        <v>1</v>
      </c>
      <c r="B10" t="inlineStr">
        <is>
          <t>core (inside the boundary)</t>
        </is>
      </c>
      <c r="C10" t="n">
        <v>9</v>
      </c>
      <c r="D10" s="3" t="inlineStr">
        <is>
          <t>B-B-005 19 Union Square West</t>
        </is>
      </c>
      <c r="E10" t="inlineStr">
        <is>
          <t>building</t>
        </is>
      </c>
      <c r="F10" t="inlineStr">
        <is>
          <t>19 Union Square West</t>
        </is>
      </c>
      <c r="G10" t="n">
        <v>40.736171</v>
      </c>
      <c r="H10" t="n">
        <v>-73.991456</v>
      </c>
      <c r="I10" t="n">
        <v>3.3</v>
      </c>
      <c r="J10" t="n">
        <v>3</v>
      </c>
      <c r="K10">
        <f>IF(A10=A9,K9,0)+I10+J10</f>
        <v/>
      </c>
      <c r="L10">
        <f>SUMIF($A$2:$A$118,A10,$I$2:$I$118)+SUMIF($A$2:$A$118,A10,$J$2:$J$118)</f>
        <v/>
      </c>
      <c r="M10" t="inlineStr">
        <is>
          <t>14 St-Union Sq (L), about 1 min walk</t>
        </is>
      </c>
      <c r="N10" t="inlineStr">
        <is>
          <t>14 St-Union Sq (N Q R W), about 3 min walk</t>
        </is>
      </c>
      <c r="O10"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10" s="10" t="inlineStr"/>
      <c r="Q10" s="10" t="inlineStr"/>
      <c r="R10" s="10" t="inlineStr"/>
      <c r="S10" s="10" t="inlineStr"/>
      <c r="T10" s="10" t="inlineStr"/>
      <c r="U10" s="10" t="inlineStr"/>
      <c r="V10" s="10" t="inlineStr"/>
      <c r="X10" t="n">
        <v>9</v>
      </c>
      <c r="Y10" t="inlineStr">
        <is>
          <t>outer retailers (within ten blocks)</t>
        </is>
      </c>
      <c r="Z10">
        <f>COUNTIF($A$2:$A$118,X10)</f>
        <v/>
      </c>
      <c r="AA10">
        <f>ROUND(SUMIF($A$2:$A$118,X10,$I$2:$I$118)+SUMIF($A$2:$A$118,X10,$J$2:$J$118),0)</f>
        <v/>
      </c>
      <c r="AB10" t="inlineStr">
        <is>
          <t>W 4 St-Wash Sq (A C E), about 3 min walk</t>
        </is>
      </c>
      <c r="AC10" t="inlineStr">
        <is>
          <t>23 St (C E), about 1 min walk</t>
        </is>
      </c>
    </row>
    <row r="11">
      <c r="A11" t="n">
        <v>1</v>
      </c>
      <c r="B11" t="inlineStr">
        <is>
          <t>core (inside the boundary)</t>
        </is>
      </c>
      <c r="C11" t="n">
        <v>10</v>
      </c>
      <c r="D11" s="3" t="inlineStr">
        <is>
          <t>B-B-011 860 Broadway; B-W-003 Industrious Union Square on Broadway</t>
        </is>
      </c>
      <c r="E11" t="inlineStr">
        <is>
          <t>building; coworking</t>
        </is>
      </c>
      <c r="F11" t="inlineStr">
        <is>
          <t>860 Broadway</t>
        </is>
      </c>
      <c r="G11" t="n">
        <v>40.737158</v>
      </c>
      <c r="H11" t="n">
        <v>-73.989808</v>
      </c>
      <c r="I11" t="n">
        <v>3.7</v>
      </c>
      <c r="J11" t="n">
        <v>4.5</v>
      </c>
      <c r="K11">
        <f>IF(A11=A10,K10,0)+I11+J11</f>
        <v/>
      </c>
      <c r="L11">
        <f>SUMIF($A$2:$A$118,A11,$I$2:$I$118)+SUMIF($A$2:$A$118,A11,$J$2:$J$118)</f>
        <v/>
      </c>
      <c r="M11" t="inlineStr">
        <is>
          <t>14 St-Union Sq (L), about 1 min walk</t>
        </is>
      </c>
      <c r="N11" t="inlineStr">
        <is>
          <t>14 St-Union Sq (N Q R W), about 3 min walk</t>
        </is>
      </c>
      <c r="O11"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 || COWORKING: Operator signage in the lobby; floors listed on the directory; front-desk hours; who receives deliveries for members</t>
        </is>
      </c>
      <c r="P11" s="10" t="inlineStr"/>
      <c r="Q11" s="10" t="inlineStr"/>
      <c r="R11" s="10" t="inlineStr"/>
      <c r="S11" s="10" t="inlineStr"/>
      <c r="T11" s="10" t="inlineStr"/>
      <c r="U11" s="10" t="inlineStr"/>
      <c r="V11" s="10" t="inlineStr"/>
      <c r="X11" t="n">
        <v>10</v>
      </c>
      <c r="Y11" t="inlineStr">
        <is>
          <t>outer retailers (within ten blocks)</t>
        </is>
      </c>
      <c r="Z11">
        <f>COUNTIF($A$2:$A$118,X11)</f>
        <v/>
      </c>
      <c r="AA11">
        <f>ROUND(SUMIF($A$2:$A$118,X11,$I$2:$I$118)+SUMIF($A$2:$A$118,X11,$J$2:$J$118),0)</f>
        <v/>
      </c>
      <c r="AB11" t="inlineStr">
        <is>
          <t>23 St (1), about 2 min walk</t>
        </is>
      </c>
      <c r="AC11" t="inlineStr">
        <is>
          <t>33 St (6), about 9 min walk</t>
        </is>
      </c>
    </row>
    <row r="12">
      <c r="A12" t="n">
        <v>2</v>
      </c>
      <c r="B12" t="inlineStr">
        <is>
          <t>core (inside the boundary)</t>
        </is>
      </c>
      <c r="C12" t="n">
        <v>11</v>
      </c>
      <c r="D12" s="3" t="inlineStr">
        <is>
          <t>B-B-016 215 Park Avenue South (SL Green managed); B-W-005 Industrious Union Square on Park</t>
        </is>
      </c>
      <c r="E12" t="inlineStr">
        <is>
          <t>building; coworking</t>
        </is>
      </c>
      <c r="F12" t="inlineStr">
        <is>
          <t>215 Park Avenue South</t>
        </is>
      </c>
      <c r="G12" t="n">
        <v>40.736801</v>
      </c>
      <c r="H12" t="n">
        <v>-73.98824999999999</v>
      </c>
      <c r="I12" t="n">
        <v>0</v>
      </c>
      <c r="J12" t="n">
        <v>7</v>
      </c>
      <c r="K12">
        <f>IF(A12=A11,K11,0)+I12+J12</f>
        <v/>
      </c>
      <c r="L12">
        <f>SUMIF($A$2:$A$118,A12,$I$2:$I$118)+SUMIF($A$2:$A$118,A12,$J$2:$J$118)</f>
        <v/>
      </c>
      <c r="M12" t="inlineStr">
        <is>
          <t>14 St-Union Sq (4 5 6), about 4 min walk</t>
        </is>
      </c>
      <c r="N12" t="inlineStr">
        <is>
          <t>14 St (F M), about 4 min walk</t>
        </is>
      </c>
      <c r="O12"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 || COWORKING: Operator signage in the lobby; floors listed on the directory; front-desk hours; who receives deliveries for members</t>
        </is>
      </c>
      <c r="P12" s="10" t="inlineStr"/>
      <c r="Q12" s="10" t="inlineStr"/>
      <c r="R12" s="10" t="inlineStr"/>
      <c r="S12" s="10" t="inlineStr"/>
      <c r="T12" s="10" t="inlineStr"/>
      <c r="U12" s="10" t="inlineStr"/>
      <c r="V12" s="10" t="inlineStr"/>
      <c r="X12" t="n">
        <v>11</v>
      </c>
      <c r="Y12" t="inlineStr">
        <is>
          <t>outer retailers (within ten blocks)</t>
        </is>
      </c>
      <c r="Z12">
        <f>COUNTIF($A$2:$A$118,X12)</f>
        <v/>
      </c>
      <c r="AA12">
        <f>ROUND(SUMIF($A$2:$A$118,X12,$I$2:$I$118)+SUMIF($A$2:$A$118,X12,$J$2:$J$118),0)</f>
        <v/>
      </c>
      <c r="AB12" t="inlineStr">
        <is>
          <t>28 St (6), about 9 min walk</t>
        </is>
      </c>
      <c r="AC12" t="inlineStr">
        <is>
          <t>Astor Pl (6), about 1 min walk</t>
        </is>
      </c>
    </row>
    <row r="13">
      <c r="A13" t="n">
        <v>2</v>
      </c>
      <c r="B13" t="inlineStr">
        <is>
          <t>core (inside the boundary)</t>
        </is>
      </c>
      <c r="C13" t="n">
        <v>12</v>
      </c>
      <c r="D13" s="3" t="inlineStr">
        <is>
          <t>B-B-019 37 East 18th Street (Zar Property NY)</t>
        </is>
      </c>
      <c r="E13" t="inlineStr">
        <is>
          <t>building</t>
        </is>
      </c>
      <c r="F13" t="inlineStr">
        <is>
          <t>37 East 18th Street</t>
        </is>
      </c>
      <c r="G13" t="n">
        <v>40.737722</v>
      </c>
      <c r="H13" t="n">
        <v>-73.989367</v>
      </c>
      <c r="I13" t="n">
        <v>3.1</v>
      </c>
      <c r="J13" t="n">
        <v>3.5</v>
      </c>
      <c r="K13">
        <f>IF(A13=A12,K12,0)+I13+J13</f>
        <v/>
      </c>
      <c r="L13">
        <f>SUMIF($A$2:$A$118,A13,$I$2:$I$118)+SUMIF($A$2:$A$118,A13,$J$2:$J$118)</f>
        <v/>
      </c>
      <c r="M13" t="inlineStr">
        <is>
          <t>14 St-Union Sq (4 5 6), about 4 min walk</t>
        </is>
      </c>
      <c r="N13" t="inlineStr">
        <is>
          <t>14 St (F M), about 4 min walk</t>
        </is>
      </c>
      <c r="O13"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13" s="10" t="inlineStr"/>
      <c r="Q13" s="10" t="inlineStr"/>
      <c r="R13" s="10" t="inlineStr"/>
      <c r="S13" s="10" t="inlineStr"/>
      <c r="T13" s="10" t="inlineStr"/>
      <c r="U13" s="10" t="inlineStr"/>
      <c r="V13" s="10" t="inlineStr"/>
      <c r="X13" t="inlineStr">
        <is>
          <t>total</t>
        </is>
      </c>
      <c r="Z13">
        <f>SUM(Z2:Z12)</f>
        <v/>
      </c>
      <c r="AA13">
        <f>SUM(AA2:AA12)</f>
        <v/>
      </c>
    </row>
    <row r="14">
      <c r="A14" t="n">
        <v>2</v>
      </c>
      <c r="B14" t="inlineStr">
        <is>
          <t>core (inside the boundary)</t>
        </is>
      </c>
      <c r="C14" t="n">
        <v>13</v>
      </c>
      <c r="D14" s="3" t="inlineStr">
        <is>
          <t>B-B-012 101 Fifth Avenue</t>
        </is>
      </c>
      <c r="E14" t="inlineStr">
        <is>
          <t>building</t>
        </is>
      </c>
      <c r="F14" t="inlineStr">
        <is>
          <t>101 Fifth Avenue</t>
        </is>
      </c>
      <c r="G14" t="n">
        <v>40.738006</v>
      </c>
      <c r="H14" t="n">
        <v>-73.99176199999999</v>
      </c>
      <c r="I14" t="n">
        <v>4.9</v>
      </c>
      <c r="J14" t="n">
        <v>3.5</v>
      </c>
      <c r="K14">
        <f>IF(A14=A13,K13,0)+I14+J14</f>
        <v/>
      </c>
      <c r="L14">
        <f>SUMIF($A$2:$A$118,A14,$I$2:$I$118)+SUMIF($A$2:$A$118,A14,$J$2:$J$118)</f>
        <v/>
      </c>
      <c r="M14" t="inlineStr">
        <is>
          <t>14 St-Union Sq (4 5 6), about 4 min walk</t>
        </is>
      </c>
      <c r="N14" t="inlineStr">
        <is>
          <t>14 St (F M), about 4 min walk</t>
        </is>
      </c>
      <c r="O14"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14" s="10" t="inlineStr"/>
      <c r="Q14" s="10" t="inlineStr"/>
      <c r="R14" s="10" t="inlineStr"/>
      <c r="S14" s="10" t="inlineStr"/>
      <c r="T14" s="10" t="inlineStr"/>
      <c r="U14" s="10" t="inlineStr"/>
      <c r="V14" s="10" t="inlineStr"/>
      <c r="X14" s="7" t="inlineStr">
        <is>
          <t>Times are estimates: walking at 73 m/min (MUTCD 4 ft/s) plus signal waits, and the dwell rule in Method. Fill the grey founder columns on foot.</t>
        </is>
      </c>
    </row>
    <row r="15">
      <c r="A15" t="n">
        <v>2</v>
      </c>
      <c r="B15" t="inlineStr">
        <is>
          <t>core (inside the boundary)</t>
        </is>
      </c>
      <c r="C15" t="n">
        <v>14</v>
      </c>
      <c r="D15" s="3" t="inlineStr">
        <is>
          <t>B-B-008 26 West 17th Street</t>
        </is>
      </c>
      <c r="E15" t="inlineStr">
        <is>
          <t>building</t>
        </is>
      </c>
      <c r="F15" t="inlineStr">
        <is>
          <t>26 West 17th Street</t>
        </is>
      </c>
      <c r="G15" t="n">
        <v>40.738405</v>
      </c>
      <c r="H15" t="n">
        <v>-73.99393999999999</v>
      </c>
      <c r="I15" t="n">
        <v>3.9</v>
      </c>
      <c r="J15" t="n">
        <v>3.5</v>
      </c>
      <c r="K15">
        <f>IF(A15=A14,K14,0)+I15+J15</f>
        <v/>
      </c>
      <c r="L15">
        <f>SUMIF($A$2:$A$118,A15,$I$2:$I$118)+SUMIF($A$2:$A$118,A15,$J$2:$J$118)</f>
        <v/>
      </c>
      <c r="M15" t="inlineStr">
        <is>
          <t>14 St-Union Sq (4 5 6), about 4 min walk</t>
        </is>
      </c>
      <c r="N15" t="inlineStr">
        <is>
          <t>14 St (F M), about 4 min walk</t>
        </is>
      </c>
      <c r="O15"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15" s="10" t="inlineStr"/>
      <c r="Q15" s="10" t="inlineStr"/>
      <c r="R15" s="10" t="inlineStr"/>
      <c r="S15" s="10" t="inlineStr"/>
      <c r="T15" s="10" t="inlineStr"/>
      <c r="U15" s="10" t="inlineStr"/>
      <c r="V15" s="10" t="inlineStr"/>
    </row>
    <row r="16">
      <c r="A16" t="n">
        <v>2</v>
      </c>
      <c r="B16" t="inlineStr">
        <is>
          <t>core (inside the boundary)</t>
        </is>
      </c>
      <c r="C16" t="n">
        <v>15</v>
      </c>
      <c r="D16" s="3" t="inlineStr">
        <is>
          <t>B-B-007 79 Fifth Avenue</t>
        </is>
      </c>
      <c r="E16" t="inlineStr">
        <is>
          <t>building</t>
        </is>
      </c>
      <c r="F16" t="inlineStr">
        <is>
          <t>79 Fifth Avenue</t>
        </is>
      </c>
      <c r="G16" t="n">
        <v>40.736971</v>
      </c>
      <c r="H16" t="n">
        <v>-73.992389</v>
      </c>
      <c r="I16" t="n">
        <v>4.4</v>
      </c>
      <c r="J16" t="n">
        <v>3</v>
      </c>
      <c r="K16">
        <f>IF(A16=A15,K15,0)+I16+J16</f>
        <v/>
      </c>
      <c r="L16">
        <f>SUMIF($A$2:$A$118,A16,$I$2:$I$118)+SUMIF($A$2:$A$118,A16,$J$2:$J$118)</f>
        <v/>
      </c>
      <c r="M16" t="inlineStr">
        <is>
          <t>14 St-Union Sq (4 5 6), about 4 min walk</t>
        </is>
      </c>
      <c r="N16" t="inlineStr">
        <is>
          <t>14 St (F M), about 4 min walk</t>
        </is>
      </c>
      <c r="O16"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16" s="10" t="inlineStr"/>
      <c r="Q16" s="10" t="inlineStr"/>
      <c r="R16" s="10" t="inlineStr"/>
      <c r="S16" s="10" t="inlineStr"/>
      <c r="T16" s="10" t="inlineStr"/>
      <c r="U16" s="10" t="inlineStr"/>
      <c r="V16" s="10" t="inlineStr"/>
    </row>
    <row r="17">
      <c r="A17" t="n">
        <v>2</v>
      </c>
      <c r="B17" t="inlineStr">
        <is>
          <t>core (inside the boundary)</t>
        </is>
      </c>
      <c r="C17" t="n">
        <v>16</v>
      </c>
      <c r="D17" s="3" t="inlineStr">
        <is>
          <t>B-B-006 100-104 Fifth Avenue</t>
        </is>
      </c>
      <c r="E17" t="inlineStr">
        <is>
          <t>building</t>
        </is>
      </c>
      <c r="F17" t="inlineStr">
        <is>
          <t>100 Fifth Avenue</t>
        </is>
      </c>
      <c r="G17" t="n">
        <v>40.737051</v>
      </c>
      <c r="H17" t="n">
        <v>-73.993359</v>
      </c>
      <c r="I17" t="n">
        <v>1.9</v>
      </c>
      <c r="J17" t="n">
        <v>4</v>
      </c>
      <c r="K17">
        <f>IF(A17=A16,K16,0)+I17+J17</f>
        <v/>
      </c>
      <c r="L17">
        <f>SUMIF($A$2:$A$118,A17,$I$2:$I$118)+SUMIF($A$2:$A$118,A17,$J$2:$J$118)</f>
        <v/>
      </c>
      <c r="M17" t="inlineStr">
        <is>
          <t>14 St-Union Sq (4 5 6), about 4 min walk</t>
        </is>
      </c>
      <c r="N17" t="inlineStr">
        <is>
          <t>14 St (F M), about 4 min walk</t>
        </is>
      </c>
      <c r="O17"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17" s="10" t="inlineStr"/>
      <c r="Q17" s="10" t="inlineStr"/>
      <c r="R17" s="10" t="inlineStr"/>
      <c r="S17" s="10" t="inlineStr"/>
      <c r="T17" s="10" t="inlineStr"/>
      <c r="U17" s="10" t="inlineStr"/>
      <c r="V17" s="10" t="inlineStr"/>
    </row>
    <row r="18">
      <c r="A18" t="n">
        <v>2</v>
      </c>
      <c r="B18" t="inlineStr">
        <is>
          <t>core (inside the boundary)</t>
        </is>
      </c>
      <c r="C18" t="n">
        <v>17</v>
      </c>
      <c r="D18" s="3" t="inlineStr">
        <is>
          <t>B-B-009 114 Fifth Avenue; B-W-002 Hub Seventeen, 114 Fifth Avenue</t>
        </is>
      </c>
      <c r="E18" t="inlineStr">
        <is>
          <t>building; coworking</t>
        </is>
      </c>
      <c r="F18" t="inlineStr">
        <is>
          <t>114 Fifth Avenue</t>
        </is>
      </c>
      <c r="G18" t="n">
        <v>40.737923</v>
      </c>
      <c r="H18" t="n">
        <v>-73.992752</v>
      </c>
      <c r="I18" t="n">
        <v>2.3</v>
      </c>
      <c r="J18" t="n">
        <v>4</v>
      </c>
      <c r="K18">
        <f>IF(A18=A17,K17,0)+I18+J18</f>
        <v/>
      </c>
      <c r="L18">
        <f>SUMIF($A$2:$A$118,A18,$I$2:$I$118)+SUMIF($A$2:$A$118,A18,$J$2:$J$118)</f>
        <v/>
      </c>
      <c r="M18" t="inlineStr">
        <is>
          <t>14 St-Union Sq (4 5 6), about 4 min walk</t>
        </is>
      </c>
      <c r="N18" t="inlineStr">
        <is>
          <t>14 St (F M), about 4 min walk</t>
        </is>
      </c>
      <c r="O18"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 || COWORKING: Operator signage in the lobby; floors listed on the directory; front-desk hours; who receives deliveries for members</t>
        </is>
      </c>
      <c r="P18" s="10" t="inlineStr"/>
      <c r="Q18" s="10" t="inlineStr"/>
      <c r="R18" s="10" t="inlineStr"/>
      <c r="S18" s="10" t="inlineStr"/>
      <c r="T18" s="10" t="inlineStr"/>
      <c r="U18" s="10" t="inlineStr"/>
      <c r="V18" s="10" t="inlineStr"/>
    </row>
    <row r="19">
      <c r="A19" t="n">
        <v>2</v>
      </c>
      <c r="B19" t="inlineStr">
        <is>
          <t>core (inside the boundary)</t>
        </is>
      </c>
      <c r="C19" t="n">
        <v>18</v>
      </c>
      <c r="D19" s="3" t="inlineStr">
        <is>
          <t>B-B-010 120 Fifth Avenue</t>
        </is>
      </c>
      <c r="E19" t="inlineStr">
        <is>
          <t>building</t>
        </is>
      </c>
      <c r="F19" t="inlineStr">
        <is>
          <t>120 Fifth Avenue</t>
        </is>
      </c>
      <c r="G19" t="n">
        <v>40.738186</v>
      </c>
      <c r="H19" t="n">
        <v>-73.992429</v>
      </c>
      <c r="I19" t="n">
        <v>1.2</v>
      </c>
      <c r="J19" t="n">
        <v>5</v>
      </c>
      <c r="K19">
        <f>IF(A19=A18,K18,0)+I19+J19</f>
        <v/>
      </c>
      <c r="L19">
        <f>SUMIF($A$2:$A$118,A19,$I$2:$I$118)+SUMIF($A$2:$A$118,A19,$J$2:$J$118)</f>
        <v/>
      </c>
      <c r="M19" t="inlineStr">
        <is>
          <t>14 St-Union Sq (4 5 6), about 4 min walk</t>
        </is>
      </c>
      <c r="N19" t="inlineStr">
        <is>
          <t>14 St (F M), about 4 min walk</t>
        </is>
      </c>
      <c r="O19"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19" s="10" t="inlineStr"/>
      <c r="Q19" s="10" t="inlineStr"/>
      <c r="R19" s="10" t="inlineStr"/>
      <c r="S19" s="10" t="inlineStr"/>
      <c r="T19" s="10" t="inlineStr"/>
      <c r="U19" s="10" t="inlineStr"/>
      <c r="V19" s="10" t="inlineStr"/>
    </row>
    <row r="20">
      <c r="A20" t="n">
        <v>2</v>
      </c>
      <c r="B20" t="inlineStr">
        <is>
          <t>core (inside the boundary)</t>
        </is>
      </c>
      <c r="C20" t="n">
        <v>19</v>
      </c>
      <c r="D20" s="3" t="inlineStr">
        <is>
          <t>B-R-005 Sunac (4 West 18th St)</t>
        </is>
      </c>
      <c r="E20" t="inlineStr">
        <is>
          <t>retailer</t>
        </is>
      </c>
      <c r="F20" t="inlineStr">
        <is>
          <t>4 West 18th Street</t>
        </is>
      </c>
      <c r="G20" t="n">
        <v>40.738668</v>
      </c>
      <c r="H20" t="n">
        <v>-73.992664</v>
      </c>
      <c r="I20" t="n">
        <v>1.5</v>
      </c>
      <c r="J20" t="n">
        <v>6</v>
      </c>
      <c r="K20">
        <f>IF(A20=A19,K19,0)+I20+J20</f>
        <v/>
      </c>
      <c r="L20">
        <f>SUMIF($A$2:$A$118,A20,$I$2:$I$118)+SUMIF($A$2:$A$118,A20,$J$2:$J$118)</f>
        <v/>
      </c>
      <c r="M20" t="inlineStr">
        <is>
          <t>14 St-Union Sq (4 5 6), about 4 min walk</t>
        </is>
      </c>
      <c r="N20" t="inlineStr">
        <is>
          <t>14 St (F M), about 4 min walk</t>
        </is>
      </c>
      <c r="O20" s="3" t="inlineStr">
        <is>
          <t>RETAILER: Store open; photo of the local or emerging snack and drink set (aisle and shelf tags); note which shelf it is in; any 'local' or 'new' shelf signage</t>
        </is>
      </c>
      <c r="P20" s="10" t="inlineStr"/>
      <c r="Q20" s="10" t="inlineStr"/>
      <c r="R20" s="10" t="inlineStr"/>
      <c r="S20" s="10" t="inlineStr"/>
      <c r="T20" s="10" t="inlineStr"/>
      <c r="U20" s="10" t="inlineStr"/>
      <c r="V20" s="10" t="inlineStr"/>
    </row>
    <row r="21">
      <c r="A21" t="n">
        <v>2</v>
      </c>
      <c r="B21" t="inlineStr">
        <is>
          <t>core (inside the boundary)</t>
        </is>
      </c>
      <c r="C21" t="n">
        <v>20</v>
      </c>
      <c r="D21" s="3" t="inlineStr">
        <is>
          <t>B-B-015 10 West 18th Street</t>
        </is>
      </c>
      <c r="E21" t="inlineStr">
        <is>
          <t>building</t>
        </is>
      </c>
      <c r="F21" t="inlineStr">
        <is>
          <t>10 West 18th Street</t>
        </is>
      </c>
      <c r="G21" t="n">
        <v>40.738754</v>
      </c>
      <c r="H21" t="n">
        <v>-73.99292199999999</v>
      </c>
      <c r="I21" t="n">
        <v>0.5</v>
      </c>
      <c r="J21" t="n">
        <v>3</v>
      </c>
      <c r="K21">
        <f>IF(A21=A20,K20,0)+I21+J21</f>
        <v/>
      </c>
      <c r="L21">
        <f>SUMIF($A$2:$A$118,A21,$I$2:$I$118)+SUMIF($A$2:$A$118,A21,$J$2:$J$118)</f>
        <v/>
      </c>
      <c r="M21" t="inlineStr">
        <is>
          <t>14 St-Union Sq (4 5 6), about 4 min walk</t>
        </is>
      </c>
      <c r="N21" t="inlineStr">
        <is>
          <t>14 St (F M), about 4 min walk</t>
        </is>
      </c>
      <c r="O21"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21" s="10" t="inlineStr"/>
      <c r="Q21" s="10" t="inlineStr"/>
      <c r="R21" s="10" t="inlineStr"/>
      <c r="S21" s="10" t="inlineStr"/>
      <c r="T21" s="10" t="inlineStr"/>
      <c r="U21" s="10" t="inlineStr"/>
      <c r="V21" s="10" t="inlineStr"/>
    </row>
    <row r="22">
      <c r="A22" t="n">
        <v>2</v>
      </c>
      <c r="B22" t="inlineStr">
        <is>
          <t>core (inside the boundary)</t>
        </is>
      </c>
      <c r="C22" t="n">
        <v>21</v>
      </c>
      <c r="D22" s="3" t="inlineStr">
        <is>
          <t>B-B-014 18 West 18th Street; B-W-004 WeWork 18 West 18th Street</t>
        </is>
      </c>
      <c r="E22" t="inlineStr">
        <is>
          <t>building; coworking</t>
        </is>
      </c>
      <c r="F22" t="inlineStr">
        <is>
          <t>18 West 18th Street</t>
        </is>
      </c>
      <c r="G22" t="n">
        <v>40.738811</v>
      </c>
      <c r="H22" t="n">
        <v>-73.993425</v>
      </c>
      <c r="I22" t="n">
        <v>0.9</v>
      </c>
      <c r="J22" t="n">
        <v>4</v>
      </c>
      <c r="K22">
        <f>IF(A22=A21,K21,0)+I22+J22</f>
        <v/>
      </c>
      <c r="L22">
        <f>SUMIF($A$2:$A$118,A22,$I$2:$I$118)+SUMIF($A$2:$A$118,A22,$J$2:$J$118)</f>
        <v/>
      </c>
      <c r="M22" t="inlineStr">
        <is>
          <t>14 St-Union Sq (4 5 6), about 4 min walk</t>
        </is>
      </c>
      <c r="N22" t="inlineStr">
        <is>
          <t>14 St (F M), about 4 min walk</t>
        </is>
      </c>
      <c r="O22"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 || COWORKING: Operator signage in the lobby; floors listed on the directory; front-desk hours; who receives deliveries for members</t>
        </is>
      </c>
      <c r="P22" s="10" t="inlineStr"/>
      <c r="Q22" s="10" t="inlineStr"/>
      <c r="R22" s="10" t="inlineStr"/>
      <c r="S22" s="10" t="inlineStr"/>
      <c r="T22" s="10" t="inlineStr"/>
      <c r="U22" s="10" t="inlineStr"/>
      <c r="V22" s="10" t="inlineStr"/>
    </row>
    <row r="23">
      <c r="A23" t="n">
        <v>2</v>
      </c>
      <c r="B23" t="inlineStr">
        <is>
          <t>core (inside the boundary)</t>
        </is>
      </c>
      <c r="C23" t="n">
        <v>22</v>
      </c>
      <c r="D23" s="3" t="inlineStr">
        <is>
          <t>B-B-013 44 West 18th Street</t>
        </is>
      </c>
      <c r="E23" t="inlineStr">
        <is>
          <t>building</t>
        </is>
      </c>
      <c r="F23" t="inlineStr">
        <is>
          <t>44 West 18th Street</t>
        </is>
      </c>
      <c r="G23" t="n">
        <v>40.73921</v>
      </c>
      <c r="H23" t="n">
        <v>-73.994384</v>
      </c>
      <c r="I23" t="n">
        <v>1.9</v>
      </c>
      <c r="J23" t="n">
        <v>3</v>
      </c>
      <c r="K23">
        <f>IF(A23=A22,K22,0)+I23+J23</f>
        <v/>
      </c>
      <c r="L23">
        <f>SUMIF($A$2:$A$118,A23,$I$2:$I$118)+SUMIF($A$2:$A$118,A23,$J$2:$J$118)</f>
        <v/>
      </c>
      <c r="M23" t="inlineStr">
        <is>
          <t>14 St-Union Sq (4 5 6), about 4 min walk</t>
        </is>
      </c>
      <c r="N23" t="inlineStr">
        <is>
          <t>14 St (F M), about 4 min walk</t>
        </is>
      </c>
      <c r="O23"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23" s="10" t="inlineStr"/>
      <c r="Q23" s="10" t="inlineStr"/>
      <c r="R23" s="10" t="inlineStr"/>
      <c r="S23" s="10" t="inlineStr"/>
      <c r="T23" s="10" t="inlineStr"/>
      <c r="U23" s="10" t="inlineStr"/>
      <c r="V23" s="10" t="inlineStr"/>
    </row>
    <row r="24">
      <c r="A24" t="n">
        <v>2</v>
      </c>
      <c r="B24" t="inlineStr">
        <is>
          <t>core (inside the boundary)</t>
        </is>
      </c>
      <c r="C24" t="n">
        <v>23</v>
      </c>
      <c r="D24" s="3" t="inlineStr">
        <is>
          <t>B-B-021 Siegel-Cooper Building (RXR / Hudson Bay)</t>
        </is>
      </c>
      <c r="E24" t="inlineStr">
        <is>
          <t>building</t>
        </is>
      </c>
      <c r="F24" t="inlineStr">
        <is>
          <t>620 Avenue of the Americas</t>
        </is>
      </c>
      <c r="G24" t="n">
        <v>40.739927</v>
      </c>
      <c r="H24" t="n">
        <v>-73.99424</v>
      </c>
      <c r="I24" t="n">
        <v>3</v>
      </c>
      <c r="J24" t="n">
        <v>3</v>
      </c>
      <c r="K24">
        <f>IF(A24=A23,K23,0)+I24+J24</f>
        <v/>
      </c>
      <c r="L24">
        <f>SUMIF($A$2:$A$118,A24,$I$2:$I$118)+SUMIF($A$2:$A$118,A24,$J$2:$J$118)</f>
        <v/>
      </c>
      <c r="M24" t="inlineStr">
        <is>
          <t>14 St-Union Sq (4 5 6), about 4 min walk</t>
        </is>
      </c>
      <c r="N24" t="inlineStr">
        <is>
          <t>14 St (F M), about 4 min walk</t>
        </is>
      </c>
      <c r="O24"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24" s="10" t="inlineStr"/>
      <c r="Q24" s="10" t="inlineStr"/>
      <c r="R24" s="10" t="inlineStr"/>
      <c r="S24" s="10" t="inlineStr"/>
      <c r="T24" s="10" t="inlineStr"/>
      <c r="U24" s="10" t="inlineStr"/>
      <c r="V24" s="10" t="inlineStr"/>
    </row>
    <row r="25">
      <c r="A25" t="n">
        <v>3</v>
      </c>
      <c r="B25" t="inlineStr">
        <is>
          <t>core (inside the boundary)</t>
        </is>
      </c>
      <c r="C25" t="n">
        <v>24</v>
      </c>
      <c r="D25" s="3" t="inlineStr">
        <is>
          <t>B-B-020 625 Avenue of the Americas (Taub family)</t>
        </is>
      </c>
      <c r="E25" t="inlineStr">
        <is>
          <t>building</t>
        </is>
      </c>
      <c r="F25" t="inlineStr">
        <is>
          <t>625 Avenue of the Americas</t>
        </is>
      </c>
      <c r="G25" t="n">
        <v>40.740326</v>
      </c>
      <c r="H25" t="n">
        <v>-73.99520099999999</v>
      </c>
      <c r="I25" t="n">
        <v>0</v>
      </c>
      <c r="J25" t="n">
        <v>3</v>
      </c>
      <c r="K25">
        <f>IF(A25=A24,K24,0)+I25+J25</f>
        <v/>
      </c>
      <c r="L25">
        <f>SUMIF($A$2:$A$118,A25,$I$2:$I$118)+SUMIF($A$2:$A$118,A25,$J$2:$J$118)</f>
        <v/>
      </c>
      <c r="M25" t="inlineStr">
        <is>
          <t>18 St (1), about 4 min walk</t>
        </is>
      </c>
      <c r="N25" t="inlineStr">
        <is>
          <t>23 St-Baruch College (6), about 2 min walk</t>
        </is>
      </c>
      <c r="O25"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25" s="10" t="inlineStr"/>
      <c r="Q25" s="10" t="inlineStr"/>
      <c r="R25" s="10" t="inlineStr"/>
      <c r="S25" s="10" t="inlineStr"/>
      <c r="T25" s="10" t="inlineStr"/>
      <c r="U25" s="10" t="inlineStr"/>
      <c r="V25" s="10" t="inlineStr"/>
    </row>
    <row r="26">
      <c r="A26" t="n">
        <v>3</v>
      </c>
      <c r="B26" t="inlineStr">
        <is>
          <t>core (inside the boundary)</t>
        </is>
      </c>
      <c r="C26" t="n">
        <v>25</v>
      </c>
      <c r="D26" s="3" t="inlineStr">
        <is>
          <t>B-B-026 635-641 Avenue of the Americas (Spear Street Capital)</t>
        </is>
      </c>
      <c r="E26" t="inlineStr">
        <is>
          <t>building</t>
        </is>
      </c>
      <c r="F26" t="inlineStr">
        <is>
          <t>641 Avenue of the Americas</t>
        </is>
      </c>
      <c r="G26" t="n">
        <v>40.741004</v>
      </c>
      <c r="H26" t="n">
        <v>-73.99475700000001</v>
      </c>
      <c r="I26" t="n">
        <v>2.1</v>
      </c>
      <c r="J26" t="n">
        <v>3</v>
      </c>
      <c r="K26">
        <f>IF(A26=A25,K25,0)+I26+J26</f>
        <v/>
      </c>
      <c r="L26">
        <f>SUMIF($A$2:$A$118,A26,$I$2:$I$118)+SUMIF($A$2:$A$118,A26,$J$2:$J$118)</f>
        <v/>
      </c>
      <c r="M26" t="inlineStr">
        <is>
          <t>18 St (1), about 4 min walk</t>
        </is>
      </c>
      <c r="N26" t="inlineStr">
        <is>
          <t>23 St-Baruch College (6), about 2 min walk</t>
        </is>
      </c>
      <c r="O26"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26" s="10" t="inlineStr"/>
      <c r="Q26" s="10" t="inlineStr"/>
      <c r="R26" s="10" t="inlineStr"/>
      <c r="S26" s="10" t="inlineStr"/>
      <c r="T26" s="10" t="inlineStr"/>
      <c r="U26" s="10" t="inlineStr"/>
      <c r="V26" s="10" t="inlineStr"/>
    </row>
    <row r="27">
      <c r="A27" t="n">
        <v>3</v>
      </c>
      <c r="B27" t="inlineStr">
        <is>
          <t>core (inside the boundary)</t>
        </is>
      </c>
      <c r="C27" t="n">
        <v>26</v>
      </c>
      <c r="D27" s="3" t="inlineStr">
        <is>
          <t>B-B-025 39 West 19th Street (Rosen family)</t>
        </is>
      </c>
      <c r="E27" t="inlineStr">
        <is>
          <t>building</t>
        </is>
      </c>
      <c r="F27" t="inlineStr">
        <is>
          <t>39 West 19th Street</t>
        </is>
      </c>
      <c r="G27" t="n">
        <v>40.740157</v>
      </c>
      <c r="H27" t="n">
        <v>-73.993377</v>
      </c>
      <c r="I27" t="n">
        <v>3.1</v>
      </c>
      <c r="J27" t="n">
        <v>3</v>
      </c>
      <c r="K27">
        <f>IF(A27=A26,K26,0)+I27+J27</f>
        <v/>
      </c>
      <c r="L27">
        <f>SUMIF($A$2:$A$118,A27,$I$2:$I$118)+SUMIF($A$2:$A$118,A27,$J$2:$J$118)</f>
        <v/>
      </c>
      <c r="M27" t="inlineStr">
        <is>
          <t>18 St (1), about 4 min walk</t>
        </is>
      </c>
      <c r="N27" t="inlineStr">
        <is>
          <t>23 St-Baruch College (6), about 2 min walk</t>
        </is>
      </c>
      <c r="O27"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27" s="10" t="inlineStr"/>
      <c r="Q27" s="10" t="inlineStr"/>
      <c r="R27" s="10" t="inlineStr"/>
      <c r="S27" s="10" t="inlineStr"/>
      <c r="T27" s="10" t="inlineStr"/>
      <c r="U27" s="10" t="inlineStr"/>
      <c r="V27" s="10" t="inlineStr"/>
    </row>
    <row r="28">
      <c r="A28" t="n">
        <v>3</v>
      </c>
      <c r="B28" t="inlineStr">
        <is>
          <t>core (inside the boundary)</t>
        </is>
      </c>
      <c r="C28" t="n">
        <v>27</v>
      </c>
      <c r="D28" s="3" t="inlineStr">
        <is>
          <t>B-B-022 Cluett Building (Kaufman Organization)</t>
        </is>
      </c>
      <c r="E28" t="inlineStr">
        <is>
          <t>building</t>
        </is>
      </c>
      <c r="F28" t="inlineStr">
        <is>
          <t>22 West 19th Street</t>
        </is>
      </c>
      <c r="G28" t="n">
        <v>40.739399</v>
      </c>
      <c r="H28" t="n">
        <v>-73.992895</v>
      </c>
      <c r="I28" t="n">
        <v>5</v>
      </c>
      <c r="J28" t="n">
        <v>3</v>
      </c>
      <c r="K28">
        <f>IF(A28=A27,K27,0)+I28+J28</f>
        <v/>
      </c>
      <c r="L28">
        <f>SUMIF($A$2:$A$118,A28,$I$2:$I$118)+SUMIF($A$2:$A$118,A28,$J$2:$J$118)</f>
        <v/>
      </c>
      <c r="M28" t="inlineStr">
        <is>
          <t>18 St (1), about 4 min walk</t>
        </is>
      </c>
      <c r="N28" t="inlineStr">
        <is>
          <t>23 St-Baruch College (6), about 2 min walk</t>
        </is>
      </c>
      <c r="O28"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28" s="10" t="inlineStr"/>
      <c r="Q28" s="10" t="inlineStr"/>
      <c r="R28" s="10" t="inlineStr"/>
      <c r="S28" s="10" t="inlineStr"/>
      <c r="T28" s="10" t="inlineStr"/>
      <c r="U28" s="10" t="inlineStr"/>
      <c r="V28" s="10" t="inlineStr"/>
    </row>
    <row r="29">
      <c r="A29" t="n">
        <v>3</v>
      </c>
      <c r="B29" t="inlineStr">
        <is>
          <t>core (inside the boundary)</t>
        </is>
      </c>
      <c r="C29" t="n">
        <v>28</v>
      </c>
      <c r="D29" s="3" t="inlineStr">
        <is>
          <t>B-B-017 130 Fifth Avenue (Olnick Organization)</t>
        </is>
      </c>
      <c r="E29" t="inlineStr">
        <is>
          <t>building</t>
        </is>
      </c>
      <c r="F29" t="inlineStr">
        <is>
          <t>130 Fifth Avenue</t>
        </is>
      </c>
      <c r="G29" t="n">
        <v>40.738835</v>
      </c>
      <c r="H29" t="n">
        <v>-73.992046</v>
      </c>
      <c r="I29" t="n">
        <v>2.7</v>
      </c>
      <c r="J29" t="n">
        <v>4</v>
      </c>
      <c r="K29">
        <f>IF(A29=A28,K28,0)+I29+J29</f>
        <v/>
      </c>
      <c r="L29">
        <f>SUMIF($A$2:$A$118,A29,$I$2:$I$118)+SUMIF($A$2:$A$118,A29,$J$2:$J$118)</f>
        <v/>
      </c>
      <c r="M29" t="inlineStr">
        <is>
          <t>18 St (1), about 4 min walk</t>
        </is>
      </c>
      <c r="N29" t="inlineStr">
        <is>
          <t>23 St-Baruch College (6), about 2 min walk</t>
        </is>
      </c>
      <c r="O29"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29" s="10" t="inlineStr"/>
      <c r="Q29" s="10" t="inlineStr"/>
      <c r="R29" s="10" t="inlineStr"/>
      <c r="S29" s="10" t="inlineStr"/>
      <c r="T29" s="10" t="inlineStr"/>
      <c r="U29" s="10" t="inlineStr"/>
      <c r="V29" s="10" t="inlineStr"/>
    </row>
    <row r="30">
      <c r="A30" t="n">
        <v>3</v>
      </c>
      <c r="B30" t="inlineStr">
        <is>
          <t>core (inside the boundary)</t>
        </is>
      </c>
      <c r="C30" t="n">
        <v>29</v>
      </c>
      <c r="D30" s="3" t="inlineStr">
        <is>
          <t>B-B-018 111 Fifth Avenue (Winter Organization)</t>
        </is>
      </c>
      <c r="E30" t="inlineStr">
        <is>
          <t>building</t>
        </is>
      </c>
      <c r="F30" t="inlineStr">
        <is>
          <t>111 Fifth Avenue</t>
        </is>
      </c>
      <c r="G30" t="n">
        <v>40.738502</v>
      </c>
      <c r="H30" t="n">
        <v>-73.991191</v>
      </c>
      <c r="I30" t="n">
        <v>1.6</v>
      </c>
      <c r="J30" t="n">
        <v>4.5</v>
      </c>
      <c r="K30">
        <f>IF(A30=A29,K29,0)+I30+J30</f>
        <v/>
      </c>
      <c r="L30">
        <f>SUMIF($A$2:$A$118,A30,$I$2:$I$118)+SUMIF($A$2:$A$118,A30,$J$2:$J$118)</f>
        <v/>
      </c>
      <c r="M30" t="inlineStr">
        <is>
          <t>18 St (1), about 4 min walk</t>
        </is>
      </c>
      <c r="N30" t="inlineStr">
        <is>
          <t>23 St-Baruch College (6), about 2 min walk</t>
        </is>
      </c>
      <c r="O30"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30" s="10" t="inlineStr"/>
      <c r="Q30" s="10" t="inlineStr"/>
      <c r="R30" s="10" t="inlineStr"/>
      <c r="S30" s="10" t="inlineStr"/>
      <c r="T30" s="10" t="inlineStr"/>
      <c r="U30" s="10" t="inlineStr"/>
      <c r="V30" s="10" t="inlineStr"/>
    </row>
    <row r="31">
      <c r="A31" t="n">
        <v>3</v>
      </c>
      <c r="B31" t="inlineStr">
        <is>
          <t>core (inside the boundary)</t>
        </is>
      </c>
      <c r="C31" t="n">
        <v>30</v>
      </c>
      <c r="D31" s="3" t="inlineStr">
        <is>
          <t>B-B-023 115 Fifth Avenue / 881 Broadway (Arnold Constable block)</t>
        </is>
      </c>
      <c r="E31" t="inlineStr">
        <is>
          <t>building</t>
        </is>
      </c>
      <c r="F31" t="inlineStr">
        <is>
          <t>115 Fifth Avenue</t>
        </is>
      </c>
      <c r="G31" t="n">
        <v>40.738555</v>
      </c>
      <c r="H31" t="n">
        <v>-73.990623</v>
      </c>
      <c r="I31" t="n">
        <v>2</v>
      </c>
      <c r="J31" t="n">
        <v>3</v>
      </c>
      <c r="K31">
        <f>IF(A31=A30,K30,0)+I31+J31</f>
        <v/>
      </c>
      <c r="L31">
        <f>SUMIF($A$2:$A$118,A31,$I$2:$I$118)+SUMIF($A$2:$A$118,A31,$J$2:$J$118)</f>
        <v/>
      </c>
      <c r="M31" t="inlineStr">
        <is>
          <t>18 St (1), about 4 min walk</t>
        </is>
      </c>
      <c r="N31" t="inlineStr">
        <is>
          <t>23 St-Baruch College (6), about 2 min walk</t>
        </is>
      </c>
      <c r="O31"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31" s="10" t="inlineStr"/>
      <c r="Q31" s="10" t="inlineStr"/>
      <c r="R31" s="10" t="inlineStr"/>
      <c r="S31" s="10" t="inlineStr"/>
      <c r="T31" s="10" t="inlineStr"/>
      <c r="U31" s="10" t="inlineStr"/>
      <c r="V31" s="10" t="inlineStr"/>
    </row>
    <row r="32">
      <c r="A32" t="n">
        <v>3</v>
      </c>
      <c r="B32" t="inlineStr">
        <is>
          <t>core (inside the boundary)</t>
        </is>
      </c>
      <c r="C32" t="n">
        <v>31</v>
      </c>
      <c r="D32" s="3" t="inlineStr">
        <is>
          <t>B-B-024 119 Fifth Avenue</t>
        </is>
      </c>
      <c r="E32" t="inlineStr">
        <is>
          <t>building</t>
        </is>
      </c>
      <c r="F32" t="inlineStr">
        <is>
          <t>119 Fifth Avenue</t>
        </is>
      </c>
      <c r="G32" t="n">
        <v>40.739071</v>
      </c>
      <c r="H32" t="n">
        <v>-73.990897</v>
      </c>
      <c r="I32" t="n">
        <v>2.2</v>
      </c>
      <c r="J32" t="n">
        <v>3</v>
      </c>
      <c r="K32">
        <f>IF(A32=A31,K31,0)+I32+J32</f>
        <v/>
      </c>
      <c r="L32">
        <f>SUMIF($A$2:$A$118,A32,$I$2:$I$118)+SUMIF($A$2:$A$118,A32,$J$2:$J$118)</f>
        <v/>
      </c>
      <c r="M32" t="inlineStr">
        <is>
          <t>18 St (1), about 4 min walk</t>
        </is>
      </c>
      <c r="N32" t="inlineStr">
        <is>
          <t>23 St-Baruch College (6), about 2 min walk</t>
        </is>
      </c>
      <c r="O32"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32" s="10" t="inlineStr"/>
      <c r="Q32" s="10" t="inlineStr"/>
      <c r="R32" s="10" t="inlineStr"/>
      <c r="S32" s="10" t="inlineStr"/>
      <c r="T32" s="10" t="inlineStr"/>
      <c r="U32" s="10" t="inlineStr"/>
      <c r="V32" s="10" t="inlineStr"/>
    </row>
    <row r="33">
      <c r="A33" t="n">
        <v>3</v>
      </c>
      <c r="B33" t="inlineStr">
        <is>
          <t>core (inside the boundary)</t>
        </is>
      </c>
      <c r="C33" t="n">
        <v>32</v>
      </c>
      <c r="D33" s="3" t="inlineStr">
        <is>
          <t>B-B-027 Equinox Building; B-W-006 The Malin Flatiron</t>
        </is>
      </c>
      <c r="E33" t="inlineStr">
        <is>
          <t>building; coworking</t>
        </is>
      </c>
      <c r="F33" t="inlineStr">
        <is>
          <t>895 Broadway</t>
        </is>
      </c>
      <c r="G33" t="n">
        <v>40.739084</v>
      </c>
      <c r="H33" t="n">
        <v>-73.99020400000001</v>
      </c>
      <c r="I33" t="n">
        <v>1.9</v>
      </c>
      <c r="J33" t="n">
        <v>4</v>
      </c>
      <c r="K33">
        <f>IF(A33=A32,K32,0)+I33+J33</f>
        <v/>
      </c>
      <c r="L33">
        <f>SUMIF($A$2:$A$118,A33,$I$2:$I$118)+SUMIF($A$2:$A$118,A33,$J$2:$J$118)</f>
        <v/>
      </c>
      <c r="M33" t="inlineStr">
        <is>
          <t>18 St (1), about 4 min walk</t>
        </is>
      </c>
      <c r="N33" t="inlineStr">
        <is>
          <t>23 St-Baruch College (6), about 2 min walk</t>
        </is>
      </c>
      <c r="O33"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 || COWORKING: Operator signage in the lobby; floors listed on the directory; front-desk hours; who receives deliveries for members</t>
        </is>
      </c>
      <c r="P33" s="10" t="inlineStr"/>
      <c r="Q33" s="10" t="inlineStr"/>
      <c r="R33" s="10" t="inlineStr"/>
      <c r="S33" s="10" t="inlineStr"/>
      <c r="T33" s="10" t="inlineStr"/>
      <c r="U33" s="10" t="inlineStr"/>
      <c r="V33" s="10" t="inlineStr"/>
    </row>
    <row r="34">
      <c r="A34" t="n">
        <v>3</v>
      </c>
      <c r="B34" t="inlineStr">
        <is>
          <t>core (inside the boundary)</t>
        </is>
      </c>
      <c r="C34" t="n">
        <v>33</v>
      </c>
      <c r="D34" s="3" t="inlineStr">
        <is>
          <t>B-B-028 250 Park Avenue South (Feil Organization)</t>
        </is>
      </c>
      <c r="E34" t="inlineStr">
        <is>
          <t>building</t>
        </is>
      </c>
      <c r="F34" t="inlineStr">
        <is>
          <t>250 Park Avenue South</t>
        </is>
      </c>
      <c r="G34" t="n">
        <v>40.73827</v>
      </c>
      <c r="H34" t="n">
        <v>-73.98819899999999</v>
      </c>
      <c r="I34" t="n">
        <v>3.6</v>
      </c>
      <c r="J34" t="n">
        <v>4</v>
      </c>
      <c r="K34">
        <f>IF(A34=A33,K33,0)+I34+J34</f>
        <v/>
      </c>
      <c r="L34">
        <f>SUMIF($A$2:$A$118,A34,$I$2:$I$118)+SUMIF($A$2:$A$118,A34,$J$2:$J$118)</f>
        <v/>
      </c>
      <c r="M34" t="inlineStr">
        <is>
          <t>18 St (1), about 4 min walk</t>
        </is>
      </c>
      <c r="N34" t="inlineStr">
        <is>
          <t>23 St-Baruch College (6), about 2 min walk</t>
        </is>
      </c>
      <c r="O34"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34" s="10" t="inlineStr"/>
      <c r="Q34" s="10" t="inlineStr"/>
      <c r="R34" s="10" t="inlineStr"/>
      <c r="S34" s="10" t="inlineStr"/>
      <c r="T34" s="10" t="inlineStr"/>
      <c r="U34" s="10" t="inlineStr"/>
      <c r="V34" s="10" t="inlineStr"/>
    </row>
    <row r="35">
      <c r="A35" t="n">
        <v>3</v>
      </c>
      <c r="B35" t="inlineStr">
        <is>
          <t>core (inside the boundary)</t>
        </is>
      </c>
      <c r="C35" t="n">
        <v>34</v>
      </c>
      <c r="D35" s="3" t="inlineStr">
        <is>
          <t>B-B-032 Gramercy Park Building (Feil Organization)</t>
        </is>
      </c>
      <c r="E35" t="inlineStr">
        <is>
          <t>building</t>
        </is>
      </c>
      <c r="F35" t="inlineStr">
        <is>
          <t>257 Park Avenue South</t>
        </is>
      </c>
      <c r="G35" t="n">
        <v>40.738577</v>
      </c>
      <c r="H35" t="n">
        <v>-73.987151</v>
      </c>
      <c r="I35" t="n">
        <v>2.5</v>
      </c>
      <c r="J35" t="n">
        <v>6</v>
      </c>
      <c r="K35">
        <f>IF(A35=A34,K34,0)+I35+J35</f>
        <v/>
      </c>
      <c r="L35">
        <f>SUMIF($A$2:$A$118,A35,$I$2:$I$118)+SUMIF($A$2:$A$118,A35,$J$2:$J$118)</f>
        <v/>
      </c>
      <c r="M35" t="inlineStr">
        <is>
          <t>18 St (1), about 4 min walk</t>
        </is>
      </c>
      <c r="N35" t="inlineStr">
        <is>
          <t>23 St-Baruch College (6), about 2 min walk</t>
        </is>
      </c>
      <c r="O35"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35" s="10" t="inlineStr"/>
      <c r="Q35" s="10" t="inlineStr"/>
      <c r="R35" s="10" t="inlineStr"/>
      <c r="S35" s="10" t="inlineStr"/>
      <c r="T35" s="10" t="inlineStr"/>
      <c r="U35" s="10" t="inlineStr"/>
      <c r="V35" s="10" t="inlineStr"/>
    </row>
    <row r="36">
      <c r="A36" t="n">
        <v>3</v>
      </c>
      <c r="B36" t="inlineStr">
        <is>
          <t>core (inside the boundary)</t>
        </is>
      </c>
      <c r="C36" t="n">
        <v>35</v>
      </c>
      <c r="D36" s="3" t="inlineStr">
        <is>
          <t>B-R-004 Morton Williams (278 Park Avenue South)</t>
        </is>
      </c>
      <c r="E36" t="inlineStr">
        <is>
          <t>retailer</t>
        </is>
      </c>
      <c r="F36" t="inlineStr">
        <is>
          <t>278 Park Avenue South</t>
        </is>
      </c>
      <c r="G36" t="n">
        <v>40.739534</v>
      </c>
      <c r="H36" t="n">
        <v>-73.98736</v>
      </c>
      <c r="I36" t="n">
        <v>2.7</v>
      </c>
      <c r="J36" t="n">
        <v>3</v>
      </c>
      <c r="K36">
        <f>IF(A36=A35,K35,0)+I36+J36</f>
        <v/>
      </c>
      <c r="L36">
        <f>SUMIF($A$2:$A$118,A36,$I$2:$I$118)+SUMIF($A$2:$A$118,A36,$J$2:$J$118)</f>
        <v/>
      </c>
      <c r="M36" t="inlineStr">
        <is>
          <t>18 St (1), about 4 min walk</t>
        </is>
      </c>
      <c r="N36" t="inlineStr">
        <is>
          <t>23 St-Baruch College (6), about 2 min walk</t>
        </is>
      </c>
      <c r="O36" s="3" t="inlineStr">
        <is>
          <t>RETAILER: Store open; photo of the local or emerging snack and drink set (aisle and shelf tags); note which shelf it is in; any 'local' or 'new' shelf signage</t>
        </is>
      </c>
      <c r="P36" s="10" t="inlineStr"/>
      <c r="Q36" s="10" t="inlineStr"/>
      <c r="R36" s="10" t="inlineStr"/>
      <c r="S36" s="10" t="inlineStr"/>
      <c r="T36" s="10" t="inlineStr"/>
      <c r="U36" s="10" t="inlineStr"/>
      <c r="V36" s="10" t="inlineStr"/>
    </row>
    <row r="37">
      <c r="A37" t="n">
        <v>3</v>
      </c>
      <c r="B37" t="inlineStr">
        <is>
          <t>core (inside the boundary)</t>
        </is>
      </c>
      <c r="C37" t="n">
        <v>36</v>
      </c>
      <c r="D37" s="3" t="inlineStr">
        <is>
          <t>B-B-045 25 East 22nd Street (owner-occupied by Kodansha)</t>
        </is>
      </c>
      <c r="E37" t="inlineStr">
        <is>
          <t>building</t>
        </is>
      </c>
      <c r="F37" t="inlineStr">
        <is>
          <t>25 East 22nd Street</t>
        </is>
      </c>
      <c r="G37" t="n">
        <v>40.740287</v>
      </c>
      <c r="H37" t="n">
        <v>-73.98805</v>
      </c>
      <c r="I37" t="n">
        <v>2.8</v>
      </c>
      <c r="J37" t="n">
        <v>3</v>
      </c>
      <c r="K37">
        <f>IF(A37=A36,K36,0)+I37+J37</f>
        <v/>
      </c>
      <c r="L37">
        <f>SUMIF($A$2:$A$118,A37,$I$2:$I$118)+SUMIF($A$2:$A$118,A37,$J$2:$J$118)</f>
        <v/>
      </c>
      <c r="M37" t="inlineStr">
        <is>
          <t>18 St (1), about 4 min walk</t>
        </is>
      </c>
      <c r="N37" t="inlineStr">
        <is>
          <t>23 St-Baruch College (6), about 2 min walk</t>
        </is>
      </c>
      <c r="O37"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37" s="10" t="inlineStr"/>
      <c r="Q37" s="10" t="inlineStr"/>
      <c r="R37" s="10" t="inlineStr"/>
      <c r="S37" s="10" t="inlineStr"/>
      <c r="T37" s="10" t="inlineStr"/>
      <c r="U37" s="10" t="inlineStr"/>
      <c r="V37" s="10" t="inlineStr"/>
    </row>
    <row r="38">
      <c r="A38" t="n">
        <v>4</v>
      </c>
      <c r="B38" t="inlineStr">
        <is>
          <t>core (inside the boundary)</t>
        </is>
      </c>
      <c r="C38" t="n">
        <v>37</v>
      </c>
      <c r="D38" s="3" t="inlineStr">
        <is>
          <t>B-B-044 300 Park Avenue South (Rockrose); also addressed 290 Park Avenue South</t>
        </is>
      </c>
      <c r="E38" t="inlineStr">
        <is>
          <t>building</t>
        </is>
      </c>
      <c r="F38" t="inlineStr">
        <is>
          <t>300 Park Avenue South</t>
        </is>
      </c>
      <c r="G38" t="n">
        <v>40.739848</v>
      </c>
      <c r="H38" t="n">
        <v>-73.987027</v>
      </c>
      <c r="I38" t="n">
        <v>0</v>
      </c>
      <c r="J38" t="n">
        <v>3.5</v>
      </c>
      <c r="K38">
        <f>IF(A38=A37,K37,0)+I38+J38</f>
        <v/>
      </c>
      <c r="L38">
        <f>SUMIF($A$2:$A$118,A38,$I$2:$I$118)+SUMIF($A$2:$A$118,A38,$J$2:$J$118)</f>
        <v/>
      </c>
      <c r="M38" t="inlineStr">
        <is>
          <t>23 St-Baruch College (6), about 1 min walk</t>
        </is>
      </c>
      <c r="N38" t="inlineStr">
        <is>
          <t>28 St (6), about 2 min walk</t>
        </is>
      </c>
      <c r="O38"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38" s="10" t="inlineStr"/>
      <c r="Q38" s="10" t="inlineStr"/>
      <c r="R38" s="10" t="inlineStr"/>
      <c r="S38" s="10" t="inlineStr"/>
      <c r="T38" s="10" t="inlineStr"/>
      <c r="U38" s="10" t="inlineStr"/>
      <c r="V38" s="10" t="inlineStr"/>
    </row>
    <row r="39">
      <c r="A39" t="n">
        <v>4</v>
      </c>
      <c r="B39" t="inlineStr">
        <is>
          <t>core (inside the boundary)</t>
        </is>
      </c>
      <c r="C39" t="n">
        <v>38</v>
      </c>
      <c r="D39" s="3" t="inlineStr">
        <is>
          <t>B-B-042 United Charities Building; B-W-009 Le Parc Coworking Offices</t>
        </is>
      </c>
      <c r="E39" t="inlineStr">
        <is>
          <t>building; coworking</t>
        </is>
      </c>
      <c r="F39" t="inlineStr">
        <is>
          <t>287 Park Avenue South</t>
        </is>
      </c>
      <c r="G39" t="n">
        <v>40.739504</v>
      </c>
      <c r="H39" t="n">
        <v>-73.98639900000001</v>
      </c>
      <c r="I39" t="n">
        <v>1.4</v>
      </c>
      <c r="J39" t="n">
        <v>4</v>
      </c>
      <c r="K39">
        <f>IF(A39=A38,K38,0)+I39+J39</f>
        <v/>
      </c>
      <c r="L39">
        <f>SUMIF($A$2:$A$118,A39,$I$2:$I$118)+SUMIF($A$2:$A$118,A39,$J$2:$J$118)</f>
        <v/>
      </c>
      <c r="M39" t="inlineStr">
        <is>
          <t>23 St-Baruch College (6), about 1 min walk</t>
        </is>
      </c>
      <c r="N39" t="inlineStr">
        <is>
          <t>28 St (6), about 2 min walk</t>
        </is>
      </c>
      <c r="O39"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 || COWORKING: Operator signage in the lobby; floors listed on the directory; front-desk hours; who receives deliveries for members</t>
        </is>
      </c>
      <c r="P39" s="10" t="inlineStr"/>
      <c r="Q39" s="10" t="inlineStr"/>
      <c r="R39" s="10" t="inlineStr"/>
      <c r="S39" s="10" t="inlineStr"/>
      <c r="T39" s="10" t="inlineStr"/>
      <c r="U39" s="10" t="inlineStr"/>
      <c r="V39" s="10" t="inlineStr"/>
    </row>
    <row r="40">
      <c r="A40" t="n">
        <v>4</v>
      </c>
      <c r="B40" t="inlineStr">
        <is>
          <t>core (inside the boundary)</t>
        </is>
      </c>
      <c r="C40" t="n">
        <v>39</v>
      </c>
      <c r="D40" s="3" t="inlineStr">
        <is>
          <t>B-B-055 104 East 25th Street (Williams Equities; NeueHouse Madison Square); B-W-010 NeueHouse Madison Square</t>
        </is>
      </c>
      <c r="E40" t="inlineStr">
        <is>
          <t>building; coworking</t>
        </is>
      </c>
      <c r="F40" t="inlineStr">
        <is>
          <t>104 East 25th Street</t>
        </is>
      </c>
      <c r="G40" t="n">
        <v>40.741024</v>
      </c>
      <c r="H40" t="n">
        <v>-73.984936</v>
      </c>
      <c r="I40" t="n">
        <v>4.7</v>
      </c>
      <c r="J40" t="n">
        <v>4</v>
      </c>
      <c r="K40">
        <f>IF(A40=A39,K39,0)+I40+J40</f>
        <v/>
      </c>
      <c r="L40">
        <f>SUMIF($A$2:$A$118,A40,$I$2:$I$118)+SUMIF($A$2:$A$118,A40,$J$2:$J$118)</f>
        <v/>
      </c>
      <c r="M40" t="inlineStr">
        <is>
          <t>23 St-Baruch College (6), about 1 min walk</t>
        </is>
      </c>
      <c r="N40" t="inlineStr">
        <is>
          <t>28 St (6), about 2 min walk</t>
        </is>
      </c>
      <c r="O40"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 || COWORKING: Operator signage in the lobby; floors listed on the directory; front-desk hours; who receives deliveries for members</t>
        </is>
      </c>
      <c r="P40" s="10" t="inlineStr"/>
      <c r="Q40" s="10" t="inlineStr"/>
      <c r="R40" s="10" t="inlineStr"/>
      <c r="S40" s="10" t="inlineStr"/>
      <c r="T40" s="10" t="inlineStr"/>
      <c r="U40" s="10" t="inlineStr"/>
      <c r="V40" s="10" t="inlineStr"/>
    </row>
    <row r="41">
      <c r="A41" t="n">
        <v>4</v>
      </c>
      <c r="B41" t="inlineStr">
        <is>
          <t>core (inside the boundary)</t>
        </is>
      </c>
      <c r="C41" t="n">
        <v>40</v>
      </c>
      <c r="D41" s="3" t="inlineStr">
        <is>
          <t>B-B-058 345 Park Avenue South (Deerfield Management; home of Cure); B-W-013 Cure, 345 Park Avenue South</t>
        </is>
      </c>
      <c r="E41" t="inlineStr">
        <is>
          <t>building; coworking</t>
        </is>
      </c>
      <c r="F41" t="inlineStr">
        <is>
          <t>345 Park Avenue South</t>
        </is>
      </c>
      <c r="G41" t="n">
        <v>40.741737</v>
      </c>
      <c r="H41" t="n">
        <v>-73.98485599999999</v>
      </c>
      <c r="I41" t="n">
        <v>2.1</v>
      </c>
      <c r="J41" t="n">
        <v>4</v>
      </c>
      <c r="K41">
        <f>IF(A41=A40,K40,0)+I41+J41</f>
        <v/>
      </c>
      <c r="L41">
        <f>SUMIF($A$2:$A$118,A41,$I$2:$I$118)+SUMIF($A$2:$A$118,A41,$J$2:$J$118)</f>
        <v/>
      </c>
      <c r="M41" t="inlineStr">
        <is>
          <t>23 St-Baruch College (6), about 1 min walk</t>
        </is>
      </c>
      <c r="N41" t="inlineStr">
        <is>
          <t>28 St (6), about 2 min walk</t>
        </is>
      </c>
      <c r="O41"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 || COWORKING: Operator signage in the lobby; floors listed on the directory; front-desk hours; who receives deliveries for members</t>
        </is>
      </c>
      <c r="P41" s="10" t="inlineStr"/>
      <c r="Q41" s="10" t="inlineStr"/>
      <c r="R41" s="10" t="inlineStr"/>
      <c r="S41" s="10" t="inlineStr"/>
      <c r="T41" s="10" t="inlineStr"/>
      <c r="U41" s="10" t="inlineStr"/>
      <c r="V41" s="10" t="inlineStr"/>
    </row>
    <row r="42">
      <c r="A42" t="n">
        <v>4</v>
      </c>
      <c r="B42" t="inlineStr">
        <is>
          <t>core (inside the boundary)</t>
        </is>
      </c>
      <c r="C42" t="n">
        <v>41</v>
      </c>
      <c r="D42" s="3" t="inlineStr">
        <is>
          <t>B-B-059 360 Park Avenue South (BXP)</t>
        </is>
      </c>
      <c r="E42" t="inlineStr">
        <is>
          <t>building</t>
        </is>
      </c>
      <c r="F42" t="inlineStr">
        <is>
          <t>360 Park Avenue South</t>
        </is>
      </c>
      <c r="G42" t="n">
        <v>40.742105</v>
      </c>
      <c r="H42" t="n">
        <v>-73.985534</v>
      </c>
      <c r="I42" t="n">
        <v>1.5</v>
      </c>
      <c r="J42" t="n">
        <v>5</v>
      </c>
      <c r="K42">
        <f>IF(A42=A41,K41,0)+I42+J42</f>
        <v/>
      </c>
      <c r="L42">
        <f>SUMIF($A$2:$A$118,A42,$I$2:$I$118)+SUMIF($A$2:$A$118,A42,$J$2:$J$118)</f>
        <v/>
      </c>
      <c r="M42" t="inlineStr">
        <is>
          <t>23 St-Baruch College (6), about 1 min walk</t>
        </is>
      </c>
      <c r="N42" t="inlineStr">
        <is>
          <t>28 St (6), about 2 min walk</t>
        </is>
      </c>
      <c r="O42"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42" s="10" t="inlineStr"/>
      <c r="Q42" s="10" t="inlineStr"/>
      <c r="R42" s="10" t="inlineStr"/>
      <c r="S42" s="10" t="inlineStr"/>
      <c r="T42" s="10" t="inlineStr"/>
      <c r="U42" s="10" t="inlineStr"/>
      <c r="V42" s="10" t="inlineStr"/>
    </row>
    <row r="43">
      <c r="A43" t="n">
        <v>4</v>
      </c>
      <c r="B43" t="inlineStr">
        <is>
          <t>core (inside the boundary)</t>
        </is>
      </c>
      <c r="C43" t="n">
        <v>42</v>
      </c>
      <c r="D43" s="3" t="inlineStr">
        <is>
          <t>B-B-064 373 Park Avenue South (Olmstead Properties and Vertex)</t>
        </is>
      </c>
      <c r="E43" t="inlineStr">
        <is>
          <t>building</t>
        </is>
      </c>
      <c r="F43" t="inlineStr">
        <is>
          <t>373 Park Avenue South</t>
        </is>
      </c>
      <c r="G43" t="n">
        <v>40.742142</v>
      </c>
      <c r="H43" t="n">
        <v>-73.98437</v>
      </c>
      <c r="I43" t="n">
        <v>2.5</v>
      </c>
      <c r="J43" t="n">
        <v>3</v>
      </c>
      <c r="K43">
        <f>IF(A43=A42,K42,0)+I43+J43</f>
        <v/>
      </c>
      <c r="L43">
        <f>SUMIF($A$2:$A$118,A43,$I$2:$I$118)+SUMIF($A$2:$A$118,A43,$J$2:$J$118)</f>
        <v/>
      </c>
      <c r="M43" t="inlineStr">
        <is>
          <t>23 St-Baruch College (6), about 1 min walk</t>
        </is>
      </c>
      <c r="N43" t="inlineStr">
        <is>
          <t>28 St (6), about 2 min walk</t>
        </is>
      </c>
      <c r="O43"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43" s="10" t="inlineStr"/>
      <c r="Q43" s="10" t="inlineStr"/>
      <c r="R43" s="10" t="inlineStr"/>
      <c r="S43" s="10" t="inlineStr"/>
      <c r="T43" s="10" t="inlineStr"/>
      <c r="U43" s="10" t="inlineStr"/>
      <c r="V43" s="10" t="inlineStr"/>
    </row>
    <row r="44">
      <c r="A44" t="n">
        <v>4</v>
      </c>
      <c r="B44" t="inlineStr">
        <is>
          <t>core (inside the boundary)</t>
        </is>
      </c>
      <c r="C44" t="n">
        <v>43</v>
      </c>
      <c r="D44" s="3" t="inlineStr">
        <is>
          <t>B-B-068 381 Park Avenue South (Olmstead Properties and Vertex)</t>
        </is>
      </c>
      <c r="E44" t="inlineStr">
        <is>
          <t>building</t>
        </is>
      </c>
      <c r="F44" t="inlineStr">
        <is>
          <t>381 Park Avenue South</t>
        </is>
      </c>
      <c r="G44" t="n">
        <v>40.742351</v>
      </c>
      <c r="H44" t="n">
        <v>-73.984127</v>
      </c>
      <c r="I44" t="n">
        <v>1.3</v>
      </c>
      <c r="J44" t="n">
        <v>5</v>
      </c>
      <c r="K44">
        <f>IF(A44=A43,K43,0)+I44+J44</f>
        <v/>
      </c>
      <c r="L44">
        <f>SUMIF($A$2:$A$118,A44,$I$2:$I$118)+SUMIF($A$2:$A$118,A44,$J$2:$J$118)</f>
        <v/>
      </c>
      <c r="M44" t="inlineStr">
        <is>
          <t>23 St-Baruch College (6), about 1 min walk</t>
        </is>
      </c>
      <c r="N44" t="inlineStr">
        <is>
          <t>28 St (6), about 2 min walk</t>
        </is>
      </c>
      <c r="O44"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44" s="10" t="inlineStr"/>
      <c r="Q44" s="10" t="inlineStr"/>
      <c r="R44" s="10" t="inlineStr"/>
      <c r="S44" s="10" t="inlineStr"/>
      <c r="T44" s="10" t="inlineStr"/>
      <c r="U44" s="10" t="inlineStr"/>
      <c r="V44" s="10" t="inlineStr"/>
    </row>
    <row r="45">
      <c r="A45" t="n">
        <v>4</v>
      </c>
      <c r="B45" t="inlineStr">
        <is>
          <t>core (inside the boundary)</t>
        </is>
      </c>
      <c r="C45" t="n">
        <v>44</v>
      </c>
      <c r="D45" s="3" t="inlineStr">
        <is>
          <t>B-W-019 Spaces Midtown South (401 Park Avenue South)</t>
        </is>
      </c>
      <c r="E45" t="inlineStr">
        <is>
          <t>coworking</t>
        </is>
      </c>
      <c r="F45" t="inlineStr">
        <is>
          <t>401 Park Avenue South</t>
        </is>
      </c>
      <c r="G45" t="n">
        <v>40.742962</v>
      </c>
      <c r="H45" t="n">
        <v>-73.983783</v>
      </c>
      <c r="I45" t="n">
        <v>2.1</v>
      </c>
      <c r="J45" t="n">
        <v>3</v>
      </c>
      <c r="K45">
        <f>IF(A45=A44,K44,0)+I45+J45</f>
        <v/>
      </c>
      <c r="L45">
        <f>SUMIF($A$2:$A$118,A45,$I$2:$I$118)+SUMIF($A$2:$A$118,A45,$J$2:$J$118)</f>
        <v/>
      </c>
      <c r="M45" t="inlineStr">
        <is>
          <t>23 St-Baruch College (6), about 1 min walk</t>
        </is>
      </c>
      <c r="N45" t="inlineStr">
        <is>
          <t>28 St (6), about 2 min walk</t>
        </is>
      </c>
      <c r="O45" s="3" t="inlineStr">
        <is>
          <t>COWORKING: Operator signage in the lobby; floors listed on the directory; front-desk hours; who receives deliveries for members</t>
        </is>
      </c>
      <c r="P45" s="10" t="inlineStr"/>
      <c r="Q45" s="10" t="inlineStr"/>
      <c r="R45" s="10" t="inlineStr"/>
      <c r="S45" s="10" t="inlineStr"/>
      <c r="T45" s="10" t="inlineStr"/>
      <c r="U45" s="10" t="inlineStr"/>
      <c r="V45" s="10" t="inlineStr"/>
    </row>
    <row r="46">
      <c r="A46" t="n">
        <v>4</v>
      </c>
      <c r="B46" t="inlineStr">
        <is>
          <t>core (inside the boundary)</t>
        </is>
      </c>
      <c r="C46" t="n">
        <v>45</v>
      </c>
      <c r="D46" s="3" t="inlineStr">
        <is>
          <t>B-B-073 387 Park Avenue South (TF Cornerstone); B-W-017 The Malin NoMad</t>
        </is>
      </c>
      <c r="E46" t="inlineStr">
        <is>
          <t>building; coworking</t>
        </is>
      </c>
      <c r="F46" t="inlineStr">
        <is>
          <t>387 Park Avenue South</t>
        </is>
      </c>
      <c r="G46" t="n">
        <v>40.742728</v>
      </c>
      <c r="H46" t="n">
        <v>-73.98397</v>
      </c>
      <c r="I46" t="n">
        <v>1.1</v>
      </c>
      <c r="J46" t="n">
        <v>4.5</v>
      </c>
      <c r="K46">
        <f>IF(A46=A45,K45,0)+I46+J46</f>
        <v/>
      </c>
      <c r="L46">
        <f>SUMIF($A$2:$A$118,A46,$I$2:$I$118)+SUMIF($A$2:$A$118,A46,$J$2:$J$118)</f>
        <v/>
      </c>
      <c r="M46" t="inlineStr">
        <is>
          <t>23 St-Baruch College (6), about 1 min walk</t>
        </is>
      </c>
      <c r="N46" t="inlineStr">
        <is>
          <t>28 St (6), about 2 min walk</t>
        </is>
      </c>
      <c r="O46"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 || COWORKING: Operator signage in the lobby; floors listed on the directory; front-desk hours; who receives deliveries for members</t>
        </is>
      </c>
      <c r="P46" s="10" t="inlineStr"/>
      <c r="Q46" s="10" t="inlineStr"/>
      <c r="R46" s="10" t="inlineStr"/>
      <c r="S46" s="10" t="inlineStr"/>
      <c r="T46" s="10" t="inlineStr"/>
      <c r="U46" s="10" t="inlineStr"/>
      <c r="V46" s="10" t="inlineStr"/>
    </row>
    <row r="47">
      <c r="A47" t="n">
        <v>4</v>
      </c>
      <c r="B47" t="inlineStr">
        <is>
          <t>core (inside the boundary)</t>
        </is>
      </c>
      <c r="C47" t="n">
        <v>46</v>
      </c>
      <c r="D47" s="3" t="inlineStr">
        <is>
          <t>B-B-072 386 Park Avenue South (HSR Corporation); B-W-016 Industrious 386 Park Ave S</t>
        </is>
      </c>
      <c r="E47" t="inlineStr">
        <is>
          <t>building; coworking</t>
        </is>
      </c>
      <c r="F47" t="inlineStr">
        <is>
          <t>386 Park Avenue South</t>
        </is>
      </c>
      <c r="G47" t="n">
        <v>40.743091</v>
      </c>
      <c r="H47" t="n">
        <v>-73.98483299999999</v>
      </c>
      <c r="I47" t="n">
        <v>1.6</v>
      </c>
      <c r="J47" t="n">
        <v>5</v>
      </c>
      <c r="K47">
        <f>IF(A47=A46,K46,0)+I47+J47</f>
        <v/>
      </c>
      <c r="L47">
        <f>SUMIF($A$2:$A$118,A47,$I$2:$I$118)+SUMIF($A$2:$A$118,A47,$J$2:$J$118)</f>
        <v/>
      </c>
      <c r="M47" t="inlineStr">
        <is>
          <t>23 St-Baruch College (6), about 1 min walk</t>
        </is>
      </c>
      <c r="N47" t="inlineStr">
        <is>
          <t>28 St (6), about 2 min walk</t>
        </is>
      </c>
      <c r="O47"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 || COWORKING: Operator signage in the lobby; floors listed on the directory; front-desk hours; who receives deliveries for members</t>
        </is>
      </c>
      <c r="P47" s="10" t="inlineStr"/>
      <c r="Q47" s="10" t="inlineStr"/>
      <c r="R47" s="10" t="inlineStr"/>
      <c r="S47" s="10" t="inlineStr"/>
      <c r="T47" s="10" t="inlineStr"/>
      <c r="U47" s="10" t="inlineStr"/>
      <c r="V47" s="10" t="inlineStr"/>
    </row>
    <row r="48">
      <c r="A48" t="n">
        <v>4</v>
      </c>
      <c r="B48" t="inlineStr">
        <is>
          <t>core (inside the boundary)</t>
        </is>
      </c>
      <c r="C48" t="n">
        <v>47</v>
      </c>
      <c r="D48" s="3" t="inlineStr">
        <is>
          <t>B-R-010 Whole Foods Market NoMad</t>
        </is>
      </c>
      <c r="E48" t="inlineStr">
        <is>
          <t>retailer</t>
        </is>
      </c>
      <c r="F48" t="inlineStr">
        <is>
          <t>63 Madison Avenue</t>
        </is>
      </c>
      <c r="G48" t="n">
        <v>40.743465</v>
      </c>
      <c r="H48" t="n">
        <v>-73.98534600000001</v>
      </c>
      <c r="I48" t="n">
        <v>3.5</v>
      </c>
      <c r="J48" t="n">
        <v>10</v>
      </c>
      <c r="K48">
        <f>IF(A48=A47,K47,0)+I48+J48</f>
        <v/>
      </c>
      <c r="L48">
        <f>SUMIF($A$2:$A$118,A48,$I$2:$I$118)+SUMIF($A$2:$A$118,A48,$J$2:$J$118)</f>
        <v/>
      </c>
      <c r="M48" t="inlineStr">
        <is>
          <t>23 St-Baruch College (6), about 1 min walk</t>
        </is>
      </c>
      <c r="N48" t="inlineStr">
        <is>
          <t>28 St (6), about 2 min walk</t>
        </is>
      </c>
      <c r="O48" s="3" t="inlineStr">
        <is>
          <t>RETAILER: Store open; photo of the local or emerging snack and drink set (aisle and shelf tags); note which shelf it is in; any 'local' or 'new' shelf signage</t>
        </is>
      </c>
      <c r="P48" s="10" t="inlineStr"/>
      <c r="Q48" s="10" t="inlineStr"/>
      <c r="R48" s="10" t="inlineStr"/>
      <c r="S48" s="10" t="inlineStr"/>
      <c r="T48" s="10" t="inlineStr"/>
      <c r="U48" s="10" t="inlineStr"/>
      <c r="V48" s="10" t="inlineStr"/>
    </row>
    <row r="49">
      <c r="A49" t="n">
        <v>4</v>
      </c>
      <c r="B49" t="inlineStr">
        <is>
          <t>core (inside the boundary)</t>
        </is>
      </c>
      <c r="C49" t="n">
        <v>48</v>
      </c>
      <c r="D49" s="3" t="inlineStr">
        <is>
          <t>B-B-076 79 Madison Avenue / 27 East 28th Street (Williams Equities); B-W-020 WeWork 27 E 28th St (79 Madison Ave building)</t>
        </is>
      </c>
      <c r="E49" t="inlineStr">
        <is>
          <t>building; coworking</t>
        </is>
      </c>
      <c r="F49" t="inlineStr">
        <is>
          <t>27 East 28th Street</t>
        </is>
      </c>
      <c r="G49" t="n">
        <v>40.744057</v>
      </c>
      <c r="H49" t="n">
        <v>-73.985252</v>
      </c>
      <c r="I49" t="n">
        <v>2</v>
      </c>
      <c r="J49" t="n">
        <v>4</v>
      </c>
      <c r="K49">
        <f>IF(A49=A48,K48,0)+I49+J49</f>
        <v/>
      </c>
      <c r="L49">
        <f>SUMIF($A$2:$A$118,A49,$I$2:$I$118)+SUMIF($A$2:$A$118,A49,$J$2:$J$118)</f>
        <v/>
      </c>
      <c r="M49" t="inlineStr">
        <is>
          <t>23 St-Baruch College (6), about 1 min walk</t>
        </is>
      </c>
      <c r="N49" t="inlineStr">
        <is>
          <t>28 St (6), about 2 min walk</t>
        </is>
      </c>
      <c r="O49"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 || COWORKING: Operator signage in the lobby; floors listed on the directory; front-desk hours; who receives deliveries for members</t>
        </is>
      </c>
      <c r="P49" s="10" t="inlineStr"/>
      <c r="Q49" s="10" t="inlineStr"/>
      <c r="R49" s="10" t="inlineStr"/>
      <c r="S49" s="10" t="inlineStr"/>
      <c r="T49" s="10" t="inlineStr"/>
      <c r="U49" s="10" t="inlineStr"/>
      <c r="V49" s="10" t="inlineStr"/>
    </row>
    <row r="50">
      <c r="A50" t="n">
        <v>5</v>
      </c>
      <c r="B50" t="inlineStr">
        <is>
          <t>core (inside the boundary)</t>
        </is>
      </c>
      <c r="C50" t="n">
        <v>49</v>
      </c>
      <c r="D50" s="3" t="inlineStr">
        <is>
          <t>B-B-079 432 Park Avenue South (Samco Properties)</t>
        </is>
      </c>
      <c r="E50" t="inlineStr">
        <is>
          <t>building</t>
        </is>
      </c>
      <c r="F50" t="inlineStr">
        <is>
          <t>432 Park Avenue South</t>
        </is>
      </c>
      <c r="G50" t="n">
        <v>40.744255</v>
      </c>
      <c r="H50" t="n">
        <v>-73.983762</v>
      </c>
      <c r="I50" t="n">
        <v>0</v>
      </c>
      <c r="J50" t="n">
        <v>3.5</v>
      </c>
      <c r="K50">
        <f>IF(A50=A49,K49,0)+I50+J50</f>
        <v/>
      </c>
      <c r="L50">
        <f>SUMIF($A$2:$A$118,A50,$I$2:$I$118)+SUMIF($A$2:$A$118,A50,$J$2:$J$118)</f>
        <v/>
      </c>
      <c r="M50" t="inlineStr">
        <is>
          <t>28 St (6), about 2 min walk</t>
        </is>
      </c>
      <c r="N50" t="inlineStr">
        <is>
          <t>23 St-Baruch College (6), about 2 min walk</t>
        </is>
      </c>
      <c r="O50"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50" s="10" t="inlineStr"/>
      <c r="Q50" s="10" t="inlineStr"/>
      <c r="R50" s="10" t="inlineStr"/>
      <c r="S50" s="10" t="inlineStr"/>
      <c r="T50" s="10" t="inlineStr"/>
      <c r="U50" s="10" t="inlineStr"/>
      <c r="V50" s="10" t="inlineStr"/>
    </row>
    <row r="51">
      <c r="A51" t="n">
        <v>5</v>
      </c>
      <c r="B51" t="inlineStr">
        <is>
          <t>core (inside the boundary)</t>
        </is>
      </c>
      <c r="C51" t="n">
        <v>50</v>
      </c>
      <c r="D51" s="3" t="inlineStr">
        <is>
          <t>B-B-080 440 Park Avenue South (Samco Properties)</t>
        </is>
      </c>
      <c r="E51" t="inlineStr">
        <is>
          <t>building</t>
        </is>
      </c>
      <c r="F51" t="inlineStr">
        <is>
          <t>440 Park Avenue South</t>
        </is>
      </c>
      <c r="G51" t="n">
        <v>40.744522</v>
      </c>
      <c r="H51" t="n">
        <v>-73.983617</v>
      </c>
      <c r="I51" t="n">
        <v>1</v>
      </c>
      <c r="J51" t="n">
        <v>3.5</v>
      </c>
      <c r="K51">
        <f>IF(A51=A50,K50,0)+I51+J51</f>
        <v/>
      </c>
      <c r="L51">
        <f>SUMIF($A$2:$A$118,A51,$I$2:$I$118)+SUMIF($A$2:$A$118,A51,$J$2:$J$118)</f>
        <v/>
      </c>
      <c r="M51" t="inlineStr">
        <is>
          <t>28 St (6), about 2 min walk</t>
        </is>
      </c>
      <c r="N51" t="inlineStr">
        <is>
          <t>23 St-Baruch College (6), about 2 min walk</t>
        </is>
      </c>
      <c r="O51"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51" s="10" t="inlineStr"/>
      <c r="Q51" s="10" t="inlineStr"/>
      <c r="R51" s="10" t="inlineStr"/>
      <c r="S51" s="10" t="inlineStr"/>
      <c r="T51" s="10" t="inlineStr"/>
      <c r="U51" s="10" t="inlineStr"/>
      <c r="V51" s="10" t="inlineStr"/>
    </row>
    <row r="52">
      <c r="A52" t="n">
        <v>5</v>
      </c>
      <c r="B52" t="inlineStr">
        <is>
          <t>core (inside the boundary)</t>
        </is>
      </c>
      <c r="C52" t="n">
        <v>51</v>
      </c>
      <c r="D52" s="3" t="inlineStr">
        <is>
          <t>B-B-081 450 Park Avenue South; B-W-024 WeWork 450 Park Ave S</t>
        </is>
      </c>
      <c r="E52" t="inlineStr">
        <is>
          <t>building; coworking</t>
        </is>
      </c>
      <c r="F52" t="inlineStr">
        <is>
          <t>450 Park Avenue South</t>
        </is>
      </c>
      <c r="G52" t="n">
        <v>40.744997</v>
      </c>
      <c r="H52" t="n">
        <v>-73.983237</v>
      </c>
      <c r="I52" t="n">
        <v>1.7</v>
      </c>
      <c r="J52" t="n">
        <v>4</v>
      </c>
      <c r="K52">
        <f>IF(A52=A51,K51,0)+I52+J52</f>
        <v/>
      </c>
      <c r="L52">
        <f>SUMIF($A$2:$A$118,A52,$I$2:$I$118)+SUMIF($A$2:$A$118,A52,$J$2:$J$118)</f>
        <v/>
      </c>
      <c r="M52" t="inlineStr">
        <is>
          <t>28 St (6), about 2 min walk</t>
        </is>
      </c>
      <c r="N52" t="inlineStr">
        <is>
          <t>23 St-Baruch College (6), about 2 min walk</t>
        </is>
      </c>
      <c r="O52"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 || COWORKING: Operator signage in the lobby; floors listed on the directory; front-desk hours; who receives deliveries for members</t>
        </is>
      </c>
      <c r="P52" s="10" t="inlineStr"/>
      <c r="Q52" s="10" t="inlineStr"/>
      <c r="R52" s="10" t="inlineStr"/>
      <c r="S52" s="10" t="inlineStr"/>
      <c r="T52" s="10" t="inlineStr"/>
      <c r="U52" s="10" t="inlineStr"/>
      <c r="V52" s="10" t="inlineStr"/>
    </row>
    <row r="53">
      <c r="A53" t="n">
        <v>5</v>
      </c>
      <c r="B53" t="inlineStr">
        <is>
          <t>core (inside the boundary)</t>
        </is>
      </c>
      <c r="C53" t="n">
        <v>52</v>
      </c>
      <c r="D53" s="3" t="inlineStr">
        <is>
          <t>B-B-078 99 Madison Avenue (Windsor Management)</t>
        </is>
      </c>
      <c r="E53" t="inlineStr">
        <is>
          <t>building</t>
        </is>
      </c>
      <c r="F53" t="inlineStr">
        <is>
          <t>99 Madison Avenue</t>
        </is>
      </c>
      <c r="G53" t="n">
        <v>40.744677</v>
      </c>
      <c r="H53" t="n">
        <v>-73.98489600000001</v>
      </c>
      <c r="I53" t="n">
        <v>3.9</v>
      </c>
      <c r="J53" t="n">
        <v>3.5</v>
      </c>
      <c r="K53">
        <f>IF(A53=A52,K52,0)+I53+J53</f>
        <v/>
      </c>
      <c r="L53">
        <f>SUMIF($A$2:$A$118,A53,$I$2:$I$118)+SUMIF($A$2:$A$118,A53,$J$2:$J$118)</f>
        <v/>
      </c>
      <c r="M53" t="inlineStr">
        <is>
          <t>28 St (6), about 2 min walk</t>
        </is>
      </c>
      <c r="N53" t="inlineStr">
        <is>
          <t>23 St-Baruch College (6), about 2 min walk</t>
        </is>
      </c>
      <c r="O53"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53" s="10" t="inlineStr"/>
      <c r="Q53" s="10" t="inlineStr"/>
      <c r="R53" s="10" t="inlineStr"/>
      <c r="S53" s="10" t="inlineStr"/>
      <c r="T53" s="10" t="inlineStr"/>
      <c r="U53" s="10" t="inlineStr"/>
      <c r="V53" s="10" t="inlineStr"/>
    </row>
    <row r="54">
      <c r="A54" t="n">
        <v>5</v>
      </c>
      <c r="B54" t="inlineStr">
        <is>
          <t>core (inside the boundary)</t>
        </is>
      </c>
      <c r="C54" t="n">
        <v>53</v>
      </c>
      <c r="D54" s="3" t="inlineStr">
        <is>
          <t>B-B-082 Textile Building, 295 Fifth Avenue (Tribeca Investment Group, PGIM Real Estate, Meadow Partners)</t>
        </is>
      </c>
      <c r="E54" t="inlineStr">
        <is>
          <t>building</t>
        </is>
      </c>
      <c r="F54" t="inlineStr">
        <is>
          <t>295 Fifth Avenue</t>
        </is>
      </c>
      <c r="G54" t="n">
        <v>40.746062</v>
      </c>
      <c r="H54" t="n">
        <v>-73.98568400000001</v>
      </c>
      <c r="I54" t="n">
        <v>4.7</v>
      </c>
      <c r="J54" t="n">
        <v>3</v>
      </c>
      <c r="K54">
        <f>IF(A54=A53,K53,0)+I54+J54</f>
        <v/>
      </c>
      <c r="L54">
        <f>SUMIF($A$2:$A$118,A54,$I$2:$I$118)+SUMIF($A$2:$A$118,A54,$J$2:$J$118)</f>
        <v/>
      </c>
      <c r="M54" t="inlineStr">
        <is>
          <t>28 St (6), about 2 min walk</t>
        </is>
      </c>
      <c r="N54" t="inlineStr">
        <is>
          <t>23 St-Baruch College (6), about 2 min walk</t>
        </is>
      </c>
      <c r="O54"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54" s="10" t="inlineStr"/>
      <c r="Q54" s="10" t="inlineStr"/>
      <c r="R54" s="10" t="inlineStr"/>
      <c r="S54" s="10" t="inlineStr"/>
      <c r="T54" s="10" t="inlineStr"/>
      <c r="U54" s="10" t="inlineStr"/>
      <c r="V54" s="10" t="inlineStr"/>
    </row>
    <row r="55">
      <c r="A55" t="n">
        <v>5</v>
      </c>
      <c r="B55" t="inlineStr">
        <is>
          <t>core (inside the boundary)</t>
        </is>
      </c>
      <c r="C55" t="n">
        <v>54</v>
      </c>
      <c r="D55" s="3" t="inlineStr">
        <is>
          <t>B-B-077 261 Fifth Avenue (Feil Organization)</t>
        </is>
      </c>
      <c r="E55" t="inlineStr">
        <is>
          <t>building</t>
        </is>
      </c>
      <c r="F55" t="inlineStr">
        <is>
          <t>261 Fifth Avenue</t>
        </is>
      </c>
      <c r="G55" t="n">
        <v>40.744952</v>
      </c>
      <c r="H55" t="n">
        <v>-73.986574</v>
      </c>
      <c r="I55" t="n">
        <v>3.2</v>
      </c>
      <c r="J55" t="n">
        <v>3.5</v>
      </c>
      <c r="K55">
        <f>IF(A55=A54,K54,0)+I55+J55</f>
        <v/>
      </c>
      <c r="L55">
        <f>SUMIF($A$2:$A$118,A55,$I$2:$I$118)+SUMIF($A$2:$A$118,A55,$J$2:$J$118)</f>
        <v/>
      </c>
      <c r="M55" t="inlineStr">
        <is>
          <t>28 St (6), about 2 min walk</t>
        </is>
      </c>
      <c r="N55" t="inlineStr">
        <is>
          <t>23 St-Baruch College (6), about 2 min walk</t>
        </is>
      </c>
      <c r="O55"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55" s="10" t="inlineStr"/>
      <c r="Q55" s="10" t="inlineStr"/>
      <c r="R55" s="10" t="inlineStr"/>
      <c r="S55" s="10" t="inlineStr"/>
      <c r="T55" s="10" t="inlineStr"/>
      <c r="U55" s="10" t="inlineStr"/>
      <c r="V55" s="10" t="inlineStr"/>
    </row>
    <row r="56">
      <c r="A56" t="n">
        <v>5</v>
      </c>
      <c r="B56" t="inlineStr">
        <is>
          <t>core (inside the boundary)</t>
        </is>
      </c>
      <c r="C56" t="n">
        <v>55</v>
      </c>
      <c r="D56" s="3" t="inlineStr">
        <is>
          <t>B-B-074 245 Fifth Avenue (Moinian Group); B-W-018 WeWork 245 5th Ave</t>
        </is>
      </c>
      <c r="E56" t="inlineStr">
        <is>
          <t>building; coworking</t>
        </is>
      </c>
      <c r="F56" t="inlineStr">
        <is>
          <t>245 Fifth Avenue</t>
        </is>
      </c>
      <c r="G56" t="n">
        <v>40.74435</v>
      </c>
      <c r="H56" t="n">
        <v>-73.987084</v>
      </c>
      <c r="I56" t="n">
        <v>2</v>
      </c>
      <c r="J56" t="n">
        <v>4.5</v>
      </c>
      <c r="K56">
        <f>IF(A56=A55,K55,0)+I56+J56</f>
        <v/>
      </c>
      <c r="L56">
        <f>SUMIF($A$2:$A$118,A56,$I$2:$I$118)+SUMIF($A$2:$A$118,A56,$J$2:$J$118)</f>
        <v/>
      </c>
      <c r="M56" t="inlineStr">
        <is>
          <t>28 St (6), about 2 min walk</t>
        </is>
      </c>
      <c r="N56" t="inlineStr">
        <is>
          <t>23 St-Baruch College (6), about 2 min walk</t>
        </is>
      </c>
      <c r="O56"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 || COWORKING: Operator signage in the lobby; floors listed on the directory; front-desk hours; who receives deliveries for members</t>
        </is>
      </c>
      <c r="P56" s="10" t="inlineStr"/>
      <c r="Q56" s="10" t="inlineStr"/>
      <c r="R56" s="10" t="inlineStr"/>
      <c r="S56" s="10" t="inlineStr"/>
      <c r="T56" s="10" t="inlineStr"/>
      <c r="U56" s="10" t="inlineStr"/>
      <c r="V56" s="10" t="inlineStr"/>
    </row>
    <row r="57">
      <c r="A57" t="n">
        <v>5</v>
      </c>
      <c r="B57" t="inlineStr">
        <is>
          <t>core (inside the boundary)</t>
        </is>
      </c>
      <c r="C57" t="n">
        <v>56</v>
      </c>
      <c r="D57" s="3" t="inlineStr">
        <is>
          <t>B-B-065 11 East 26th Street (Rockrose; joined to 15 East 26th Street)</t>
        </is>
      </c>
      <c r="E57" t="inlineStr">
        <is>
          <t>building</t>
        </is>
      </c>
      <c r="F57" t="inlineStr">
        <is>
          <t>11 East 26th Street</t>
        </is>
      </c>
      <c r="G57" t="n">
        <v>40.743449</v>
      </c>
      <c r="H57" t="n">
        <v>-73.987225</v>
      </c>
      <c r="I57" t="n">
        <v>3.4</v>
      </c>
      <c r="J57" t="n">
        <v>6</v>
      </c>
      <c r="K57">
        <f>IF(A57=A56,K56,0)+I57+J57</f>
        <v/>
      </c>
      <c r="L57">
        <f>SUMIF($A$2:$A$118,A57,$I$2:$I$118)+SUMIF($A$2:$A$118,A57,$J$2:$J$118)</f>
        <v/>
      </c>
      <c r="M57" t="inlineStr">
        <is>
          <t>28 St (6), about 2 min walk</t>
        </is>
      </c>
      <c r="N57" t="inlineStr">
        <is>
          <t>23 St-Baruch College (6), about 2 min walk</t>
        </is>
      </c>
      <c r="O57"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57" s="10" t="inlineStr"/>
      <c r="Q57" s="10" t="inlineStr"/>
      <c r="R57" s="10" t="inlineStr"/>
      <c r="S57" s="10" t="inlineStr"/>
      <c r="T57" s="10" t="inlineStr"/>
      <c r="U57" s="10" t="inlineStr"/>
      <c r="V57" s="10" t="inlineStr"/>
    </row>
    <row r="58">
      <c r="A58" t="n">
        <v>5</v>
      </c>
      <c r="B58" t="inlineStr">
        <is>
          <t>core (inside the boundary)</t>
        </is>
      </c>
      <c r="C58" t="n">
        <v>57</v>
      </c>
      <c r="D58" s="3" t="inlineStr">
        <is>
          <t>B-B-066 60 Madison Avenue (Moinian Group)</t>
        </is>
      </c>
      <c r="E58" t="inlineStr">
        <is>
          <t>building</t>
        </is>
      </c>
      <c r="F58" t="inlineStr">
        <is>
          <t>60 Madison Avenue</t>
        </is>
      </c>
      <c r="G58" t="n">
        <v>40.743288</v>
      </c>
      <c r="H58" t="n">
        <v>-73.986627</v>
      </c>
      <c r="I58" t="n">
        <v>2.1</v>
      </c>
      <c r="J58" t="n">
        <v>5</v>
      </c>
      <c r="K58">
        <f>IF(A58=A57,K57,0)+I58+J58</f>
        <v/>
      </c>
      <c r="L58">
        <f>SUMIF($A$2:$A$118,A58,$I$2:$I$118)+SUMIF($A$2:$A$118,A58,$J$2:$J$118)</f>
        <v/>
      </c>
      <c r="M58" t="inlineStr">
        <is>
          <t>28 St (6), about 2 min walk</t>
        </is>
      </c>
      <c r="N58" t="inlineStr">
        <is>
          <t>23 St-Baruch College (6), about 2 min walk</t>
        </is>
      </c>
      <c r="O58"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58" s="10" t="inlineStr"/>
      <c r="Q58" s="10" t="inlineStr"/>
      <c r="R58" s="10" t="inlineStr"/>
      <c r="S58" s="10" t="inlineStr"/>
      <c r="T58" s="10" t="inlineStr"/>
      <c r="U58" s="10" t="inlineStr"/>
      <c r="V58" s="10" t="inlineStr"/>
    </row>
    <row r="59">
      <c r="A59" t="n">
        <v>5</v>
      </c>
      <c r="B59" t="inlineStr">
        <is>
          <t>core (inside the boundary)</t>
        </is>
      </c>
      <c r="C59" t="n">
        <v>58</v>
      </c>
      <c r="D59" s="3" t="inlineStr">
        <is>
          <t>B-B-057 41 Madison Avenue (Rudin); B-W-012 Regus 41 Madison Avenue</t>
        </is>
      </c>
      <c r="E59" t="inlineStr">
        <is>
          <t>building; coworking</t>
        </is>
      </c>
      <c r="F59" t="inlineStr">
        <is>
          <t>41 Madison Avenue</t>
        </is>
      </c>
      <c r="G59" t="n">
        <v>40.742351</v>
      </c>
      <c r="H59" t="n">
        <v>-73.98630900000001</v>
      </c>
      <c r="I59" t="n">
        <v>2.7</v>
      </c>
      <c r="J59" t="n">
        <v>7</v>
      </c>
      <c r="K59">
        <f>IF(A59=A58,K58,0)+I59+J59</f>
        <v/>
      </c>
      <c r="L59">
        <f>SUMIF($A$2:$A$118,A59,$I$2:$I$118)+SUMIF($A$2:$A$118,A59,$J$2:$J$118)</f>
        <v/>
      </c>
      <c r="M59" t="inlineStr">
        <is>
          <t>28 St (6), about 2 min walk</t>
        </is>
      </c>
      <c r="N59" t="inlineStr">
        <is>
          <t>23 St-Baruch College (6), about 2 min walk</t>
        </is>
      </c>
      <c r="O59"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 || COWORKING: Operator signage in the lobby; floors listed on the directory; front-desk hours; who receives deliveries for members</t>
        </is>
      </c>
      <c r="P59" s="10" t="inlineStr"/>
      <c r="Q59" s="10" t="inlineStr"/>
      <c r="R59" s="10" t="inlineStr"/>
      <c r="S59" s="10" t="inlineStr"/>
      <c r="T59" s="10" t="inlineStr"/>
      <c r="U59" s="10" t="inlineStr"/>
      <c r="V59" s="10" t="inlineStr"/>
    </row>
    <row r="60">
      <c r="A60" t="n">
        <v>5</v>
      </c>
      <c r="B60" t="inlineStr">
        <is>
          <t>core (inside the boundary)</t>
        </is>
      </c>
      <c r="C60" t="n">
        <v>59</v>
      </c>
      <c r="D60" s="3" t="inlineStr">
        <is>
          <t>B-B-052 11 Madison Avenue (SL Green); Sony Music uses 25 Madison Ave entrance</t>
        </is>
      </c>
      <c r="E60" t="inlineStr">
        <is>
          <t>building</t>
        </is>
      </c>
      <c r="F60" t="inlineStr">
        <is>
          <t>11 Madison Avenue</t>
        </is>
      </c>
      <c r="G60" t="n">
        <v>40.741518</v>
      </c>
      <c r="H60" t="n">
        <v>-73.986485</v>
      </c>
      <c r="I60" t="n">
        <v>2.8</v>
      </c>
      <c r="J60" t="n">
        <v>3.5</v>
      </c>
      <c r="K60">
        <f>IF(A60=A59,K59,0)+I60+J60</f>
        <v/>
      </c>
      <c r="L60">
        <f>SUMIF($A$2:$A$118,A60,$I$2:$I$118)+SUMIF($A$2:$A$118,A60,$J$2:$J$118)</f>
        <v/>
      </c>
      <c r="M60" t="inlineStr">
        <is>
          <t>28 St (6), about 2 min walk</t>
        </is>
      </c>
      <c r="N60" t="inlineStr">
        <is>
          <t>23 St-Baruch College (6), about 2 min walk</t>
        </is>
      </c>
      <c r="O60"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60" s="10" t="inlineStr"/>
      <c r="Q60" s="10" t="inlineStr"/>
      <c r="R60" s="10" t="inlineStr"/>
      <c r="S60" s="10" t="inlineStr"/>
      <c r="T60" s="10" t="inlineStr"/>
      <c r="U60" s="10" t="inlineStr"/>
      <c r="V60" s="10" t="inlineStr"/>
    </row>
    <row r="61">
      <c r="A61" t="n">
        <v>5</v>
      </c>
      <c r="B61" t="inlineStr">
        <is>
          <t>core (inside the boundary)</t>
        </is>
      </c>
      <c r="C61" t="n">
        <v>60</v>
      </c>
      <c r="D61" s="3" t="inlineStr">
        <is>
          <t>B-B-051 One Madison Avenue (SL Green)</t>
        </is>
      </c>
      <c r="E61" t="inlineStr">
        <is>
          <t>building</t>
        </is>
      </c>
      <c r="F61" t="inlineStr">
        <is>
          <t>1 Madison Avenue</t>
        </is>
      </c>
      <c r="G61" t="n">
        <v>40.740847</v>
      </c>
      <c r="H61" t="n">
        <v>-73.986756</v>
      </c>
      <c r="I61" t="n">
        <v>3.4</v>
      </c>
      <c r="J61" t="n">
        <v>3</v>
      </c>
      <c r="K61">
        <f>IF(A61=A60,K60,0)+I61+J61</f>
        <v/>
      </c>
      <c r="L61">
        <f>SUMIF($A$2:$A$118,A61,$I$2:$I$118)+SUMIF($A$2:$A$118,A61,$J$2:$J$118)</f>
        <v/>
      </c>
      <c r="M61" t="inlineStr">
        <is>
          <t>28 St (6), about 2 min walk</t>
        </is>
      </c>
      <c r="N61" t="inlineStr">
        <is>
          <t>23 St-Baruch College (6), about 2 min walk</t>
        </is>
      </c>
      <c r="O61"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61" s="10" t="inlineStr"/>
      <c r="Q61" s="10" t="inlineStr"/>
      <c r="R61" s="10" t="inlineStr"/>
      <c r="S61" s="10" t="inlineStr"/>
      <c r="T61" s="10" t="inlineStr"/>
      <c r="U61" s="10" t="inlineStr"/>
      <c r="V61" s="10" t="inlineStr"/>
    </row>
    <row r="62">
      <c r="A62" t="n">
        <v>6</v>
      </c>
      <c r="B62" t="inlineStr">
        <is>
          <t>core (inside the boundary)</t>
        </is>
      </c>
      <c r="C62" t="n">
        <v>61</v>
      </c>
      <c r="D62" s="3" t="inlineStr">
        <is>
          <t>B-B-031 902 Broadway (Rosen family / Koeppel Rosen); B-W-008 Industrious 902 Broadway</t>
        </is>
      </c>
      <c r="E62" t="inlineStr">
        <is>
          <t>building; coworking</t>
        </is>
      </c>
      <c r="F62" t="inlineStr">
        <is>
          <t>902 Broadway</t>
        </is>
      </c>
      <c r="G62" t="n">
        <v>40.739291</v>
      </c>
      <c r="H62" t="n">
        <v>-73.989363</v>
      </c>
      <c r="I62" t="n">
        <v>0</v>
      </c>
      <c r="J62" t="n">
        <v>5</v>
      </c>
      <c r="K62">
        <f>IF(A62=A61,K61,0)+I62+J62</f>
        <v/>
      </c>
      <c r="L62">
        <f>SUMIF($A$2:$A$118,A62,$I$2:$I$118)+SUMIF($A$2:$A$118,A62,$J$2:$J$118)</f>
        <v/>
      </c>
      <c r="M62" t="inlineStr">
        <is>
          <t>23 St (R W), about 4 min walk</t>
        </is>
      </c>
      <c r="N62" t="inlineStr">
        <is>
          <t>23 St (F M), about 4 min walk</t>
        </is>
      </c>
      <c r="O62"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 || COWORKING: Operator signage in the lobby; floors listed on the directory; front-desk hours; who receives deliveries for members</t>
        </is>
      </c>
      <c r="P62" s="10" t="inlineStr"/>
      <c r="Q62" s="10" t="inlineStr"/>
      <c r="R62" s="10" t="inlineStr"/>
      <c r="S62" s="10" t="inlineStr"/>
      <c r="T62" s="10" t="inlineStr"/>
      <c r="U62" s="10" t="inlineStr"/>
      <c r="V62" s="10" t="inlineStr"/>
    </row>
    <row r="63">
      <c r="A63" t="n">
        <v>6</v>
      </c>
      <c r="B63" t="inlineStr">
        <is>
          <t>core (inside the boundary)</t>
        </is>
      </c>
      <c r="C63" t="n">
        <v>62</v>
      </c>
      <c r="D63" s="3" t="inlineStr">
        <is>
          <t>B-B-034 915 Broadway (ABS Partners)</t>
        </is>
      </c>
      <c r="E63" t="inlineStr">
        <is>
          <t>building</t>
        </is>
      </c>
      <c r="F63" t="inlineStr">
        <is>
          <t>915 Broadway</t>
        </is>
      </c>
      <c r="G63" t="n">
        <v>40.739825</v>
      </c>
      <c r="H63" t="n">
        <v>-73.990005</v>
      </c>
      <c r="I63" t="n">
        <v>2.2</v>
      </c>
      <c r="J63" t="n">
        <v>3.5</v>
      </c>
      <c r="K63">
        <f>IF(A63=A62,K62,0)+I63+J63</f>
        <v/>
      </c>
      <c r="L63">
        <f>SUMIF($A$2:$A$118,A63,$I$2:$I$118)+SUMIF($A$2:$A$118,A63,$J$2:$J$118)</f>
        <v/>
      </c>
      <c r="M63" t="inlineStr">
        <is>
          <t>23 St (R W), about 4 min walk</t>
        </is>
      </c>
      <c r="N63" t="inlineStr">
        <is>
          <t>23 St (F M), about 4 min walk</t>
        </is>
      </c>
      <c r="O63"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63" s="10" t="inlineStr"/>
      <c r="Q63" s="10" t="inlineStr"/>
      <c r="R63" s="10" t="inlineStr"/>
      <c r="S63" s="10" t="inlineStr"/>
      <c r="T63" s="10" t="inlineStr"/>
      <c r="U63" s="10" t="inlineStr"/>
      <c r="V63" s="10" t="inlineStr"/>
    </row>
    <row r="64">
      <c r="A64" t="n">
        <v>6</v>
      </c>
      <c r="B64" t="inlineStr">
        <is>
          <t>core (inside the boundary)</t>
        </is>
      </c>
      <c r="C64" t="n">
        <v>63</v>
      </c>
      <c r="D64" s="3" t="inlineStr">
        <is>
          <t>B-B-035 149 Fifth Avenue</t>
        </is>
      </c>
      <c r="E64" t="inlineStr">
        <is>
          <t>building</t>
        </is>
      </c>
      <c r="F64" t="inlineStr">
        <is>
          <t>149 Fifth Avenue</t>
        </is>
      </c>
      <c r="G64" t="n">
        <v>40.740215</v>
      </c>
      <c r="H64" t="n">
        <v>-73.990004</v>
      </c>
      <c r="I64" t="n">
        <v>1.9</v>
      </c>
      <c r="J64" t="n">
        <v>3</v>
      </c>
      <c r="K64">
        <f>IF(A64=A63,K63,0)+I64+J64</f>
        <v/>
      </c>
      <c r="L64">
        <f>SUMIF($A$2:$A$118,A64,$I$2:$I$118)+SUMIF($A$2:$A$118,A64,$J$2:$J$118)</f>
        <v/>
      </c>
      <c r="M64" t="inlineStr">
        <is>
          <t>23 St (R W), about 4 min walk</t>
        </is>
      </c>
      <c r="N64" t="inlineStr">
        <is>
          <t>23 St (F M), about 4 min walk</t>
        </is>
      </c>
      <c r="O64"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64" s="10" t="inlineStr"/>
      <c r="Q64" s="10" t="inlineStr"/>
      <c r="R64" s="10" t="inlineStr"/>
      <c r="S64" s="10" t="inlineStr"/>
      <c r="T64" s="10" t="inlineStr"/>
      <c r="U64" s="10" t="inlineStr"/>
      <c r="V64" s="10" t="inlineStr"/>
    </row>
    <row r="65">
      <c r="A65" t="n">
        <v>6</v>
      </c>
      <c r="B65" t="inlineStr">
        <is>
          <t>core (inside the boundary)</t>
        </is>
      </c>
      <c r="C65" t="n">
        <v>64</v>
      </c>
      <c r="D65" s="3" t="inlineStr">
        <is>
          <t>B-B-037 Scribner Building</t>
        </is>
      </c>
      <c r="E65" t="inlineStr">
        <is>
          <t>building</t>
        </is>
      </c>
      <c r="F65" t="inlineStr">
        <is>
          <t>155 Fifth Avenue</t>
        </is>
      </c>
      <c r="G65" t="n">
        <v>40.740438</v>
      </c>
      <c r="H65" t="n">
        <v>-73.99003399999999</v>
      </c>
      <c r="I65" t="n">
        <v>0.9</v>
      </c>
      <c r="J65" t="n">
        <v>3.5</v>
      </c>
      <c r="K65">
        <f>IF(A65=A64,K64,0)+I65+J65</f>
        <v/>
      </c>
      <c r="L65">
        <f>SUMIF($A$2:$A$118,A65,$I$2:$I$118)+SUMIF($A$2:$A$118,A65,$J$2:$J$118)</f>
        <v/>
      </c>
      <c r="M65" t="inlineStr">
        <is>
          <t>23 St (R W), about 4 min walk</t>
        </is>
      </c>
      <c r="N65" t="inlineStr">
        <is>
          <t>23 St (F M), about 4 min walk</t>
        </is>
      </c>
      <c r="O65"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65" s="10" t="inlineStr"/>
      <c r="Q65" s="10" t="inlineStr"/>
      <c r="R65" s="10" t="inlineStr"/>
      <c r="S65" s="10" t="inlineStr"/>
      <c r="T65" s="10" t="inlineStr"/>
      <c r="U65" s="10" t="inlineStr"/>
      <c r="V65" s="10" t="inlineStr"/>
    </row>
    <row r="66">
      <c r="A66" t="n">
        <v>6</v>
      </c>
      <c r="B66" t="inlineStr">
        <is>
          <t>core (inside the boundary)</t>
        </is>
      </c>
      <c r="C66" t="n">
        <v>65</v>
      </c>
      <c r="D66" s="3" t="inlineStr">
        <is>
          <t>B-B-043 7 West 22nd Street</t>
        </is>
      </c>
      <c r="E66" t="inlineStr">
        <is>
          <t>building</t>
        </is>
      </c>
      <c r="F66" t="inlineStr">
        <is>
          <t>7 West 22nd Street</t>
        </is>
      </c>
      <c r="G66" t="n">
        <v>40.741355</v>
      </c>
      <c r="H66" t="n">
        <v>-73.99059800000001</v>
      </c>
      <c r="I66" t="n">
        <v>2.8</v>
      </c>
      <c r="J66" t="n">
        <v>3</v>
      </c>
      <c r="K66">
        <f>IF(A66=A65,K65,0)+I66+J66</f>
        <v/>
      </c>
      <c r="L66">
        <f>SUMIF($A$2:$A$118,A66,$I$2:$I$118)+SUMIF($A$2:$A$118,A66,$J$2:$J$118)</f>
        <v/>
      </c>
      <c r="M66" t="inlineStr">
        <is>
          <t>23 St (R W), about 4 min walk</t>
        </is>
      </c>
      <c r="N66" t="inlineStr">
        <is>
          <t>23 St (F M), about 4 min walk</t>
        </is>
      </c>
      <c r="O66"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66" s="10" t="inlineStr"/>
      <c r="Q66" s="10" t="inlineStr"/>
      <c r="R66" s="10" t="inlineStr"/>
      <c r="S66" s="10" t="inlineStr"/>
      <c r="T66" s="10" t="inlineStr"/>
      <c r="U66" s="10" t="inlineStr"/>
      <c r="V66" s="10" t="inlineStr"/>
    </row>
    <row r="67">
      <c r="A67" t="n">
        <v>6</v>
      </c>
      <c r="B67" t="inlineStr">
        <is>
          <t>core (inside the boundary)</t>
        </is>
      </c>
      <c r="C67" t="n">
        <v>66</v>
      </c>
      <c r="D67" s="3" t="inlineStr">
        <is>
          <t>B-B-041 16 West 22nd Street (Meysar Realty / GFP)</t>
        </is>
      </c>
      <c r="E67" t="inlineStr">
        <is>
          <t>building</t>
        </is>
      </c>
      <c r="F67" t="inlineStr">
        <is>
          <t>16 West 22nd Street</t>
        </is>
      </c>
      <c r="G67" t="n">
        <v>40.741269</v>
      </c>
      <c r="H67" t="n">
        <v>-73.991221</v>
      </c>
      <c r="I67" t="n">
        <v>3</v>
      </c>
      <c r="J67" t="n">
        <v>3.5</v>
      </c>
      <c r="K67">
        <f>IF(A67=A66,K66,0)+I67+J67</f>
        <v/>
      </c>
      <c r="L67">
        <f>SUMIF($A$2:$A$118,A67,$I$2:$I$118)+SUMIF($A$2:$A$118,A67,$J$2:$J$118)</f>
        <v/>
      </c>
      <c r="M67" t="inlineStr">
        <is>
          <t>23 St (R W), about 4 min walk</t>
        </is>
      </c>
      <c r="N67" t="inlineStr">
        <is>
          <t>23 St (F M), about 4 min walk</t>
        </is>
      </c>
      <c r="O67"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67" s="10" t="inlineStr"/>
      <c r="Q67" s="10" t="inlineStr"/>
      <c r="R67" s="10" t="inlineStr"/>
      <c r="S67" s="10" t="inlineStr"/>
      <c r="T67" s="10" t="inlineStr"/>
      <c r="U67" s="10" t="inlineStr"/>
      <c r="V67" s="10" t="inlineStr"/>
    </row>
    <row r="68">
      <c r="A68" t="n">
        <v>6</v>
      </c>
      <c r="B68" t="inlineStr">
        <is>
          <t>core (inside the boundary)</t>
        </is>
      </c>
      <c r="C68" t="n">
        <v>67</v>
      </c>
      <c r="D68" s="3" t="inlineStr">
        <is>
          <t>B-B-040 20 West 22nd Street (ABS Partners, managing agent)</t>
        </is>
      </c>
      <c r="E68" t="inlineStr">
        <is>
          <t>building</t>
        </is>
      </c>
      <c r="F68" t="inlineStr">
        <is>
          <t>20 West 22nd Street</t>
        </is>
      </c>
      <c r="G68" t="n">
        <v>40.74129</v>
      </c>
      <c r="H68" t="n">
        <v>-73.991589</v>
      </c>
      <c r="I68" t="n">
        <v>0.9</v>
      </c>
      <c r="J68" t="n">
        <v>3</v>
      </c>
      <c r="K68">
        <f>IF(A68=A67,K67,0)+I68+J68</f>
        <v/>
      </c>
      <c r="L68">
        <f>SUMIF($A$2:$A$118,A68,$I$2:$I$118)+SUMIF($A$2:$A$118,A68,$J$2:$J$118)</f>
        <v/>
      </c>
      <c r="M68" t="inlineStr">
        <is>
          <t>23 St (R W), about 4 min walk</t>
        </is>
      </c>
      <c r="N68" t="inlineStr">
        <is>
          <t>23 St (F M), about 4 min walk</t>
        </is>
      </c>
      <c r="O68"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68" s="10" t="inlineStr"/>
      <c r="Q68" s="10" t="inlineStr"/>
      <c r="R68" s="10" t="inlineStr"/>
      <c r="S68" s="10" t="inlineStr"/>
      <c r="T68" s="10" t="inlineStr"/>
      <c r="U68" s="10" t="inlineStr"/>
      <c r="V68" s="10" t="inlineStr"/>
    </row>
    <row r="69">
      <c r="A69" t="n">
        <v>6</v>
      </c>
      <c r="B69" t="inlineStr">
        <is>
          <t>core (inside the boundary)</t>
        </is>
      </c>
      <c r="C69" t="n">
        <v>68</v>
      </c>
      <c r="D69" s="3" t="inlineStr">
        <is>
          <t>B-B-039 56 West 22nd Street (Kaufman Organization)</t>
        </is>
      </c>
      <c r="E69" t="inlineStr">
        <is>
          <t>building</t>
        </is>
      </c>
      <c r="F69" t="inlineStr">
        <is>
          <t>56 West 22nd Street</t>
        </is>
      </c>
      <c r="G69" t="n">
        <v>40.741838</v>
      </c>
      <c r="H69" t="n">
        <v>-73.992892</v>
      </c>
      <c r="I69" t="n">
        <v>2.4</v>
      </c>
      <c r="J69" t="n">
        <v>3.5</v>
      </c>
      <c r="K69">
        <f>IF(A69=A68,K68,0)+I69+J69</f>
        <v/>
      </c>
      <c r="L69">
        <f>SUMIF($A$2:$A$118,A69,$I$2:$I$118)+SUMIF($A$2:$A$118,A69,$J$2:$J$118)</f>
        <v/>
      </c>
      <c r="M69" t="inlineStr">
        <is>
          <t>23 St (R W), about 4 min walk</t>
        </is>
      </c>
      <c r="N69" t="inlineStr">
        <is>
          <t>23 St (F M), about 4 min walk</t>
        </is>
      </c>
      <c r="O69"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69" s="10" t="inlineStr"/>
      <c r="Q69" s="10" t="inlineStr"/>
      <c r="R69" s="10" t="inlineStr"/>
      <c r="S69" s="10" t="inlineStr"/>
      <c r="T69" s="10" t="inlineStr"/>
      <c r="U69" s="10" t="inlineStr"/>
      <c r="V69" s="10" t="inlineStr"/>
    </row>
    <row r="70">
      <c r="A70" t="n">
        <v>6</v>
      </c>
      <c r="B70" t="inlineStr">
        <is>
          <t>core (inside the boundary)</t>
        </is>
      </c>
      <c r="C70" t="n">
        <v>69</v>
      </c>
      <c r="D70" s="3" t="inlineStr">
        <is>
          <t>B-B-038 Adams Dry Goods / Mattel Building (GFP Real Estate); B-R-008 Trader Joe's Chelsea (store 543)</t>
        </is>
      </c>
      <c r="E70" t="inlineStr">
        <is>
          <t>building; retailer</t>
        </is>
      </c>
      <c r="F70" t="inlineStr">
        <is>
          <t>675 Avenue of the Americas</t>
        </is>
      </c>
      <c r="G70" t="n">
        <v>40.742133</v>
      </c>
      <c r="H70" t="n">
        <v>-73.99399099999999</v>
      </c>
      <c r="I70" t="n">
        <v>2.6</v>
      </c>
      <c r="J70" t="n">
        <v>5</v>
      </c>
      <c r="K70">
        <f>IF(A70=A69,K69,0)+I70+J70</f>
        <v/>
      </c>
      <c r="L70">
        <f>SUMIF($A$2:$A$118,A70,$I$2:$I$118)+SUMIF($A$2:$A$118,A70,$J$2:$J$118)</f>
        <v/>
      </c>
      <c r="M70" t="inlineStr">
        <is>
          <t>23 St (R W), about 4 min walk</t>
        </is>
      </c>
      <c r="N70" t="inlineStr">
        <is>
          <t>23 St (F M), about 4 min walk</t>
        </is>
      </c>
      <c r="O70"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 || RETAILER: Store open; photo of the local or emerging snack and drink set (aisle and shelf tags); note which shelf it is in; any 'local' or 'new' shelf signage</t>
        </is>
      </c>
      <c r="P70" s="10" t="inlineStr"/>
      <c r="Q70" s="10" t="inlineStr"/>
      <c r="R70" s="10" t="inlineStr"/>
      <c r="S70" s="10" t="inlineStr"/>
      <c r="T70" s="10" t="inlineStr"/>
      <c r="U70" s="10" t="inlineStr"/>
      <c r="V70" s="10" t="inlineStr"/>
    </row>
    <row r="71">
      <c r="A71" t="n">
        <v>6</v>
      </c>
      <c r="B71" t="inlineStr">
        <is>
          <t>core (inside the boundary)</t>
        </is>
      </c>
      <c r="C71" t="n">
        <v>70</v>
      </c>
      <c r="D71" s="3" t="inlineStr">
        <is>
          <t>B-B-036 53-55 West 21st Street (Moinian Group)</t>
        </is>
      </c>
      <c r="E71" t="inlineStr">
        <is>
          <t>building</t>
        </is>
      </c>
      <c r="F71" t="inlineStr">
        <is>
          <t>53 West 21st Street</t>
        </is>
      </c>
      <c r="G71" t="n">
        <v>40.741548</v>
      </c>
      <c r="H71" t="n">
        <v>-73.99300700000001</v>
      </c>
      <c r="I71" t="n">
        <v>2.1</v>
      </c>
      <c r="J71" t="n">
        <v>4</v>
      </c>
      <c r="K71">
        <f>IF(A71=A70,K70,0)+I71+J71</f>
        <v/>
      </c>
      <c r="L71">
        <f>SUMIF($A$2:$A$118,A71,$I$2:$I$118)+SUMIF($A$2:$A$118,A71,$J$2:$J$118)</f>
        <v/>
      </c>
      <c r="M71" t="inlineStr">
        <is>
          <t>23 St (R W), about 4 min walk</t>
        </is>
      </c>
      <c r="N71" t="inlineStr">
        <is>
          <t>23 St (F M), about 4 min walk</t>
        </is>
      </c>
      <c r="O71"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71" s="10" t="inlineStr"/>
      <c r="Q71" s="10" t="inlineStr"/>
      <c r="R71" s="10" t="inlineStr"/>
      <c r="S71" s="10" t="inlineStr"/>
      <c r="T71" s="10" t="inlineStr"/>
      <c r="U71" s="10" t="inlineStr"/>
      <c r="V71" s="10" t="inlineStr"/>
    </row>
    <row r="72">
      <c r="A72" t="n">
        <v>6</v>
      </c>
      <c r="B72" t="inlineStr">
        <is>
          <t>core (inside the boundary)</t>
        </is>
      </c>
      <c r="C72" t="n">
        <v>71</v>
      </c>
      <c r="D72" s="3" t="inlineStr">
        <is>
          <t>B-B-030 37 West 20th Street</t>
        </is>
      </c>
      <c r="E72" t="inlineStr">
        <is>
          <t>building</t>
        </is>
      </c>
      <c r="F72" t="inlineStr">
        <is>
          <t>37 West 20th Street</t>
        </is>
      </c>
      <c r="G72" t="n">
        <v>40.740813</v>
      </c>
      <c r="H72" t="n">
        <v>-73.99310699999999</v>
      </c>
      <c r="I72" t="n">
        <v>3.6</v>
      </c>
      <c r="J72" t="n">
        <v>3</v>
      </c>
      <c r="K72">
        <f>IF(A72=A71,K71,0)+I72+J72</f>
        <v/>
      </c>
      <c r="L72">
        <f>SUMIF($A$2:$A$118,A72,$I$2:$I$118)+SUMIF($A$2:$A$118,A72,$J$2:$J$118)</f>
        <v/>
      </c>
      <c r="M72" t="inlineStr">
        <is>
          <t>23 St (R W), about 4 min walk</t>
        </is>
      </c>
      <c r="N72" t="inlineStr">
        <is>
          <t>23 St (F M), about 4 min walk</t>
        </is>
      </c>
      <c r="O72"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72" s="10" t="inlineStr"/>
      <c r="Q72" s="10" t="inlineStr"/>
      <c r="R72" s="10" t="inlineStr"/>
      <c r="S72" s="10" t="inlineStr"/>
      <c r="T72" s="10" t="inlineStr"/>
      <c r="U72" s="10" t="inlineStr"/>
      <c r="V72" s="10" t="inlineStr"/>
    </row>
    <row r="73">
      <c r="A73" t="n">
        <v>6</v>
      </c>
      <c r="B73" t="inlineStr">
        <is>
          <t>core (inside the boundary)</t>
        </is>
      </c>
      <c r="C73" t="n">
        <v>72</v>
      </c>
      <c r="D73" s="3" t="inlineStr">
        <is>
          <t>B-B-029 Presbyterian Building / Flatiron Suites (HRC); B-W-007 Industrious 156 5th Ave</t>
        </is>
      </c>
      <c r="E73" t="inlineStr">
        <is>
          <t>building; coworking</t>
        </is>
      </c>
      <c r="F73" t="inlineStr">
        <is>
          <t>156 Fifth Avenue</t>
        </is>
      </c>
      <c r="G73" t="n">
        <v>40.740038</v>
      </c>
      <c r="H73" t="n">
        <v>-73.991401</v>
      </c>
      <c r="I73" t="n">
        <v>3.5</v>
      </c>
      <c r="J73" t="n">
        <v>4.5</v>
      </c>
      <c r="K73">
        <f>IF(A73=A72,K72,0)+I73+J73</f>
        <v/>
      </c>
      <c r="L73">
        <f>SUMIF($A$2:$A$118,A73,$I$2:$I$118)+SUMIF($A$2:$A$118,A73,$J$2:$J$118)</f>
        <v/>
      </c>
      <c r="M73" t="inlineStr">
        <is>
          <t>23 St (R W), about 4 min walk</t>
        </is>
      </c>
      <c r="N73" t="inlineStr">
        <is>
          <t>23 St (F M), about 4 min walk</t>
        </is>
      </c>
      <c r="O73"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 || COWORKING: Operator signage in the lobby; floors listed on the directory; front-desk hours; who receives deliveries for members</t>
        </is>
      </c>
      <c r="P73" s="10" t="inlineStr"/>
      <c r="Q73" s="10" t="inlineStr"/>
      <c r="R73" s="10" t="inlineStr"/>
      <c r="S73" s="10" t="inlineStr"/>
      <c r="T73" s="10" t="inlineStr"/>
      <c r="U73" s="10" t="inlineStr"/>
      <c r="V73" s="10" t="inlineStr"/>
    </row>
    <row r="74">
      <c r="A74" t="n">
        <v>6</v>
      </c>
      <c r="B74" t="inlineStr">
        <is>
          <t>core (inside the boundary)</t>
        </is>
      </c>
      <c r="C74" t="n">
        <v>73</v>
      </c>
      <c r="D74" s="3" t="inlineStr">
        <is>
          <t>B-B-033 30 West 21st Street (Skyway Development Group)</t>
        </is>
      </c>
      <c r="E74" t="inlineStr">
        <is>
          <t>building</t>
        </is>
      </c>
      <c r="F74" t="inlineStr">
        <is>
          <t>30 West 21st Street</t>
        </is>
      </c>
      <c r="G74" t="n">
        <v>40.74082</v>
      </c>
      <c r="H74" t="n">
        <v>-73.992366</v>
      </c>
      <c r="I74" t="n">
        <v>3.7</v>
      </c>
      <c r="J74" t="n">
        <v>3.5</v>
      </c>
      <c r="K74">
        <f>IF(A74=A73,K73,0)+I74+J74</f>
        <v/>
      </c>
      <c r="L74">
        <f>SUMIF($A$2:$A$118,A74,$I$2:$I$118)+SUMIF($A$2:$A$118,A74,$J$2:$J$118)</f>
        <v/>
      </c>
      <c r="M74" t="inlineStr">
        <is>
          <t>23 St (R W), about 4 min walk</t>
        </is>
      </c>
      <c r="N74" t="inlineStr">
        <is>
          <t>23 St (F M), about 4 min walk</t>
        </is>
      </c>
      <c r="O74"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74" s="10" t="inlineStr"/>
      <c r="Q74" s="10" t="inlineStr"/>
      <c r="R74" s="10" t="inlineStr"/>
      <c r="S74" s="10" t="inlineStr"/>
      <c r="T74" s="10" t="inlineStr"/>
      <c r="U74" s="10" t="inlineStr"/>
      <c r="V74" s="10" t="inlineStr"/>
    </row>
    <row r="75">
      <c r="A75" t="n">
        <v>7</v>
      </c>
      <c r="B75" t="inlineStr">
        <is>
          <t>core (inside the boundary)</t>
        </is>
      </c>
      <c r="C75" t="n">
        <v>74</v>
      </c>
      <c r="D75" s="3" t="inlineStr">
        <is>
          <t>B-B-048 71 West 23rd Street</t>
        </is>
      </c>
      <c r="E75" t="inlineStr">
        <is>
          <t>building</t>
        </is>
      </c>
      <c r="F75" t="inlineStr">
        <is>
          <t>71 West 23rd Street</t>
        </is>
      </c>
      <c r="G75" t="n">
        <v>40.743043</v>
      </c>
      <c r="H75" t="n">
        <v>-73.99233</v>
      </c>
      <c r="I75" t="n">
        <v>0</v>
      </c>
      <c r="J75" t="n">
        <v>3</v>
      </c>
      <c r="K75">
        <f>IF(A75=A74,K74,0)+I75+J75</f>
        <v/>
      </c>
      <c r="L75">
        <f>SUMIF($A$2:$A$118,A75,$I$2:$I$118)+SUMIF($A$2:$A$118,A75,$J$2:$J$118)</f>
        <v/>
      </c>
      <c r="M75" t="inlineStr">
        <is>
          <t>23 St (F M), about 1 min walk</t>
        </is>
      </c>
      <c r="N75" t="inlineStr">
        <is>
          <t>28 St (R W), about 1 min walk</t>
        </is>
      </c>
      <c r="O75"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75" s="10" t="inlineStr"/>
      <c r="Q75" s="10" t="inlineStr"/>
      <c r="R75" s="10" t="inlineStr"/>
      <c r="S75" s="10" t="inlineStr"/>
      <c r="T75" s="10" t="inlineStr"/>
      <c r="U75" s="10" t="inlineStr"/>
      <c r="V75" s="10" t="inlineStr"/>
    </row>
    <row r="76">
      <c r="A76" t="n">
        <v>7</v>
      </c>
      <c r="B76" t="inlineStr">
        <is>
          <t>core (inside the boundary)</t>
        </is>
      </c>
      <c r="C76" t="n">
        <v>75</v>
      </c>
      <c r="D76" s="3" t="inlineStr">
        <is>
          <t>B-B-047 61 West 23rd Street (Zegna family; Taconic development partner)</t>
        </is>
      </c>
      <c r="E76" t="inlineStr">
        <is>
          <t>building</t>
        </is>
      </c>
      <c r="F76" t="inlineStr">
        <is>
          <t>61 West 23rd Street</t>
        </is>
      </c>
      <c r="G76" t="n">
        <v>40.742771</v>
      </c>
      <c r="H76" t="n">
        <v>-73.991782</v>
      </c>
      <c r="I76" t="n">
        <v>1.2</v>
      </c>
      <c r="J76" t="n">
        <v>3.5</v>
      </c>
      <c r="K76">
        <f>IF(A76=A75,K75,0)+I76+J76</f>
        <v/>
      </c>
      <c r="L76">
        <f>SUMIF($A$2:$A$118,A76,$I$2:$I$118)+SUMIF($A$2:$A$118,A76,$J$2:$J$118)</f>
        <v/>
      </c>
      <c r="M76" t="inlineStr">
        <is>
          <t>23 St (F M), about 1 min walk</t>
        </is>
      </c>
      <c r="N76" t="inlineStr">
        <is>
          <t>28 St (R W), about 1 min walk</t>
        </is>
      </c>
      <c r="O76"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76" s="10" t="inlineStr"/>
      <c r="Q76" s="10" t="inlineStr"/>
      <c r="R76" s="10" t="inlineStr"/>
      <c r="S76" s="10" t="inlineStr"/>
      <c r="T76" s="10" t="inlineStr"/>
      <c r="U76" s="10" t="inlineStr"/>
      <c r="V76" s="10" t="inlineStr"/>
    </row>
    <row r="77">
      <c r="A77" t="n">
        <v>7</v>
      </c>
      <c r="B77" t="inlineStr">
        <is>
          <t>core (inside the boundary)</t>
        </is>
      </c>
      <c r="C77" t="n">
        <v>76</v>
      </c>
      <c r="D77" s="3" t="inlineStr">
        <is>
          <t>B-B-050 49-53 West 23rd Street (Adams &amp; Company)</t>
        </is>
      </c>
      <c r="E77" t="inlineStr">
        <is>
          <t>building</t>
        </is>
      </c>
      <c r="F77" t="inlineStr">
        <is>
          <t>53 West 23rd Street</t>
        </is>
      </c>
      <c r="G77" t="n">
        <v>40.742807</v>
      </c>
      <c r="H77" t="n">
        <v>-73.99144699999999</v>
      </c>
      <c r="I77" t="n">
        <v>0.9</v>
      </c>
      <c r="J77" t="n">
        <v>3.5</v>
      </c>
      <c r="K77">
        <f>IF(A77=A76,K76,0)+I77+J77</f>
        <v/>
      </c>
      <c r="L77">
        <f>SUMIF($A$2:$A$118,A77,$I$2:$I$118)+SUMIF($A$2:$A$118,A77,$J$2:$J$118)</f>
        <v/>
      </c>
      <c r="M77" t="inlineStr">
        <is>
          <t>23 St (F M), about 1 min walk</t>
        </is>
      </c>
      <c r="N77" t="inlineStr">
        <is>
          <t>28 St (R W), about 1 min walk</t>
        </is>
      </c>
      <c r="O77"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77" s="10" t="inlineStr"/>
      <c r="Q77" s="10" t="inlineStr"/>
      <c r="R77" s="10" t="inlineStr"/>
      <c r="S77" s="10" t="inlineStr"/>
      <c r="T77" s="10" t="inlineStr"/>
      <c r="U77" s="10" t="inlineStr"/>
      <c r="V77" s="10" t="inlineStr"/>
    </row>
    <row r="78">
      <c r="A78" t="n">
        <v>7</v>
      </c>
      <c r="B78" t="inlineStr">
        <is>
          <t>core (inside the boundary)</t>
        </is>
      </c>
      <c r="C78" t="n">
        <v>77</v>
      </c>
      <c r="D78" s="3" t="inlineStr">
        <is>
          <t>B-B-049 43 West 23rd Street (Castro Properties)</t>
        </is>
      </c>
      <c r="E78" t="inlineStr">
        <is>
          <t>building</t>
        </is>
      </c>
      <c r="F78" t="inlineStr">
        <is>
          <t>43 West 23rd Street</t>
        </is>
      </c>
      <c r="G78" t="n">
        <v>40.742641</v>
      </c>
      <c r="H78" t="n">
        <v>-73.991083</v>
      </c>
      <c r="I78" t="n">
        <v>1.3</v>
      </c>
      <c r="J78" t="n">
        <v>3</v>
      </c>
      <c r="K78">
        <f>IF(A78=A77,K77,0)+I78+J78</f>
        <v/>
      </c>
      <c r="L78">
        <f>SUMIF($A$2:$A$118,A78,$I$2:$I$118)+SUMIF($A$2:$A$118,A78,$J$2:$J$118)</f>
        <v/>
      </c>
      <c r="M78" t="inlineStr">
        <is>
          <t>23 St (F M), about 1 min walk</t>
        </is>
      </c>
      <c r="N78" t="inlineStr">
        <is>
          <t>28 St (R W), about 1 min walk</t>
        </is>
      </c>
      <c r="O78"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78" s="10" t="inlineStr"/>
      <c r="Q78" s="10" t="inlineStr"/>
      <c r="R78" s="10" t="inlineStr"/>
      <c r="S78" s="10" t="inlineStr"/>
      <c r="T78" s="10" t="inlineStr"/>
      <c r="U78" s="10" t="inlineStr"/>
      <c r="V78" s="10" t="inlineStr"/>
    </row>
    <row r="79">
      <c r="A79" t="n">
        <v>7</v>
      </c>
      <c r="B79" t="inlineStr">
        <is>
          <t>core (inside the boundary)</t>
        </is>
      </c>
      <c r="C79" t="n">
        <v>78</v>
      </c>
      <c r="D79" s="3" t="inlineStr">
        <is>
          <t>B-R-001 Eataly NYC Flatiron</t>
        </is>
      </c>
      <c r="E79" t="inlineStr">
        <is>
          <t>retailer</t>
        </is>
      </c>
      <c r="F79" t="inlineStr">
        <is>
          <t>200 Fifth Avenue</t>
        </is>
      </c>
      <c r="G79" t="n">
        <v>40.742166</v>
      </c>
      <c r="H79" t="n">
        <v>-73.989863</v>
      </c>
      <c r="I79" t="n">
        <v>3.6</v>
      </c>
      <c r="J79" t="n">
        <v>6</v>
      </c>
      <c r="K79">
        <f>IF(A79=A78,K78,0)+I79+J79</f>
        <v/>
      </c>
      <c r="L79">
        <f>SUMIF($A$2:$A$118,A79,$I$2:$I$118)+SUMIF($A$2:$A$118,A79,$J$2:$J$118)</f>
        <v/>
      </c>
      <c r="M79" t="inlineStr">
        <is>
          <t>23 St (F M), about 1 min walk</t>
        </is>
      </c>
      <c r="N79" t="inlineStr">
        <is>
          <t>28 St (R W), about 1 min walk</t>
        </is>
      </c>
      <c r="O79" s="3" t="inlineStr">
        <is>
          <t>RETAILER: Store open; photo of the local or emerging snack and drink set (aisle and shelf tags); note which shelf it is in; any 'local' or 'new' shelf signage</t>
        </is>
      </c>
      <c r="P79" s="10" t="inlineStr"/>
      <c r="Q79" s="10" t="inlineStr"/>
      <c r="R79" s="10" t="inlineStr"/>
      <c r="S79" s="10" t="inlineStr"/>
      <c r="T79" s="10" t="inlineStr"/>
      <c r="U79" s="10" t="inlineStr"/>
      <c r="V79" s="10" t="inlineStr"/>
    </row>
    <row r="80">
      <c r="A80" t="n">
        <v>7</v>
      </c>
      <c r="B80" t="inlineStr">
        <is>
          <t>core (inside the boundary)</t>
        </is>
      </c>
      <c r="C80" t="n">
        <v>79</v>
      </c>
      <c r="D80" s="3" t="inlineStr">
        <is>
          <t>B-B-056 16 Madison Square West / 1115 Broadway (Adams &amp; Company); B-W-011 Select Office Suites Flatiron</t>
        </is>
      </c>
      <c r="E80" t="inlineStr">
        <is>
          <t>building; coworking</t>
        </is>
      </c>
      <c r="F80" t="inlineStr">
        <is>
          <t>1115 Broadway</t>
        </is>
      </c>
      <c r="G80" t="n">
        <v>40.743006</v>
      </c>
      <c r="H80" t="n">
        <v>-73.98947</v>
      </c>
      <c r="I80" t="n">
        <v>3.3</v>
      </c>
      <c r="J80" t="n">
        <v>5</v>
      </c>
      <c r="K80">
        <f>IF(A80=A79,K79,0)+I80+J80</f>
        <v/>
      </c>
      <c r="L80">
        <f>SUMIF($A$2:$A$118,A80,$I$2:$I$118)+SUMIF($A$2:$A$118,A80,$J$2:$J$118)</f>
        <v/>
      </c>
      <c r="M80" t="inlineStr">
        <is>
          <t>23 St (F M), about 1 min walk</t>
        </is>
      </c>
      <c r="N80" t="inlineStr">
        <is>
          <t>28 St (R W), about 1 min walk</t>
        </is>
      </c>
      <c r="O80"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 || COWORKING: Operator signage in the lobby; floors listed on the directory; front-desk hours; who receives deliveries for members</t>
        </is>
      </c>
      <c r="P80" s="10" t="inlineStr"/>
      <c r="Q80" s="10" t="inlineStr"/>
      <c r="R80" s="10" t="inlineStr"/>
      <c r="S80" s="10" t="inlineStr"/>
      <c r="T80" s="10" t="inlineStr"/>
      <c r="U80" s="10" t="inlineStr"/>
      <c r="V80" s="10" t="inlineStr"/>
    </row>
    <row r="81">
      <c r="A81" t="n">
        <v>7</v>
      </c>
      <c r="B81" t="inlineStr">
        <is>
          <t>core (inside the boundary)</t>
        </is>
      </c>
      <c r="C81" t="n">
        <v>80</v>
      </c>
      <c r="D81" s="3" t="inlineStr">
        <is>
          <t>B-B-063 1140 Broadway (Williams Equities)</t>
        </is>
      </c>
      <c r="E81" t="inlineStr">
        <is>
          <t>building</t>
        </is>
      </c>
      <c r="F81" t="inlineStr">
        <is>
          <t>1140 Broadway</t>
        </is>
      </c>
      <c r="G81" t="n">
        <v>40.743939</v>
      </c>
      <c r="H81" t="n">
        <v>-73.988677</v>
      </c>
      <c r="I81" t="n">
        <v>2.3</v>
      </c>
      <c r="J81" t="n">
        <v>3</v>
      </c>
      <c r="K81">
        <f>IF(A81=A80,K80,0)+I81+J81</f>
        <v/>
      </c>
      <c r="L81">
        <f>SUMIF($A$2:$A$118,A81,$I$2:$I$118)+SUMIF($A$2:$A$118,A81,$J$2:$J$118)</f>
        <v/>
      </c>
      <c r="M81" t="inlineStr">
        <is>
          <t>23 St (F M), about 1 min walk</t>
        </is>
      </c>
      <c r="N81" t="inlineStr">
        <is>
          <t>28 St (R W), about 1 min walk</t>
        </is>
      </c>
      <c r="O81"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81" s="10" t="inlineStr"/>
      <c r="Q81" s="10" t="inlineStr"/>
      <c r="R81" s="10" t="inlineStr"/>
      <c r="S81" s="10" t="inlineStr"/>
      <c r="T81" s="10" t="inlineStr"/>
      <c r="U81" s="10" t="inlineStr"/>
      <c r="V81" s="10" t="inlineStr"/>
    </row>
    <row r="82">
      <c r="A82" t="n">
        <v>7</v>
      </c>
      <c r="B82" t="inlineStr">
        <is>
          <t>core (inside the boundary)</t>
        </is>
      </c>
      <c r="C82" t="n">
        <v>81</v>
      </c>
      <c r="D82" s="3" t="inlineStr">
        <is>
          <t>B-B-060 220 Fifth Avenue</t>
        </is>
      </c>
      <c r="E82" t="inlineStr">
        <is>
          <t>building</t>
        </is>
      </c>
      <c r="F82" t="inlineStr">
        <is>
          <t>220 Fifth Avenue</t>
        </is>
      </c>
      <c r="G82" t="n">
        <v>40.743737</v>
      </c>
      <c r="H82" t="n">
        <v>-73.988438</v>
      </c>
      <c r="I82" t="n">
        <v>1.1</v>
      </c>
      <c r="J82" t="n">
        <v>3</v>
      </c>
      <c r="K82">
        <f>IF(A82=A81,K81,0)+I82+J82</f>
        <v/>
      </c>
      <c r="L82">
        <f>SUMIF($A$2:$A$118,A82,$I$2:$I$118)+SUMIF($A$2:$A$118,A82,$J$2:$J$118)</f>
        <v/>
      </c>
      <c r="M82" t="inlineStr">
        <is>
          <t>23 St (F M), about 1 min walk</t>
        </is>
      </c>
      <c r="N82" t="inlineStr">
        <is>
          <t>28 St (R W), about 1 min walk</t>
        </is>
      </c>
      <c r="O82"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82" s="10" t="inlineStr"/>
      <c r="Q82" s="10" t="inlineStr"/>
      <c r="R82" s="10" t="inlineStr"/>
      <c r="S82" s="10" t="inlineStr"/>
      <c r="T82" s="10" t="inlineStr"/>
      <c r="U82" s="10" t="inlineStr"/>
      <c r="V82" s="10" t="inlineStr"/>
    </row>
    <row r="83">
      <c r="A83" t="n">
        <v>7</v>
      </c>
      <c r="B83" t="inlineStr">
        <is>
          <t>core (inside the boundary)</t>
        </is>
      </c>
      <c r="C83" t="n">
        <v>82</v>
      </c>
      <c r="D83" s="3" t="inlineStr">
        <is>
          <t>B-B-067 230 Fifth Avenue (New York MarketCenter, GFP Real Estate)</t>
        </is>
      </c>
      <c r="E83" t="inlineStr">
        <is>
          <t>building</t>
        </is>
      </c>
      <c r="F83" t="inlineStr">
        <is>
          <t>230 Fifth Avenue</t>
        </is>
      </c>
      <c r="G83" t="n">
        <v>40.744157</v>
      </c>
      <c r="H83" t="n">
        <v>-73.988489</v>
      </c>
      <c r="I83" t="n">
        <v>1.5</v>
      </c>
      <c r="J83" t="n">
        <v>3.5</v>
      </c>
      <c r="K83">
        <f>IF(A83=A82,K82,0)+I83+J83</f>
        <v/>
      </c>
      <c r="L83">
        <f>SUMIF($A$2:$A$118,A83,$I$2:$I$118)+SUMIF($A$2:$A$118,A83,$J$2:$J$118)</f>
        <v/>
      </c>
      <c r="M83" t="inlineStr">
        <is>
          <t>23 St (F M), about 1 min walk</t>
        </is>
      </c>
      <c r="N83" t="inlineStr">
        <is>
          <t>28 St (R W), about 1 min walk</t>
        </is>
      </c>
      <c r="O83"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83" s="10" t="inlineStr"/>
      <c r="Q83" s="10" t="inlineStr"/>
      <c r="R83" s="10" t="inlineStr"/>
      <c r="S83" s="10" t="inlineStr"/>
      <c r="T83" s="10" t="inlineStr"/>
      <c r="U83" s="10" t="inlineStr"/>
      <c r="V83" s="10" t="inlineStr"/>
    </row>
    <row r="84">
      <c r="A84" t="n">
        <v>7</v>
      </c>
      <c r="B84" t="inlineStr">
        <is>
          <t>core (inside the boundary)</t>
        </is>
      </c>
      <c r="C84" t="n">
        <v>83</v>
      </c>
      <c r="D84" s="3" t="inlineStr">
        <is>
          <t>B-W-015 The Yard: Flatiron South</t>
        </is>
      </c>
      <c r="E84" t="inlineStr">
        <is>
          <t>coworking</t>
        </is>
      </c>
      <c r="F84" t="inlineStr">
        <is>
          <t>234 Fifth Avenue</t>
        </is>
      </c>
      <c r="G84" t="n">
        <v>40.744374</v>
      </c>
      <c r="H84" t="n">
        <v>-73.988133</v>
      </c>
      <c r="I84" t="n">
        <v>1.9</v>
      </c>
      <c r="J84" t="n">
        <v>3</v>
      </c>
      <c r="K84">
        <f>IF(A84=A83,K83,0)+I84+J84</f>
        <v/>
      </c>
      <c r="L84">
        <f>SUMIF($A$2:$A$118,A84,$I$2:$I$118)+SUMIF($A$2:$A$118,A84,$J$2:$J$118)</f>
        <v/>
      </c>
      <c r="M84" t="inlineStr">
        <is>
          <t>23 St (F M), about 1 min walk</t>
        </is>
      </c>
      <c r="N84" t="inlineStr">
        <is>
          <t>28 St (R W), about 1 min walk</t>
        </is>
      </c>
      <c r="O84" s="3" t="inlineStr">
        <is>
          <t>COWORKING: Operator signage in the lobby; floors listed on the directory; front-desk hours; who receives deliveries for members</t>
        </is>
      </c>
      <c r="P84" s="10" t="inlineStr"/>
      <c r="Q84" s="10" t="inlineStr"/>
      <c r="R84" s="10" t="inlineStr"/>
      <c r="S84" s="10" t="inlineStr"/>
      <c r="T84" s="10" t="inlineStr"/>
      <c r="U84" s="10" t="inlineStr"/>
      <c r="V84" s="10" t="inlineStr"/>
    </row>
    <row r="85">
      <c r="A85" t="n">
        <v>7</v>
      </c>
      <c r="B85" t="inlineStr">
        <is>
          <t>core (inside the boundary)</t>
        </is>
      </c>
      <c r="C85" t="n">
        <v>84</v>
      </c>
      <c r="D85" s="3" t="inlineStr">
        <is>
          <t>B-W-022 Sage Workspace</t>
        </is>
      </c>
      <c r="E85" t="inlineStr">
        <is>
          <t>coworking</t>
        </is>
      </c>
      <c r="F85" t="inlineStr">
        <is>
          <t>276 Fifth Avenue</t>
        </is>
      </c>
      <c r="G85" t="n">
        <v>40.745902</v>
      </c>
      <c r="H85" t="n">
        <v>-73.986936</v>
      </c>
      <c r="I85" t="n">
        <v>4.1</v>
      </c>
      <c r="J85" t="n">
        <v>3</v>
      </c>
      <c r="K85">
        <f>IF(A85=A84,K84,0)+I85+J85</f>
        <v/>
      </c>
      <c r="L85">
        <f>SUMIF($A$2:$A$118,A85,$I$2:$I$118)+SUMIF($A$2:$A$118,A85,$J$2:$J$118)</f>
        <v/>
      </c>
      <c r="M85" t="inlineStr">
        <is>
          <t>23 St (F M), about 1 min walk</t>
        </is>
      </c>
      <c r="N85" t="inlineStr">
        <is>
          <t>28 St (R W), about 1 min walk</t>
        </is>
      </c>
      <c r="O85" s="3" t="inlineStr">
        <is>
          <t>COWORKING: Operator signage in the lobby; floors listed on the directory; front-desk hours; who receives deliveries for members</t>
        </is>
      </c>
      <c r="P85" s="10" t="inlineStr"/>
      <c r="Q85" s="10" t="inlineStr"/>
      <c r="R85" s="10" t="inlineStr"/>
      <c r="S85" s="10" t="inlineStr"/>
      <c r="T85" s="10" t="inlineStr"/>
      <c r="U85" s="10" t="inlineStr"/>
      <c r="V85" s="10" t="inlineStr"/>
    </row>
    <row r="86">
      <c r="A86" t="n">
        <v>7</v>
      </c>
      <c r="B86" t="inlineStr">
        <is>
          <t>core (inside the boundary)</t>
        </is>
      </c>
      <c r="C86" t="n">
        <v>85</v>
      </c>
      <c r="D86" s="3" t="inlineStr">
        <is>
          <t>B-W-023 Nomadworks 1216 Broadway</t>
        </is>
      </c>
      <c r="E86" t="inlineStr">
        <is>
          <t>coworking</t>
        </is>
      </c>
      <c r="F86" t="inlineStr">
        <is>
          <t>1216 Broadway</t>
        </is>
      </c>
      <c r="G86" t="n">
        <v>40.746458</v>
      </c>
      <c r="H86" t="n">
        <v>-73.988073</v>
      </c>
      <c r="I86" t="n">
        <v>2.5</v>
      </c>
      <c r="J86" t="n">
        <v>3</v>
      </c>
      <c r="K86">
        <f>IF(A86=A85,K85,0)+I86+J86</f>
        <v/>
      </c>
      <c r="L86">
        <f>SUMIF($A$2:$A$118,A86,$I$2:$I$118)+SUMIF($A$2:$A$118,A86,$J$2:$J$118)</f>
        <v/>
      </c>
      <c r="M86" t="inlineStr">
        <is>
          <t>23 St (F M), about 1 min walk</t>
        </is>
      </c>
      <c r="N86" t="inlineStr">
        <is>
          <t>28 St (R W), about 1 min walk</t>
        </is>
      </c>
      <c r="O86" s="3" t="inlineStr">
        <is>
          <t>COWORKING: Operator signage in the lobby; floors listed on the directory; front-desk hours; who receives deliveries for members</t>
        </is>
      </c>
      <c r="P86" s="10" t="inlineStr"/>
      <c r="Q86" s="10" t="inlineStr"/>
      <c r="R86" s="10" t="inlineStr"/>
      <c r="S86" s="10" t="inlineStr"/>
      <c r="T86" s="10" t="inlineStr"/>
      <c r="U86" s="10" t="inlineStr"/>
      <c r="V86" s="10" t="inlineStr"/>
    </row>
    <row r="87">
      <c r="A87" t="n">
        <v>7</v>
      </c>
      <c r="B87" t="inlineStr">
        <is>
          <t>core (inside the boundary)</t>
        </is>
      </c>
      <c r="C87" t="n">
        <v>86</v>
      </c>
      <c r="D87" s="3" t="inlineStr">
        <is>
          <t>B-W-021 Luminary</t>
        </is>
      </c>
      <c r="E87" t="inlineStr">
        <is>
          <t>coworking</t>
        </is>
      </c>
      <c r="F87" t="inlineStr">
        <is>
          <t>1204 Broadway</t>
        </is>
      </c>
      <c r="G87" t="n">
        <v>40.746321</v>
      </c>
      <c r="H87" t="n">
        <v>-73.988259</v>
      </c>
      <c r="I87" t="n">
        <v>1.6</v>
      </c>
      <c r="J87" t="n">
        <v>3</v>
      </c>
      <c r="K87">
        <f>IF(A87=A86,K86,0)+I87+J87</f>
        <v/>
      </c>
      <c r="L87">
        <f>SUMIF($A$2:$A$118,A87,$I$2:$I$118)+SUMIF($A$2:$A$118,A87,$J$2:$J$118)</f>
        <v/>
      </c>
      <c r="M87" t="inlineStr">
        <is>
          <t>23 St (F M), about 1 min walk</t>
        </is>
      </c>
      <c r="N87" t="inlineStr">
        <is>
          <t>28 St (R W), about 1 min walk</t>
        </is>
      </c>
      <c r="O87" s="3" t="inlineStr">
        <is>
          <t>COWORKING: Operator signage in the lobby; floors listed on the directory; front-desk hours; who receives deliveries for members</t>
        </is>
      </c>
      <c r="P87" s="10" t="inlineStr"/>
      <c r="Q87" s="10" t="inlineStr"/>
      <c r="R87" s="10" t="inlineStr"/>
      <c r="S87" s="10" t="inlineStr"/>
      <c r="T87" s="10" t="inlineStr"/>
      <c r="U87" s="10" t="inlineStr"/>
      <c r="V87" s="10" t="inlineStr"/>
    </row>
    <row r="88">
      <c r="A88" t="n">
        <v>7</v>
      </c>
      <c r="B88" t="inlineStr">
        <is>
          <t>core (inside the boundary)</t>
        </is>
      </c>
      <c r="C88" t="n">
        <v>87</v>
      </c>
      <c r="D88" s="3" t="inlineStr">
        <is>
          <t>B-B-071 1165 Broadway (Thor Equities, bought 2026)</t>
        </is>
      </c>
      <c r="E88" t="inlineStr">
        <is>
          <t>building</t>
        </is>
      </c>
      <c r="F88" t="inlineStr">
        <is>
          <t>1165 Broadway</t>
        </is>
      </c>
      <c r="G88" t="n">
        <v>40.744899</v>
      </c>
      <c r="H88" t="n">
        <v>-73.989082</v>
      </c>
      <c r="I88" t="n">
        <v>3.1</v>
      </c>
      <c r="J88" t="n">
        <v>3.5</v>
      </c>
      <c r="K88">
        <f>IF(A88=A87,K87,0)+I88+J88</f>
        <v/>
      </c>
      <c r="L88">
        <f>SUMIF($A$2:$A$118,A88,$I$2:$I$118)+SUMIF($A$2:$A$118,A88,$J$2:$J$118)</f>
        <v/>
      </c>
      <c r="M88" t="inlineStr">
        <is>
          <t>23 St (F M), about 1 min walk</t>
        </is>
      </c>
      <c r="N88" t="inlineStr">
        <is>
          <t>28 St (R W), about 1 min walk</t>
        </is>
      </c>
      <c r="O88"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88" s="10" t="inlineStr"/>
      <c r="Q88" s="10" t="inlineStr"/>
      <c r="R88" s="10" t="inlineStr"/>
      <c r="S88" s="10" t="inlineStr"/>
      <c r="T88" s="10" t="inlineStr"/>
      <c r="U88" s="10" t="inlineStr"/>
      <c r="V88" s="10" t="inlineStr"/>
    </row>
    <row r="89">
      <c r="A89" t="n">
        <v>8</v>
      </c>
      <c r="B89" t="inlineStr">
        <is>
          <t>core (inside the boundary)</t>
        </is>
      </c>
      <c r="C89" t="n">
        <v>88</v>
      </c>
      <c r="D89" s="3" t="inlineStr">
        <is>
          <t>B-B-070 15 West 27th Street (Kaufman Organization)</t>
        </is>
      </c>
      <c r="E89" t="inlineStr">
        <is>
          <t>building</t>
        </is>
      </c>
      <c r="F89" t="inlineStr">
        <is>
          <t>15 West 27th Street</t>
        </is>
      </c>
      <c r="G89" t="n">
        <v>40.744515</v>
      </c>
      <c r="H89" t="n">
        <v>-73.988255</v>
      </c>
      <c r="I89" t="n">
        <v>0</v>
      </c>
      <c r="J89" t="n">
        <v>3.5</v>
      </c>
      <c r="K89">
        <f>IF(A89=A88,K88,0)+I89+J89</f>
        <v/>
      </c>
      <c r="L89">
        <f>SUMIF($A$2:$A$118,A89,$I$2:$I$118)+SUMIF($A$2:$A$118,A89,$J$2:$J$118)</f>
        <v/>
      </c>
      <c r="M89" t="inlineStr">
        <is>
          <t>28 St (R W), about 2 min walk</t>
        </is>
      </c>
      <c r="N89" t="inlineStr">
        <is>
          <t>23 St (F M), about 2 min walk</t>
        </is>
      </c>
      <c r="O89"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89" s="10" t="inlineStr"/>
      <c r="Q89" s="10" t="inlineStr"/>
      <c r="R89" s="10" t="inlineStr"/>
      <c r="S89" s="10" t="inlineStr"/>
      <c r="T89" s="10" t="inlineStr"/>
      <c r="U89" s="10" t="inlineStr"/>
      <c r="V89" s="10" t="inlineStr"/>
    </row>
    <row r="90">
      <c r="A90" t="n">
        <v>8</v>
      </c>
      <c r="B90" t="inlineStr">
        <is>
          <t>core (inside the boundary)</t>
        </is>
      </c>
      <c r="C90" t="n">
        <v>89</v>
      </c>
      <c r="D90" s="3" t="inlineStr">
        <is>
          <t>B-B-069 45 West 27th Street</t>
        </is>
      </c>
      <c r="E90" t="inlineStr">
        <is>
          <t>building</t>
        </is>
      </c>
      <c r="F90" t="inlineStr">
        <is>
          <t>45 West 27th Street</t>
        </is>
      </c>
      <c r="G90" t="n">
        <v>40.745243</v>
      </c>
      <c r="H90" t="n">
        <v>-73.989968</v>
      </c>
      <c r="I90" t="n">
        <v>3</v>
      </c>
      <c r="J90" t="n">
        <v>3</v>
      </c>
      <c r="K90">
        <f>IF(A90=A89,K89,0)+I90+J90</f>
        <v/>
      </c>
      <c r="L90">
        <f>SUMIF($A$2:$A$118,A90,$I$2:$I$118)+SUMIF($A$2:$A$118,A90,$J$2:$J$118)</f>
        <v/>
      </c>
      <c r="M90" t="inlineStr">
        <is>
          <t>28 St (R W), about 2 min walk</t>
        </is>
      </c>
      <c r="N90" t="inlineStr">
        <is>
          <t>23 St (F M), about 2 min walk</t>
        </is>
      </c>
      <c r="O90"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90" s="10" t="inlineStr"/>
      <c r="Q90" s="10" t="inlineStr"/>
      <c r="R90" s="10" t="inlineStr"/>
      <c r="S90" s="10" t="inlineStr"/>
      <c r="T90" s="10" t="inlineStr"/>
      <c r="U90" s="10" t="inlineStr"/>
      <c r="V90" s="10" t="inlineStr"/>
    </row>
    <row r="91">
      <c r="A91" t="n">
        <v>8</v>
      </c>
      <c r="B91" t="inlineStr">
        <is>
          <t>core (inside the boundary)</t>
        </is>
      </c>
      <c r="C91" t="n">
        <v>90</v>
      </c>
      <c r="D91" s="3" t="inlineStr">
        <is>
          <t>B-B-075 44 West 28th Street (Stellar Management)</t>
        </is>
      </c>
      <c r="E91" t="inlineStr">
        <is>
          <t>building</t>
        </is>
      </c>
      <c r="F91" t="inlineStr">
        <is>
          <t>44 West 28th Street</t>
        </is>
      </c>
      <c r="G91" t="n">
        <v>40.745609</v>
      </c>
      <c r="H91" t="n">
        <v>-73.990014</v>
      </c>
      <c r="I91" t="n">
        <v>3.1</v>
      </c>
      <c r="J91" t="n">
        <v>3</v>
      </c>
      <c r="K91">
        <f>IF(A91=A90,K90,0)+I91+J91</f>
        <v/>
      </c>
      <c r="L91">
        <f>SUMIF($A$2:$A$118,A91,$I$2:$I$118)+SUMIF($A$2:$A$118,A91,$J$2:$J$118)</f>
        <v/>
      </c>
      <c r="M91" t="inlineStr">
        <is>
          <t>28 St (R W), about 2 min walk</t>
        </is>
      </c>
      <c r="N91" t="inlineStr">
        <is>
          <t>23 St (F M), about 2 min walk</t>
        </is>
      </c>
      <c r="O91"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91" s="10" t="inlineStr"/>
      <c r="Q91" s="10" t="inlineStr"/>
      <c r="R91" s="10" t="inlineStr"/>
      <c r="S91" s="10" t="inlineStr"/>
      <c r="T91" s="10" t="inlineStr"/>
      <c r="U91" s="10" t="inlineStr"/>
      <c r="V91" s="10" t="inlineStr"/>
    </row>
    <row r="92">
      <c r="A92" t="n">
        <v>8</v>
      </c>
      <c r="B92" t="inlineStr">
        <is>
          <t>core (inside the boundary)</t>
        </is>
      </c>
      <c r="C92" t="n">
        <v>91</v>
      </c>
      <c r="D92" s="3" t="inlineStr">
        <is>
          <t>B-W-014 Industrious NoMad</t>
        </is>
      </c>
      <c r="E92" t="inlineStr">
        <is>
          <t>coworking</t>
        </is>
      </c>
      <c r="F92" t="inlineStr">
        <is>
          <t>776A Sixth Avenue</t>
        </is>
      </c>
      <c r="G92" t="n">
        <v>40.744955</v>
      </c>
      <c r="H92" t="n">
        <v>-73.990911</v>
      </c>
      <c r="I92" t="n">
        <v>2.9</v>
      </c>
      <c r="J92" t="n">
        <v>3</v>
      </c>
      <c r="K92">
        <f>IF(A92=A91,K91,0)+I92+J92</f>
        <v/>
      </c>
      <c r="L92">
        <f>SUMIF($A$2:$A$118,A92,$I$2:$I$118)+SUMIF($A$2:$A$118,A92,$J$2:$J$118)</f>
        <v/>
      </c>
      <c r="M92" t="inlineStr">
        <is>
          <t>28 St (R W), about 2 min walk</t>
        </is>
      </c>
      <c r="N92" t="inlineStr">
        <is>
          <t>23 St (F M), about 2 min walk</t>
        </is>
      </c>
      <c r="O92" s="3" t="inlineStr">
        <is>
          <t>COWORKING: Operator signage in the lobby; floors listed on the directory; front-desk hours; who receives deliveries for members</t>
        </is>
      </c>
      <c r="P92" s="10" t="inlineStr"/>
      <c r="Q92" s="10" t="inlineStr"/>
      <c r="R92" s="10" t="inlineStr"/>
      <c r="S92" s="10" t="inlineStr"/>
      <c r="T92" s="10" t="inlineStr"/>
      <c r="U92" s="10" t="inlineStr"/>
      <c r="V92" s="10" t="inlineStr"/>
    </row>
    <row r="93">
      <c r="A93" t="n">
        <v>8</v>
      </c>
      <c r="B93" t="inlineStr">
        <is>
          <t>core (inside the boundary)</t>
        </is>
      </c>
      <c r="C93" t="n">
        <v>92</v>
      </c>
      <c r="D93" s="3" t="inlineStr">
        <is>
          <t>B-B-062 37 West 26th Street</t>
        </is>
      </c>
      <c r="E93" t="inlineStr">
        <is>
          <t>building</t>
        </is>
      </c>
      <c r="F93" t="inlineStr">
        <is>
          <t>37 West 26th Street</t>
        </is>
      </c>
      <c r="G93" t="n">
        <v>40.744624</v>
      </c>
      <c r="H93" t="n">
        <v>-73.99041800000001</v>
      </c>
      <c r="I93" t="n">
        <v>1.7</v>
      </c>
      <c r="J93" t="n">
        <v>3</v>
      </c>
      <c r="K93">
        <f>IF(A93=A92,K92,0)+I93+J93</f>
        <v/>
      </c>
      <c r="L93">
        <f>SUMIF($A$2:$A$118,A93,$I$2:$I$118)+SUMIF($A$2:$A$118,A93,$J$2:$J$118)</f>
        <v/>
      </c>
      <c r="M93" t="inlineStr">
        <is>
          <t>28 St (R W), about 2 min walk</t>
        </is>
      </c>
      <c r="N93" t="inlineStr">
        <is>
          <t>23 St (F M), about 2 min walk</t>
        </is>
      </c>
      <c r="O93"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93" s="10" t="inlineStr"/>
      <c r="Q93" s="10" t="inlineStr"/>
      <c r="R93" s="10" t="inlineStr"/>
      <c r="S93" s="10" t="inlineStr"/>
      <c r="T93" s="10" t="inlineStr"/>
      <c r="U93" s="10" t="inlineStr"/>
      <c r="V93" s="10" t="inlineStr"/>
    </row>
    <row r="94">
      <c r="A94" t="n">
        <v>8</v>
      </c>
      <c r="B94" t="inlineStr">
        <is>
          <t>core (inside the boundary)</t>
        </is>
      </c>
      <c r="C94" t="n">
        <v>93</v>
      </c>
      <c r="D94" s="3" t="inlineStr">
        <is>
          <t>B-B-061 25 West 26th Street</t>
        </is>
      </c>
      <c r="E94" t="inlineStr">
        <is>
          <t>building</t>
        </is>
      </c>
      <c r="F94" t="inlineStr">
        <is>
          <t>25 West 26th Street</t>
        </is>
      </c>
      <c r="G94" t="n">
        <v>40.744387</v>
      </c>
      <c r="H94" t="n">
        <v>-73.98987099999999</v>
      </c>
      <c r="I94" t="n">
        <v>1</v>
      </c>
      <c r="J94" t="n">
        <v>3</v>
      </c>
      <c r="K94">
        <f>IF(A94=A93,K93,0)+I94+J94</f>
        <v/>
      </c>
      <c r="L94">
        <f>SUMIF($A$2:$A$118,A94,$I$2:$I$118)+SUMIF($A$2:$A$118,A94,$J$2:$J$118)</f>
        <v/>
      </c>
      <c r="M94" t="inlineStr">
        <is>
          <t>28 St (R W), about 2 min walk</t>
        </is>
      </c>
      <c r="N94" t="inlineStr">
        <is>
          <t>23 St (F M), about 2 min walk</t>
        </is>
      </c>
      <c r="O94"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94" s="10" t="inlineStr"/>
      <c r="Q94" s="10" t="inlineStr"/>
      <c r="R94" s="10" t="inlineStr"/>
      <c r="S94" s="10" t="inlineStr"/>
      <c r="T94" s="10" t="inlineStr"/>
      <c r="U94" s="10" t="inlineStr"/>
      <c r="V94" s="10" t="inlineStr"/>
    </row>
    <row r="95">
      <c r="A95" t="n">
        <v>8</v>
      </c>
      <c r="B95" t="inlineStr">
        <is>
          <t>core (inside the boundary)</t>
        </is>
      </c>
      <c r="C95" t="n">
        <v>94</v>
      </c>
      <c r="D95" s="3" t="inlineStr">
        <is>
          <t>B-R-006 Sunac (765 Sixth Ave)</t>
        </is>
      </c>
      <c r="E95" t="inlineStr">
        <is>
          <t>retailer</t>
        </is>
      </c>
      <c r="F95" t="inlineStr">
        <is>
          <t>765 Sixth Avenue</t>
        </is>
      </c>
      <c r="G95" t="n">
        <v>40.744664</v>
      </c>
      <c r="H95" t="n">
        <v>-73.991882</v>
      </c>
      <c r="I95" t="n">
        <v>3.7</v>
      </c>
      <c r="J95" t="n">
        <v>6</v>
      </c>
      <c r="K95">
        <f>IF(A95=A94,K94,0)+I95+J95</f>
        <v/>
      </c>
      <c r="L95">
        <f>SUMIF($A$2:$A$118,A95,$I$2:$I$118)+SUMIF($A$2:$A$118,A95,$J$2:$J$118)</f>
        <v/>
      </c>
      <c r="M95" t="inlineStr">
        <is>
          <t>28 St (R W), about 2 min walk</t>
        </is>
      </c>
      <c r="N95" t="inlineStr">
        <is>
          <t>23 St (F M), about 2 min walk</t>
        </is>
      </c>
      <c r="O95" s="3" t="inlineStr">
        <is>
          <t>RETAILER: Store open; photo of the local or emerging snack and drink set (aisle and shelf tags); note which shelf it is in; any 'local' or 'new' shelf signage</t>
        </is>
      </c>
      <c r="P95" s="10" t="inlineStr"/>
      <c r="Q95" s="10" t="inlineStr"/>
      <c r="R95" s="10" t="inlineStr"/>
      <c r="S95" s="10" t="inlineStr"/>
      <c r="T95" s="10" t="inlineStr"/>
      <c r="U95" s="10" t="inlineStr"/>
      <c r="V95" s="10" t="inlineStr"/>
    </row>
    <row r="96">
      <c r="A96" t="n">
        <v>8</v>
      </c>
      <c r="B96" t="inlineStr">
        <is>
          <t>core (inside the boundary)</t>
        </is>
      </c>
      <c r="C96" t="n">
        <v>95</v>
      </c>
      <c r="D96" s="3" t="inlineStr">
        <is>
          <t>B-R-003 Fairway Market Chelsea</t>
        </is>
      </c>
      <c r="E96" t="inlineStr">
        <is>
          <t>retailer</t>
        </is>
      </c>
      <c r="F96" t="inlineStr">
        <is>
          <t>766 Sixth Avenue</t>
        </is>
      </c>
      <c r="G96" t="n">
        <v>40.744352</v>
      </c>
      <c r="H96" t="n">
        <v>-73.99118300000001</v>
      </c>
      <c r="I96" t="n">
        <v>1.4</v>
      </c>
      <c r="J96" t="n">
        <v>6</v>
      </c>
      <c r="K96">
        <f>IF(A96=A95,K95,0)+I96+J96</f>
        <v/>
      </c>
      <c r="L96">
        <f>SUMIF($A$2:$A$118,A96,$I$2:$I$118)+SUMIF($A$2:$A$118,A96,$J$2:$J$118)</f>
        <v/>
      </c>
      <c r="M96" t="inlineStr">
        <is>
          <t>28 St (R W), about 2 min walk</t>
        </is>
      </c>
      <c r="N96" t="inlineStr">
        <is>
          <t>23 St (F M), about 2 min walk</t>
        </is>
      </c>
      <c r="O96" s="3" t="inlineStr">
        <is>
          <t>RETAILER: Store open; photo of the local or emerging snack and drink set (aisle and shelf tags); note which shelf it is in; any 'local' or 'new' shelf signage</t>
        </is>
      </c>
      <c r="P96" s="10" t="inlineStr"/>
      <c r="Q96" s="10" t="inlineStr"/>
      <c r="R96" s="10" t="inlineStr"/>
      <c r="S96" s="10" t="inlineStr"/>
      <c r="T96" s="10" t="inlineStr"/>
      <c r="U96" s="10" t="inlineStr"/>
      <c r="V96" s="10" t="inlineStr"/>
    </row>
    <row r="97">
      <c r="A97" t="n">
        <v>8</v>
      </c>
      <c r="B97" t="inlineStr">
        <is>
          <t>core (inside the boundary)</t>
        </is>
      </c>
      <c r="C97" t="n">
        <v>96</v>
      </c>
      <c r="D97" s="3" t="inlineStr">
        <is>
          <t>B-B-054 48 West 25th Street (Kaufman Organization; part of former Savanna 'Madison Square Collection')</t>
        </is>
      </c>
      <c r="E97" t="inlineStr">
        <is>
          <t>building</t>
        </is>
      </c>
      <c r="F97" t="inlineStr">
        <is>
          <t>48 West 25th Street</t>
        </is>
      </c>
      <c r="G97" t="n">
        <v>40.743751</v>
      </c>
      <c r="H97" t="n">
        <v>-73.99137399999999</v>
      </c>
      <c r="I97" t="n">
        <v>2.2</v>
      </c>
      <c r="J97" t="n">
        <v>4</v>
      </c>
      <c r="K97">
        <f>IF(A97=A96,K96,0)+I97+J97</f>
        <v/>
      </c>
      <c r="L97">
        <f>SUMIF($A$2:$A$118,A97,$I$2:$I$118)+SUMIF($A$2:$A$118,A97,$J$2:$J$118)</f>
        <v/>
      </c>
      <c r="M97" t="inlineStr">
        <is>
          <t>28 St (R W), about 2 min walk</t>
        </is>
      </c>
      <c r="N97" t="inlineStr">
        <is>
          <t>23 St (F M), about 2 min walk</t>
        </is>
      </c>
      <c r="O97"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97" s="10" t="inlineStr"/>
      <c r="Q97" s="10" t="inlineStr"/>
      <c r="R97" s="10" t="inlineStr"/>
      <c r="S97" s="10" t="inlineStr"/>
      <c r="T97" s="10" t="inlineStr"/>
      <c r="U97" s="10" t="inlineStr"/>
      <c r="V97" s="10" t="inlineStr"/>
    </row>
    <row r="98">
      <c r="A98" t="n">
        <v>8</v>
      </c>
      <c r="B98" t="inlineStr">
        <is>
          <t>core (inside the boundary)</t>
        </is>
      </c>
      <c r="C98" t="n">
        <v>97</v>
      </c>
      <c r="D98" s="3" t="inlineStr">
        <is>
          <t>B-B-053 40 West 25th Street (Kaufman Investments / Two Sigma Real Estate)</t>
        </is>
      </c>
      <c r="E98" t="inlineStr">
        <is>
          <t>building</t>
        </is>
      </c>
      <c r="F98" t="inlineStr">
        <is>
          <t>40 West 25th Street</t>
        </is>
      </c>
      <c r="G98" t="n">
        <v>40.743613</v>
      </c>
      <c r="H98" t="n">
        <v>-73.991062</v>
      </c>
      <c r="I98" t="n">
        <v>0.8</v>
      </c>
      <c r="J98" t="n">
        <v>3</v>
      </c>
      <c r="K98">
        <f>IF(A98=A97,K97,0)+I98+J98</f>
        <v/>
      </c>
      <c r="L98">
        <f>SUMIF($A$2:$A$118,A98,$I$2:$I$118)+SUMIF($A$2:$A$118,A98,$J$2:$J$118)</f>
        <v/>
      </c>
      <c r="M98" t="inlineStr">
        <is>
          <t>28 St (R W), about 2 min walk</t>
        </is>
      </c>
      <c r="N98" t="inlineStr">
        <is>
          <t>23 St (F M), about 2 min walk</t>
        </is>
      </c>
      <c r="O98"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98" s="10" t="inlineStr"/>
      <c r="Q98" s="10" t="inlineStr"/>
      <c r="R98" s="10" t="inlineStr"/>
      <c r="S98" s="10" t="inlineStr"/>
      <c r="T98" s="10" t="inlineStr"/>
      <c r="U98" s="10" t="inlineStr"/>
      <c r="V98" s="10" t="inlineStr"/>
    </row>
    <row r="99">
      <c r="A99" t="n">
        <v>8</v>
      </c>
      <c r="B99" t="inlineStr">
        <is>
          <t>core (inside the boundary)</t>
        </is>
      </c>
      <c r="C99" t="n">
        <v>98</v>
      </c>
      <c r="D99" s="3" t="inlineStr">
        <is>
          <t>B-B-046 50 West 23rd Street (Two Trees Management)</t>
        </is>
      </c>
      <c r="E99" t="inlineStr">
        <is>
          <t>building</t>
        </is>
      </c>
      <c r="F99" t="inlineStr">
        <is>
          <t>50 West 23rd Street</t>
        </is>
      </c>
      <c r="G99" t="n">
        <v>40.742075</v>
      </c>
      <c r="H99" t="n">
        <v>-73.991811</v>
      </c>
      <c r="I99" t="n">
        <v>6.3</v>
      </c>
      <c r="J99" t="n">
        <v>3.5</v>
      </c>
      <c r="K99">
        <f>IF(A99=A98,K98,0)+I99+J99</f>
        <v/>
      </c>
      <c r="L99">
        <f>SUMIF($A$2:$A$118,A99,$I$2:$I$118)+SUMIF($A$2:$A$118,A99,$J$2:$J$118)</f>
        <v/>
      </c>
      <c r="M99" t="inlineStr">
        <is>
          <t>28 St (R W), about 2 min walk</t>
        </is>
      </c>
      <c r="N99" t="inlineStr">
        <is>
          <t>23 St (F M), about 2 min walk</t>
        </is>
      </c>
      <c r="O99" s="3" t="inlineStr">
        <is>
          <t>BUILDING: Lobby type (walk-up, security desk, loading dock); security desk staffed at 8 am? (Y/N); loading dock or freight entrance and its posted hours; any COI or vendor-insurance signage; posted receiving or delivery hours; candidate names on the lobby directory; photo of the entrance</t>
        </is>
      </c>
      <c r="P99" s="10" t="inlineStr"/>
      <c r="Q99" s="10" t="inlineStr"/>
      <c r="R99" s="10" t="inlineStr"/>
      <c r="S99" s="10" t="inlineStr"/>
      <c r="T99" s="10" t="inlineStr"/>
      <c r="U99" s="10" t="inlineStr"/>
      <c r="V99" s="10" t="inlineStr"/>
    </row>
    <row r="100">
      <c r="A100" t="n">
        <v>9</v>
      </c>
      <c r="B100" t="inlineStr">
        <is>
          <t>outer retailers (within ten blocks)</t>
        </is>
      </c>
      <c r="C100" t="n">
        <v>99</v>
      </c>
      <c r="D100" s="3" t="inlineStr">
        <is>
          <t>B-R-025 LifeThyme Natural Market</t>
        </is>
      </c>
      <c r="E100" t="inlineStr">
        <is>
          <t>retailer</t>
        </is>
      </c>
      <c r="F100" t="inlineStr">
        <is>
          <t>410 Sixth Avenue</t>
        </is>
      </c>
      <c r="G100" t="n">
        <v>40.733799</v>
      </c>
      <c r="H100" t="n">
        <v>-73.999072</v>
      </c>
      <c r="I100" t="n">
        <v>0</v>
      </c>
      <c r="J100" t="n">
        <v>10</v>
      </c>
      <c r="K100">
        <f>IF(A100=A99,K99,0)+I100+J100</f>
        <v/>
      </c>
      <c r="L100">
        <f>SUMIF($A$2:$A$118,A100,$I$2:$I$118)+SUMIF($A$2:$A$118,A100,$J$2:$J$118)</f>
        <v/>
      </c>
      <c r="M100" t="inlineStr">
        <is>
          <t>W 4 St-Wash Sq (A C E), about 3 min walk</t>
        </is>
      </c>
      <c r="N100" t="inlineStr">
        <is>
          <t>23 St (C E), about 1 min walk</t>
        </is>
      </c>
      <c r="O100" s="3" t="inlineStr">
        <is>
          <t>RETAILER: Store open; photo of the local or emerging snack and drink set (aisle and shelf tags); note which shelf it is in; any 'local' or 'new' shelf signage</t>
        </is>
      </c>
      <c r="P100" s="10" t="inlineStr"/>
      <c r="Q100" s="10" t="inlineStr"/>
      <c r="R100" s="10" t="inlineStr"/>
      <c r="S100" s="10" t="inlineStr"/>
      <c r="T100" s="10" t="inlineStr"/>
      <c r="U100" s="10" t="inlineStr"/>
      <c r="V100" s="10" t="inlineStr"/>
    </row>
    <row r="101">
      <c r="A101" t="n">
        <v>9</v>
      </c>
      <c r="B101" t="inlineStr">
        <is>
          <t>outer retailers (within ten blocks)</t>
        </is>
      </c>
      <c r="C101" t="n">
        <v>100</v>
      </c>
      <c r="D101" s="3" t="inlineStr">
        <is>
          <t>B-R-023 Citarella Greenwich Village</t>
        </is>
      </c>
      <c r="E101" t="inlineStr">
        <is>
          <t>retailer</t>
        </is>
      </c>
      <c r="F101" t="inlineStr">
        <is>
          <t>424 Sixth Avenue</t>
        </is>
      </c>
      <c r="G101" t="n">
        <v>40.734279</v>
      </c>
      <c r="H101" t="n">
        <v>-73.998678</v>
      </c>
      <c r="I101" t="n">
        <v>1.9</v>
      </c>
      <c r="J101" t="n">
        <v>6</v>
      </c>
      <c r="K101">
        <f>IF(A101=A100,K100,0)+I101+J101</f>
        <v/>
      </c>
      <c r="L101">
        <f>SUMIF($A$2:$A$118,A101,$I$2:$I$118)+SUMIF($A$2:$A$118,A101,$J$2:$J$118)</f>
        <v/>
      </c>
      <c r="M101" t="inlineStr">
        <is>
          <t>W 4 St-Wash Sq (A C E), about 3 min walk</t>
        </is>
      </c>
      <c r="N101" t="inlineStr">
        <is>
          <t>23 St (C E), about 1 min walk</t>
        </is>
      </c>
      <c r="O101" s="3" t="inlineStr">
        <is>
          <t>RETAILER: Store open; photo of the local or emerging snack and drink set (aisle and shelf tags); note which shelf it is in; any 'local' or 'new' shelf signage</t>
        </is>
      </c>
      <c r="P101" s="10" t="inlineStr"/>
      <c r="Q101" s="10" t="inlineStr"/>
      <c r="R101" s="10" t="inlineStr"/>
      <c r="S101" s="10" t="inlineStr"/>
      <c r="T101" s="10" t="inlineStr"/>
      <c r="U101" s="10" t="inlineStr"/>
      <c r="V101" s="10" t="inlineStr"/>
    </row>
    <row r="102">
      <c r="A102" t="n">
        <v>9</v>
      </c>
      <c r="B102" t="inlineStr">
        <is>
          <t>outer retailers (within ten blocks)</t>
        </is>
      </c>
      <c r="C102" t="n">
        <v>101</v>
      </c>
      <c r="D102" s="3" t="inlineStr">
        <is>
          <t>B-R-012 Merci Market Union Square</t>
        </is>
      </c>
      <c r="E102" t="inlineStr">
        <is>
          <t>retailer</t>
        </is>
      </c>
      <c r="F102" t="inlineStr">
        <is>
          <t>59 Fifth Avenue</t>
        </is>
      </c>
      <c r="G102" t="n">
        <v>40.735034</v>
      </c>
      <c r="H102" t="n">
        <v>-73.993965</v>
      </c>
      <c r="I102" t="n">
        <v>9.800000000000001</v>
      </c>
      <c r="J102" t="n">
        <v>6</v>
      </c>
      <c r="K102">
        <f>IF(A102=A101,K101,0)+I102+J102</f>
        <v/>
      </c>
      <c r="L102">
        <f>SUMIF($A$2:$A$118,A102,$I$2:$I$118)+SUMIF($A$2:$A$118,A102,$J$2:$J$118)</f>
        <v/>
      </c>
      <c r="M102" t="inlineStr">
        <is>
          <t>W 4 St-Wash Sq (A C E), about 3 min walk</t>
        </is>
      </c>
      <c r="N102" t="inlineStr">
        <is>
          <t>23 St (C E), about 1 min walk</t>
        </is>
      </c>
      <c r="O102" s="3" t="inlineStr">
        <is>
          <t>RETAILER: Store open; photo of the local or emerging snack and drink set (aisle and shelf tags); note which shelf it is in; any 'local' or 'new' shelf signage</t>
        </is>
      </c>
      <c r="P102" s="10" t="inlineStr"/>
      <c r="Q102" s="10" t="inlineStr"/>
      <c r="R102" s="10" t="inlineStr"/>
      <c r="S102" s="10" t="inlineStr"/>
      <c r="T102" s="10" t="inlineStr"/>
      <c r="U102" s="10" t="inlineStr"/>
      <c r="V102" s="10" t="inlineStr"/>
    </row>
    <row r="103">
      <c r="A103" t="n">
        <v>9</v>
      </c>
      <c r="B103" t="inlineStr">
        <is>
          <t>outer retailers (within ten blocks)</t>
        </is>
      </c>
      <c r="C103" t="n">
        <v>102</v>
      </c>
      <c r="D103" s="3" t="inlineStr">
        <is>
          <t>B-R-019 Elm Wellness (Elm Health Chelsea)</t>
        </is>
      </c>
      <c r="E103" t="inlineStr">
        <is>
          <t>retailer</t>
        </is>
      </c>
      <c r="F103" t="inlineStr">
        <is>
          <t>56 Seventh Avenue</t>
        </is>
      </c>
      <c r="G103" t="n">
        <v>40.738374</v>
      </c>
      <c r="H103" t="n">
        <v>-74.00022</v>
      </c>
      <c r="I103" t="n">
        <v>11.2</v>
      </c>
      <c r="J103" t="n">
        <v>6</v>
      </c>
      <c r="K103">
        <f>IF(A103=A102,K102,0)+I103+J103</f>
        <v/>
      </c>
      <c r="L103">
        <f>SUMIF($A$2:$A$118,A103,$I$2:$I$118)+SUMIF($A$2:$A$118,A103,$J$2:$J$118)</f>
        <v/>
      </c>
      <c r="M103" t="inlineStr">
        <is>
          <t>W 4 St-Wash Sq (A C E), about 3 min walk</t>
        </is>
      </c>
      <c r="N103" t="inlineStr">
        <is>
          <t>23 St (C E), about 1 min walk</t>
        </is>
      </c>
      <c r="O103" s="3" t="inlineStr">
        <is>
          <t>RETAILER: Store open; photo of the local or emerging snack and drink set (aisle and shelf tags); note which shelf it is in; any 'local' or 'new' shelf signage</t>
        </is>
      </c>
      <c r="P103" s="10" t="inlineStr"/>
      <c r="Q103" s="10" t="inlineStr"/>
      <c r="R103" s="10" t="inlineStr"/>
      <c r="S103" s="10" t="inlineStr"/>
      <c r="T103" s="10" t="inlineStr"/>
      <c r="U103" s="10" t="inlineStr"/>
      <c r="V103" s="10" t="inlineStr"/>
    </row>
    <row r="104">
      <c r="A104" t="n">
        <v>9</v>
      </c>
      <c r="B104" t="inlineStr">
        <is>
          <t>outer retailers (within ten blocks)</t>
        </is>
      </c>
      <c r="C104" t="n">
        <v>103</v>
      </c>
      <c r="D104" s="3" t="inlineStr">
        <is>
          <t>B-R-018 Westside Market NYC (77 Seventh Ave)</t>
        </is>
      </c>
      <c r="E104" t="inlineStr">
        <is>
          <t>retailer</t>
        </is>
      </c>
      <c r="F104" t="inlineStr">
        <is>
          <t>77 Seventh Avenue</t>
        </is>
      </c>
      <c r="G104" t="n">
        <v>40.738773</v>
      </c>
      <c r="H104" t="n">
        <v>-73.999107</v>
      </c>
      <c r="I104" t="n">
        <v>2.6</v>
      </c>
      <c r="J104" t="n">
        <v>6</v>
      </c>
      <c r="K104">
        <f>IF(A104=A103,K103,0)+I104+J104</f>
        <v/>
      </c>
      <c r="L104">
        <f>SUMIF($A$2:$A$118,A104,$I$2:$I$118)+SUMIF($A$2:$A$118,A104,$J$2:$J$118)</f>
        <v/>
      </c>
      <c r="M104" t="inlineStr">
        <is>
          <t>W 4 St-Wash Sq (A C E), about 3 min walk</t>
        </is>
      </c>
      <c r="N104" t="inlineStr">
        <is>
          <t>23 St (C E), about 1 min walk</t>
        </is>
      </c>
      <c r="O104" s="3" t="inlineStr">
        <is>
          <t>RETAILER: Store open; photo of the local or emerging snack and drink set (aisle and shelf tags); note which shelf it is in; any 'local' or 'new' shelf signage</t>
        </is>
      </c>
      <c r="P104" s="10" t="inlineStr"/>
      <c r="Q104" s="10" t="inlineStr"/>
      <c r="R104" s="10" t="inlineStr"/>
      <c r="S104" s="10" t="inlineStr"/>
      <c r="T104" s="10" t="inlineStr"/>
      <c r="U104" s="10" t="inlineStr"/>
      <c r="V104" s="10" t="inlineStr"/>
    </row>
    <row r="105">
      <c r="A105" t="n">
        <v>9</v>
      </c>
      <c r="B105" t="inlineStr">
        <is>
          <t>outer retailers (within ten blocks)</t>
        </is>
      </c>
      <c r="C105" t="n">
        <v>104</v>
      </c>
      <c r="D105" s="3" t="inlineStr">
        <is>
          <t>B-R-017 Westside Market NYC (170 West 23rd St)</t>
        </is>
      </c>
      <c r="E105" t="inlineStr">
        <is>
          <t>retailer</t>
        </is>
      </c>
      <c r="F105" t="inlineStr">
        <is>
          <t>170 West 23rd Street</t>
        </is>
      </c>
      <c r="G105" t="n">
        <v>40.74382</v>
      </c>
      <c r="H105" t="n">
        <v>-73.99526400000001</v>
      </c>
      <c r="I105" t="n">
        <v>12</v>
      </c>
      <c r="J105" t="n">
        <v>6</v>
      </c>
      <c r="K105">
        <f>IF(A105=A104,K104,0)+I105+J105</f>
        <v/>
      </c>
      <c r="L105">
        <f>SUMIF($A$2:$A$118,A105,$I$2:$I$118)+SUMIF($A$2:$A$118,A105,$J$2:$J$118)</f>
        <v/>
      </c>
      <c r="M105" t="inlineStr">
        <is>
          <t>W 4 St-Wash Sq (A C E), about 3 min walk</t>
        </is>
      </c>
      <c r="N105" t="inlineStr">
        <is>
          <t>23 St (C E), about 1 min walk</t>
        </is>
      </c>
      <c r="O105" s="3" t="inlineStr">
        <is>
          <t>RETAILER: Store open; photo of the local or emerging snack and drink set (aisle and shelf tags); note which shelf it is in; any 'local' or 'new' shelf signage</t>
        </is>
      </c>
      <c r="P105" s="10" t="inlineStr"/>
      <c r="Q105" s="10" t="inlineStr"/>
      <c r="R105" s="10" t="inlineStr"/>
      <c r="S105" s="10" t="inlineStr"/>
      <c r="T105" s="10" t="inlineStr"/>
      <c r="U105" s="10" t="inlineStr"/>
      <c r="V105" s="10" t="inlineStr"/>
    </row>
    <row r="106">
      <c r="A106" t="n">
        <v>9</v>
      </c>
      <c r="B106" t="inlineStr">
        <is>
          <t>outer retailers (within ten blocks)</t>
        </is>
      </c>
      <c r="C106" t="n">
        <v>105</v>
      </c>
      <c r="D106" s="3" t="inlineStr">
        <is>
          <t>B-R-027 Target Chelsea 23rd and 8th</t>
        </is>
      </c>
      <c r="E106" t="inlineStr">
        <is>
          <t>retailer</t>
        </is>
      </c>
      <c r="F106" t="inlineStr">
        <is>
          <t>258 Eighth Avenue</t>
        </is>
      </c>
      <c r="G106" t="n">
        <v>40.74552</v>
      </c>
      <c r="H106" t="n">
        <v>-73.99791</v>
      </c>
      <c r="I106" t="n">
        <v>4.9</v>
      </c>
      <c r="J106" t="n">
        <v>3</v>
      </c>
      <c r="K106">
        <f>IF(A106=A105,K105,0)+I106+J106</f>
        <v/>
      </c>
      <c r="L106">
        <f>SUMIF($A$2:$A$118,A106,$I$2:$I$118)+SUMIF($A$2:$A$118,A106,$J$2:$J$118)</f>
        <v/>
      </c>
      <c r="M106" t="inlineStr">
        <is>
          <t>W 4 St-Wash Sq (A C E), about 3 min walk</t>
        </is>
      </c>
      <c r="N106" t="inlineStr">
        <is>
          <t>23 St (C E), about 1 min walk</t>
        </is>
      </c>
      <c r="O106" s="3" t="inlineStr">
        <is>
          <t>RETAILER: Store open; photo of the local or emerging snack and drink set (aisle and shelf tags); note which shelf it is in; any 'local' or 'new' shelf signage</t>
        </is>
      </c>
      <c r="P106" s="10" t="inlineStr"/>
      <c r="Q106" s="10" t="inlineStr"/>
      <c r="R106" s="10" t="inlineStr"/>
      <c r="S106" s="10" t="inlineStr"/>
      <c r="T106" s="10" t="inlineStr"/>
      <c r="U106" s="10" t="inlineStr"/>
      <c r="V106" s="10" t="inlineStr"/>
    </row>
    <row r="107">
      <c r="A107" t="n">
        <v>10</v>
      </c>
      <c r="B107" t="inlineStr">
        <is>
          <t>outer retailers (within ten blocks)</t>
        </is>
      </c>
      <c r="C107" t="n">
        <v>106</v>
      </c>
      <c r="D107" s="3" t="inlineStr">
        <is>
          <t>B-R-021 Whole Foods Market Chelsea</t>
        </is>
      </c>
      <c r="E107" t="inlineStr">
        <is>
          <t>retailer</t>
        </is>
      </c>
      <c r="F107" t="inlineStr">
        <is>
          <t>250 Seventh Avenue</t>
        </is>
      </c>
      <c r="G107" t="n">
        <v>40.745314</v>
      </c>
      <c r="H107" t="n">
        <v>-73.99549</v>
      </c>
      <c r="I107" t="n">
        <v>0</v>
      </c>
      <c r="J107" t="n">
        <v>10</v>
      </c>
      <c r="K107">
        <f>IF(A107=A106,K106,0)+I107+J107</f>
        <v/>
      </c>
      <c r="L107">
        <f>SUMIF($A$2:$A$118,A107,$I$2:$I$118)+SUMIF($A$2:$A$118,A107,$J$2:$J$118)</f>
        <v/>
      </c>
      <c r="M107" t="inlineStr">
        <is>
          <t>23 St (1), about 2 min walk</t>
        </is>
      </c>
      <c r="N107" t="inlineStr">
        <is>
          <t>33 St (6), about 9 min walk</t>
        </is>
      </c>
      <c r="O107" s="3" t="inlineStr">
        <is>
          <t>RETAILER: Store open; photo of the local or emerging snack and drink set (aisle and shelf tags); note which shelf it is in; any 'local' or 'new' shelf signage</t>
        </is>
      </c>
      <c r="P107" s="10" t="inlineStr"/>
      <c r="Q107" s="10" t="inlineStr"/>
      <c r="R107" s="10" t="inlineStr"/>
      <c r="S107" s="10" t="inlineStr"/>
      <c r="T107" s="10" t="inlineStr"/>
      <c r="U107" s="10" t="inlineStr"/>
      <c r="V107" s="10" t="inlineStr"/>
    </row>
    <row r="108">
      <c r="A108" t="n">
        <v>10</v>
      </c>
      <c r="B108" t="inlineStr">
        <is>
          <t>outer retailers (within ten blocks)</t>
        </is>
      </c>
      <c r="C108" t="n">
        <v>107</v>
      </c>
      <c r="D108" s="3" t="inlineStr">
        <is>
          <t>B-R-022 Target Manhattan Herald Square</t>
        </is>
      </c>
      <c r="E108" t="inlineStr">
        <is>
          <t>retailer</t>
        </is>
      </c>
      <c r="F108" t="inlineStr">
        <is>
          <t>112 West 34th Street</t>
        </is>
      </c>
      <c r="G108" t="n">
        <v>40.7501</v>
      </c>
      <c r="H108" t="n">
        <v>-73.988868</v>
      </c>
      <c r="I108" t="n">
        <v>16.1</v>
      </c>
      <c r="J108" t="n">
        <v>3</v>
      </c>
      <c r="K108">
        <f>IF(A108=A107,K107,0)+I108+J108</f>
        <v/>
      </c>
      <c r="L108">
        <f>SUMIF($A$2:$A$118,A108,$I$2:$I$118)+SUMIF($A$2:$A$118,A108,$J$2:$J$118)</f>
        <v/>
      </c>
      <c r="M108" t="inlineStr">
        <is>
          <t>23 St (1), about 2 min walk</t>
        </is>
      </c>
      <c r="N108" t="inlineStr">
        <is>
          <t>33 St (6), about 9 min walk</t>
        </is>
      </c>
      <c r="O108" s="3" t="inlineStr">
        <is>
          <t>RETAILER: Store open; photo of the local or emerging snack and drink set (aisle and shelf tags); note which shelf it is in; any 'local' or 'new' shelf signage</t>
        </is>
      </c>
      <c r="P108" s="10" t="inlineStr"/>
      <c r="Q108" s="10" t="inlineStr"/>
      <c r="R108" s="10" t="inlineStr"/>
      <c r="S108" s="10" t="inlineStr"/>
      <c r="T108" s="10" t="inlineStr"/>
      <c r="U108" s="10" t="inlineStr"/>
      <c r="V108" s="10" t="inlineStr"/>
    </row>
    <row r="109">
      <c r="A109" t="n">
        <v>10</v>
      </c>
      <c r="B109" t="inlineStr">
        <is>
          <t>outer retailers (within ten blocks)</t>
        </is>
      </c>
      <c r="C109" t="n">
        <v>108</v>
      </c>
      <c r="D109" s="3" t="inlineStr">
        <is>
          <t>B-R-015 New Foods of India</t>
        </is>
      </c>
      <c r="E109" t="inlineStr">
        <is>
          <t>retailer</t>
        </is>
      </c>
      <c r="F109" t="inlineStr">
        <is>
          <t>121 Lexington Avenue</t>
        </is>
      </c>
      <c r="G109" t="n">
        <v>40.742714</v>
      </c>
      <c r="H109" t="n">
        <v>-73.98214299999999</v>
      </c>
      <c r="I109" t="n">
        <v>22.3</v>
      </c>
      <c r="J109" t="n">
        <v>6</v>
      </c>
      <c r="K109">
        <f>IF(A109=A108,K108,0)+I109+J109</f>
        <v/>
      </c>
      <c r="L109">
        <f>SUMIF($A$2:$A$118,A109,$I$2:$I$118)+SUMIF($A$2:$A$118,A109,$J$2:$J$118)</f>
        <v/>
      </c>
      <c r="M109" t="inlineStr">
        <is>
          <t>23 St (1), about 2 min walk</t>
        </is>
      </c>
      <c r="N109" t="inlineStr">
        <is>
          <t>33 St (6), about 9 min walk</t>
        </is>
      </c>
      <c r="O109" s="3" t="inlineStr">
        <is>
          <t>RETAILER: Store open; photo of the local or emerging snack and drink set (aisle and shelf tags); note which shelf it is in; any 'local' or 'new' shelf signage</t>
        </is>
      </c>
      <c r="P109" s="10" t="inlineStr"/>
      <c r="Q109" s="10" t="inlineStr"/>
      <c r="R109" s="10" t="inlineStr"/>
      <c r="S109" s="10" t="inlineStr"/>
      <c r="T109" s="10" t="inlineStr"/>
      <c r="U109" s="10" t="inlineStr"/>
      <c r="V109" s="10" t="inlineStr"/>
    </row>
    <row r="110">
      <c r="A110" t="n">
        <v>10</v>
      </c>
      <c r="B110" t="inlineStr">
        <is>
          <t>outer retailers (within ten blocks)</t>
        </is>
      </c>
      <c r="C110" t="n">
        <v>109</v>
      </c>
      <c r="D110" s="3" t="inlineStr">
        <is>
          <t>B-R-014 Kalustyan's</t>
        </is>
      </c>
      <c r="E110" t="inlineStr">
        <is>
          <t>retailer</t>
        </is>
      </c>
      <c r="F110" t="inlineStr">
        <is>
          <t>123 Lexington Avenue</t>
        </is>
      </c>
      <c r="G110" t="n">
        <v>40.742767</v>
      </c>
      <c r="H110" t="n">
        <v>-73.98210400000001</v>
      </c>
      <c r="I110" t="n">
        <v>0.3</v>
      </c>
      <c r="J110" t="n">
        <v>6</v>
      </c>
      <c r="K110">
        <f>IF(A110=A109,K109,0)+I110+J110</f>
        <v/>
      </c>
      <c r="L110">
        <f>SUMIF($A$2:$A$118,A110,$I$2:$I$118)+SUMIF($A$2:$A$118,A110,$J$2:$J$118)</f>
        <v/>
      </c>
      <c r="M110" t="inlineStr">
        <is>
          <t>23 St (1), about 2 min walk</t>
        </is>
      </c>
      <c r="N110" t="inlineStr">
        <is>
          <t>33 St (6), about 9 min walk</t>
        </is>
      </c>
      <c r="O110" s="3" t="inlineStr">
        <is>
          <t>RETAILER: Store open; photo of the local or emerging snack and drink set (aisle and shelf tags); note which shelf it is in; any 'local' or 'new' shelf signage</t>
        </is>
      </c>
      <c r="P110" s="10" t="inlineStr"/>
      <c r="Q110" s="10" t="inlineStr"/>
      <c r="R110" s="10" t="inlineStr"/>
      <c r="S110" s="10" t="inlineStr"/>
      <c r="T110" s="10" t="inlineStr"/>
      <c r="U110" s="10" t="inlineStr"/>
      <c r="V110" s="10" t="inlineStr"/>
    </row>
    <row r="111">
      <c r="A111" t="n">
        <v>10</v>
      </c>
      <c r="B111" t="inlineStr">
        <is>
          <t>outer retailers (within ten blocks)</t>
        </is>
      </c>
      <c r="C111" t="n">
        <v>110</v>
      </c>
      <c r="D111" s="3" t="inlineStr">
        <is>
          <t>B-R-029 Fairway Market Kips Bay</t>
        </is>
      </c>
      <c r="E111" t="inlineStr">
        <is>
          <t>retailer</t>
        </is>
      </c>
      <c r="F111" t="inlineStr">
        <is>
          <t>550 Second Avenue</t>
        </is>
      </c>
      <c r="G111" t="n">
        <v>40.74271</v>
      </c>
      <c r="H111" t="n">
        <v>-73.97677</v>
      </c>
      <c r="I111" t="n">
        <v>10.3</v>
      </c>
      <c r="J111" t="n">
        <v>6</v>
      </c>
      <c r="K111">
        <f>IF(A111=A110,K110,0)+I111+J111</f>
        <v/>
      </c>
      <c r="L111">
        <f>SUMIF($A$2:$A$118,A111,$I$2:$I$118)+SUMIF($A$2:$A$118,A111,$J$2:$J$118)</f>
        <v/>
      </c>
      <c r="M111" t="inlineStr">
        <is>
          <t>23 St (1), about 2 min walk</t>
        </is>
      </c>
      <c r="N111" t="inlineStr">
        <is>
          <t>33 St (6), about 9 min walk</t>
        </is>
      </c>
      <c r="O111" s="3" t="inlineStr">
        <is>
          <t>RETAILER: Store open; photo of the local or emerging snack and drink set (aisle and shelf tags); note which shelf it is in; any 'local' or 'new' shelf signage</t>
        </is>
      </c>
      <c r="P111" s="10" t="inlineStr"/>
      <c r="Q111" s="10" t="inlineStr"/>
      <c r="R111" s="10" t="inlineStr"/>
      <c r="S111" s="10" t="inlineStr"/>
      <c r="T111" s="10" t="inlineStr"/>
      <c r="U111" s="10" t="inlineStr"/>
      <c r="V111" s="10" t="inlineStr"/>
    </row>
    <row r="112">
      <c r="A112" t="n">
        <v>11</v>
      </c>
      <c r="B112" t="inlineStr">
        <is>
          <t>outer retailers (within ten blocks)</t>
        </is>
      </c>
      <c r="C112" t="n">
        <v>111</v>
      </c>
      <c r="D112" s="3" t="inlineStr">
        <is>
          <t>B-R-028 Target Kips Bay</t>
        </is>
      </c>
      <c r="E112" t="inlineStr">
        <is>
          <t>retailer</t>
        </is>
      </c>
      <c r="F112" t="inlineStr">
        <is>
          <t>512 Second Avenue</t>
        </is>
      </c>
      <c r="G112" t="n">
        <v>40.740979</v>
      </c>
      <c r="H112" t="n">
        <v>-73.977625</v>
      </c>
      <c r="I112" t="n">
        <v>0</v>
      </c>
      <c r="J112" t="n">
        <v>3</v>
      </c>
      <c r="K112">
        <f>IF(A112=A111,K111,0)+I112+J112</f>
        <v/>
      </c>
      <c r="L112">
        <f>SUMIF($A$2:$A$118,A112,$I$2:$I$118)+SUMIF($A$2:$A$118,A112,$J$2:$J$118)</f>
        <v/>
      </c>
      <c r="M112" t="inlineStr">
        <is>
          <t>28 St (6), about 9 min walk</t>
        </is>
      </c>
      <c r="N112" t="inlineStr">
        <is>
          <t>Astor Pl (6), about 1 min walk</t>
        </is>
      </c>
      <c r="O112" s="3" t="inlineStr">
        <is>
          <t>RETAILER: Store open; photo of the local or emerging snack and drink set (aisle and shelf tags); note which shelf it is in; any 'local' or 'new' shelf signage</t>
        </is>
      </c>
      <c r="P112" s="10" t="inlineStr"/>
      <c r="Q112" s="10" t="inlineStr"/>
      <c r="R112" s="10" t="inlineStr"/>
      <c r="S112" s="10" t="inlineStr"/>
      <c r="T112" s="10" t="inlineStr"/>
      <c r="U112" s="10" t="inlineStr"/>
      <c r="V112" s="10" t="inlineStr"/>
    </row>
    <row r="113">
      <c r="A113" t="n">
        <v>11</v>
      </c>
      <c r="B113" t="inlineStr">
        <is>
          <t>outer retailers (within ten blocks)</t>
        </is>
      </c>
      <c r="C113" t="n">
        <v>112</v>
      </c>
      <c r="D113" s="3" t="inlineStr">
        <is>
          <t>B-R-030 Morton Williams (311 East 23rd St)</t>
        </is>
      </c>
      <c r="E113" t="inlineStr">
        <is>
          <t>retailer</t>
        </is>
      </c>
      <c r="F113" t="inlineStr">
        <is>
          <t>311 East 23rd Street</t>
        </is>
      </c>
      <c r="G113" t="n">
        <v>40.737748</v>
      </c>
      <c r="H113" t="n">
        <v>-73.97990900000001</v>
      </c>
      <c r="I113" t="n">
        <v>9.199999999999999</v>
      </c>
      <c r="J113" t="n">
        <v>3</v>
      </c>
      <c r="K113">
        <f>IF(A113=A112,K112,0)+I113+J113</f>
        <v/>
      </c>
      <c r="L113">
        <f>SUMIF($A$2:$A$118,A113,$I$2:$I$118)+SUMIF($A$2:$A$118,A113,$J$2:$J$118)</f>
        <v/>
      </c>
      <c r="M113" t="inlineStr">
        <is>
          <t>28 St (6), about 9 min walk</t>
        </is>
      </c>
      <c r="N113" t="inlineStr">
        <is>
          <t>Astor Pl (6), about 1 min walk</t>
        </is>
      </c>
      <c r="O113" s="3" t="inlineStr">
        <is>
          <t>RETAILER: Store open; photo of the local or emerging snack and drink set (aisle and shelf tags); note which shelf it is in; any 'local' or 'new' shelf signage</t>
        </is>
      </c>
      <c r="P113" s="10" t="inlineStr"/>
      <c r="Q113" s="10" t="inlineStr"/>
      <c r="R113" s="10" t="inlineStr"/>
      <c r="S113" s="10" t="inlineStr"/>
      <c r="T113" s="10" t="inlineStr"/>
      <c r="U113" s="10" t="inlineStr"/>
      <c r="V113" s="10" t="inlineStr"/>
    </row>
    <row r="114">
      <c r="A114" t="n">
        <v>11</v>
      </c>
      <c r="B114" t="inlineStr">
        <is>
          <t>outer retailers (within ten blocks)</t>
        </is>
      </c>
      <c r="C114" t="n">
        <v>113</v>
      </c>
      <c r="D114" s="3" t="inlineStr">
        <is>
          <t>B-R-026 Wholesome Organic Market</t>
        </is>
      </c>
      <c r="E114" t="inlineStr">
        <is>
          <t>retailer</t>
        </is>
      </c>
      <c r="F114" t="inlineStr">
        <is>
          <t>343 Second Avenue</t>
        </is>
      </c>
      <c r="G114" t="n">
        <v>40.735855</v>
      </c>
      <c r="H114" t="n">
        <v>-73.982789</v>
      </c>
      <c r="I114" t="n">
        <v>7</v>
      </c>
      <c r="J114" t="n">
        <v>6</v>
      </c>
      <c r="K114">
        <f>IF(A114=A113,K113,0)+I114+J114</f>
        <v/>
      </c>
      <c r="L114">
        <f>SUMIF($A$2:$A$118,A114,$I$2:$I$118)+SUMIF($A$2:$A$118,A114,$J$2:$J$118)</f>
        <v/>
      </c>
      <c r="M114" t="inlineStr">
        <is>
          <t>28 St (6), about 9 min walk</t>
        </is>
      </c>
      <c r="N114" t="inlineStr">
        <is>
          <t>Astor Pl (6), about 1 min walk</t>
        </is>
      </c>
      <c r="O114" s="3" t="inlineStr">
        <is>
          <t>RETAILER: Store open; photo of the local or emerging snack and drink set (aisle and shelf tags); note which shelf it is in; any 'local' or 'new' shelf signage</t>
        </is>
      </c>
      <c r="P114" s="10" t="inlineStr"/>
      <c r="Q114" s="10" t="inlineStr"/>
      <c r="R114" s="10" t="inlineStr"/>
      <c r="S114" s="10" t="inlineStr"/>
      <c r="T114" s="10" t="inlineStr"/>
      <c r="U114" s="10" t="inlineStr"/>
      <c r="V114" s="10" t="inlineStr"/>
    </row>
    <row r="115">
      <c r="A115" t="n">
        <v>11</v>
      </c>
      <c r="B115" t="inlineStr">
        <is>
          <t>outer retailers (within ten blocks)</t>
        </is>
      </c>
      <c r="C115" t="n">
        <v>114</v>
      </c>
      <c r="D115" s="3" t="inlineStr">
        <is>
          <t>B-R-020 Eden Gourmet Marketplace Gramercy Park</t>
        </is>
      </c>
      <c r="E115" t="inlineStr">
        <is>
          <t>retailer</t>
        </is>
      </c>
      <c r="F115" t="inlineStr">
        <is>
          <t>275 Third Avenue</t>
        </is>
      </c>
      <c r="G115" t="n">
        <v>40.737638</v>
      </c>
      <c r="H115" t="n">
        <v>-73.983582</v>
      </c>
      <c r="I115" t="n">
        <v>5.6</v>
      </c>
      <c r="J115" t="n">
        <v>6</v>
      </c>
      <c r="K115">
        <f>IF(A115=A114,K114,0)+I115+J115</f>
        <v/>
      </c>
      <c r="L115">
        <f>SUMIF($A$2:$A$118,A115,$I$2:$I$118)+SUMIF($A$2:$A$118,A115,$J$2:$J$118)</f>
        <v/>
      </c>
      <c r="M115" t="inlineStr">
        <is>
          <t>28 St (6), about 9 min walk</t>
        </is>
      </c>
      <c r="N115" t="inlineStr">
        <is>
          <t>Astor Pl (6), about 1 min walk</t>
        </is>
      </c>
      <c r="O115" s="3" t="inlineStr">
        <is>
          <t>RETAILER: Store open; photo of the local or emerging snack and drink set (aisle and shelf tags); note which shelf it is in; any 'local' or 'new' shelf signage</t>
        </is>
      </c>
      <c r="P115" s="10" t="inlineStr"/>
      <c r="Q115" s="10" t="inlineStr"/>
      <c r="R115" s="10" t="inlineStr"/>
      <c r="S115" s="10" t="inlineStr"/>
      <c r="T115" s="10" t="inlineStr"/>
      <c r="U115" s="10" t="inlineStr"/>
      <c r="V115" s="10" t="inlineStr"/>
    </row>
    <row r="116">
      <c r="A116" t="n">
        <v>11</v>
      </c>
      <c r="B116" t="inlineStr">
        <is>
          <t>outer retailers (within ten blocks)</t>
        </is>
      </c>
      <c r="C116" t="n">
        <v>115</v>
      </c>
      <c r="D116" s="3" t="inlineStr">
        <is>
          <t>B-R-016 Westside Market NYC (180 Third Ave)</t>
        </is>
      </c>
      <c r="E116" t="inlineStr">
        <is>
          <t>retailer</t>
        </is>
      </c>
      <c r="F116" t="inlineStr">
        <is>
          <t>180 Third Avenue</t>
        </is>
      </c>
      <c r="G116" t="n">
        <v>40.735054</v>
      </c>
      <c r="H116" t="n">
        <v>-73.98631399999999</v>
      </c>
      <c r="I116" t="n">
        <v>7.5</v>
      </c>
      <c r="J116" t="n">
        <v>6</v>
      </c>
      <c r="K116">
        <f>IF(A116=A115,K115,0)+I116+J116</f>
        <v/>
      </c>
      <c r="L116">
        <f>SUMIF($A$2:$A$118,A116,$I$2:$I$118)+SUMIF($A$2:$A$118,A116,$J$2:$J$118)</f>
        <v/>
      </c>
      <c r="M116" t="inlineStr">
        <is>
          <t>28 St (6), about 9 min walk</t>
        </is>
      </c>
      <c r="N116" t="inlineStr">
        <is>
          <t>Astor Pl (6), about 1 min walk</t>
        </is>
      </c>
      <c r="O116" s="3" t="inlineStr">
        <is>
          <t>RETAILER: Store open; photo of the local or emerging snack and drink set (aisle and shelf tags); note which shelf it is in; any 'local' or 'new' shelf signage</t>
        </is>
      </c>
      <c r="P116" s="10" t="inlineStr"/>
      <c r="Q116" s="10" t="inlineStr"/>
      <c r="R116" s="10" t="inlineStr"/>
      <c r="S116" s="10" t="inlineStr"/>
      <c r="T116" s="10" t="inlineStr"/>
      <c r="U116" s="10" t="inlineStr"/>
      <c r="V116" s="10" t="inlineStr"/>
    </row>
    <row r="117">
      <c r="A117" t="n">
        <v>11</v>
      </c>
      <c r="B117" t="inlineStr">
        <is>
          <t>outer retailers (within ten blocks)</t>
        </is>
      </c>
      <c r="C117" t="n">
        <v>116</v>
      </c>
      <c r="D117" s="3" t="inlineStr">
        <is>
          <t>B-R-013 Westside Market NYC (84 Third Ave)</t>
        </is>
      </c>
      <c r="E117" t="inlineStr">
        <is>
          <t>retailer</t>
        </is>
      </c>
      <c r="F117" t="inlineStr">
        <is>
          <t>84 Third Avenue</t>
        </is>
      </c>
      <c r="G117" t="n">
        <v>40.731868</v>
      </c>
      <c r="H117" t="n">
        <v>-73.988569</v>
      </c>
      <c r="I117" t="n">
        <v>7</v>
      </c>
      <c r="J117" t="n">
        <v>6</v>
      </c>
      <c r="K117">
        <f>IF(A117=A116,K116,0)+I117+J117</f>
        <v/>
      </c>
      <c r="L117">
        <f>SUMIF($A$2:$A$118,A117,$I$2:$I$118)+SUMIF($A$2:$A$118,A117,$J$2:$J$118)</f>
        <v/>
      </c>
      <c r="M117" t="inlineStr">
        <is>
          <t>28 St (6), about 9 min walk</t>
        </is>
      </c>
      <c r="N117" t="inlineStr">
        <is>
          <t>Astor Pl (6), about 1 min walk</t>
        </is>
      </c>
      <c r="O117" s="3" t="inlineStr">
        <is>
          <t>RETAILER: Store open; photo of the local or emerging snack and drink set (aisle and shelf tags); note which shelf it is in; any 'local' or 'new' shelf signage</t>
        </is>
      </c>
      <c r="P117" s="10" t="inlineStr"/>
      <c r="Q117" s="10" t="inlineStr"/>
      <c r="R117" s="10" t="inlineStr"/>
      <c r="S117" s="10" t="inlineStr"/>
      <c r="T117" s="10" t="inlineStr"/>
      <c r="U117" s="10" t="inlineStr"/>
      <c r="V117" s="10" t="inlineStr"/>
    </row>
    <row r="118">
      <c r="A118" t="n">
        <v>11</v>
      </c>
      <c r="B118" t="inlineStr">
        <is>
          <t>outer retailers (within ten blocks)</t>
        </is>
      </c>
      <c r="C118" t="n">
        <v>117</v>
      </c>
      <c r="D118" s="3" t="inlineStr">
        <is>
          <t>B-R-024 Wegmans Astor Place</t>
        </is>
      </c>
      <c r="E118" t="inlineStr">
        <is>
          <t>retailer</t>
        </is>
      </c>
      <c r="F118" t="inlineStr">
        <is>
          <t>770 Broadway</t>
        </is>
      </c>
      <c r="G118" t="n">
        <v>40.730604</v>
      </c>
      <c r="H118" t="n">
        <v>-73.99151999999999</v>
      </c>
      <c r="I118" t="n">
        <v>6.2</v>
      </c>
      <c r="J118" t="n">
        <v>10</v>
      </c>
      <c r="K118">
        <f>IF(A118=A117,K117,0)+I118+J118</f>
        <v/>
      </c>
      <c r="L118">
        <f>SUMIF($A$2:$A$118,A118,$I$2:$I$118)+SUMIF($A$2:$A$118,A118,$J$2:$J$118)</f>
        <v/>
      </c>
      <c r="M118" t="inlineStr">
        <is>
          <t>28 St (6), about 9 min walk</t>
        </is>
      </c>
      <c r="N118" t="inlineStr">
        <is>
          <t>Astor Pl (6), about 1 min walk</t>
        </is>
      </c>
      <c r="O118" s="3" t="inlineStr">
        <is>
          <t>RETAILER: Store open; photo of the local or emerging snack and drink set (aisle and shelf tags); note which shelf it is in; any 'local' or 'new' shelf signage</t>
        </is>
      </c>
      <c r="P118" s="10" t="inlineStr"/>
      <c r="Q118" s="10" t="inlineStr"/>
      <c r="R118" s="10" t="inlineStr"/>
      <c r="S118" s="10" t="inlineStr"/>
      <c r="T118" s="10" t="inlineStr"/>
      <c r="U118" s="10" t="inlineStr"/>
      <c r="V118" s="10" t="inlineStr"/>
    </row>
  </sheetData>
  <autoFilter ref="A1:V118"/>
  <dataValidations count="2">
    <dataValidation sqref="P2:P118" showDropDown="0" showInputMessage="0" showErrorMessage="0" allowBlank="1" type="list">
      <formula1>"walk-up,security desk,loading dock,other"</formula1>
    </dataValidation>
    <dataValidation sqref="Q2:Q118 S2:S118 U2:U118" showDropDown="0" showInputMessage="0" showErrorMessage="0" allowBlank="1" type="list">
      <formula1>"Y,N"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9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34" customWidth="1" min="2" max="2"/>
    <col width="12" customWidth="1" min="3" max="3"/>
    <col width="12" customWidth="1" min="4" max="4"/>
    <col width="14" customWidth="1" min="5" max="5"/>
    <col width="30" customWidth="1" min="6" max="6"/>
    <col width="12" customWidth="1" min="7" max="7"/>
    <col width="12" customWidth="1" min="8" max="8"/>
    <col width="12" customWidth="1" min="9" max="9"/>
    <col width="12" customWidth="1" min="10" max="10"/>
    <col width="14" customWidth="1" min="11" max="11"/>
    <col width="17" customWidth="1" min="12" max="12"/>
    <col width="18" customWidth="1" min="13" max="13"/>
    <col width="23" customWidth="1" min="14" max="14"/>
    <col width="21" customWidth="1" min="15" max="15"/>
    <col width="22" customWidth="1" min="16" max="16"/>
    <col width="20" customWidth="1" min="17" max="17"/>
    <col width="13" customWidth="1" min="18" max="18"/>
    <col width="15" customWidth="1" min="19" max="19"/>
    <col width="15" customWidth="1" min="20" max="20"/>
    <col width="23" customWidth="1" min="21" max="21"/>
    <col width="80" customWidth="1" min="22" max="22"/>
    <col width="13" customWidth="1" min="23" max="23"/>
    <col width="22" customWidth="1" min="24" max="24"/>
    <col width="19" customWidth="1" min="25" max="25"/>
    <col width="15" customWidth="1" min="26" max="26"/>
    <col width="15" customWidth="1" min="27" max="27"/>
    <col width="24" customWidth="1" min="28" max="28"/>
    <col width="50" customWidth="1" min="29" max="29"/>
    <col width="22" customWidth="1" min="30" max="30"/>
    <col width="21" customWidth="1" min="31" max="31"/>
    <col width="18" customWidth="1" min="32" max="32"/>
    <col width="12" customWidth="1" min="33" max="33"/>
    <col width="17" customWidth="1" min="34" max="34"/>
    <col width="22" customWidth="1" min="35" max="35"/>
    <col width="17" customWidth="1" min="36" max="36"/>
    <col width="45" customWidth="1" min="37" max="37"/>
  </cols>
  <sheetData>
    <row r="1">
      <c r="A1" s="1" t="inlineStr">
        <is>
          <t>company_id</t>
        </is>
      </c>
      <c r="B1" s="1" t="inlineStr">
        <is>
          <t>company_name</t>
        </is>
      </c>
      <c r="C1" s="1" t="inlineStr">
        <is>
          <t>website</t>
        </is>
      </c>
      <c r="D1" s="1" t="inlineStr">
        <is>
          <t>industry</t>
        </is>
      </c>
      <c r="E1" s="1" t="inlineStr">
        <is>
          <t>building_id</t>
        </is>
      </c>
      <c r="F1" s="1" t="inlineStr">
        <is>
          <t>street_address</t>
        </is>
      </c>
      <c r="G1" s="1" t="inlineStr">
        <is>
          <t>floor</t>
        </is>
      </c>
      <c r="H1" s="1" t="inlineStr">
        <is>
          <t>zip</t>
        </is>
      </c>
      <c r="I1" s="1" t="inlineStr">
        <is>
          <t>lat</t>
        </is>
      </c>
      <c r="J1" s="1" t="inlineStr">
        <is>
          <t>lon</t>
        </is>
      </c>
      <c r="K1" s="1" t="inlineStr">
        <is>
          <t>in_boundary</t>
        </is>
      </c>
      <c r="L1" s="1" t="inlineStr">
        <is>
          <t>headcount_band</t>
        </is>
      </c>
      <c r="M1" s="1" t="inlineStr">
        <is>
          <t>headcount_scope</t>
        </is>
      </c>
      <c r="N1" s="1" t="inlineStr">
        <is>
          <t>headcount_source_url</t>
        </is>
      </c>
      <c r="O1" s="1" t="inlineStr">
        <is>
          <t>address_source_url</t>
        </is>
      </c>
      <c r="P1" s="1" t="inlineStr">
        <is>
          <t>address_source_date</t>
        </is>
      </c>
      <c r="Q1" s="1" t="inlineStr">
        <is>
          <t>second_source_url</t>
        </is>
      </c>
      <c r="R1" s="1" t="inlineStr">
        <is>
          <t>confidence</t>
        </is>
      </c>
      <c r="S1" s="1" t="inlineStr">
        <is>
          <t>in_coworking</t>
        </is>
      </c>
      <c r="T1" s="1" t="inlineStr">
        <is>
          <t>coworking_id</t>
        </is>
      </c>
      <c r="U1" s="1" t="inlineStr">
        <is>
          <t>linkedin_company_url</t>
        </is>
      </c>
      <c r="V1" s="1" t="inlineStr">
        <is>
          <t>notes</t>
        </is>
      </c>
      <c r="W1" s="1" t="inlineStr">
        <is>
          <t>found_date</t>
        </is>
      </c>
      <c r="X1" s="1" t="inlineStr">
        <is>
          <t>building_lobby_type</t>
        </is>
      </c>
      <c r="Y1" s="1" t="inlineStr">
        <is>
          <t>candidate_status</t>
        </is>
      </c>
      <c r="Z1" s="1" t="inlineStr">
        <is>
          <t>lease_status</t>
        </is>
      </c>
      <c r="AA1" s="1" t="inlineStr">
        <is>
          <t>move_in_date</t>
        </is>
      </c>
      <c r="AB1" s="1" t="inlineStr">
        <is>
          <t>headcount_source_date</t>
        </is>
      </c>
      <c r="AC1" s="1" t="inlineStr">
        <is>
          <t>headcount_unknown_reason</t>
        </is>
      </c>
      <c r="AD1" s="1" t="inlineStr">
        <is>
          <t>address_source_type</t>
        </is>
      </c>
      <c r="AE1" s="1" t="inlineStr">
        <is>
          <t>second_source_date</t>
        </is>
      </c>
      <c r="AF1" s="1" t="inlineStr">
        <is>
          <t>coworking_check</t>
        </is>
      </c>
      <c r="AG1" s="1" t="inlineStr">
        <is>
          <t>bbl</t>
        </is>
      </c>
      <c r="AH1" s="1" t="inlineStr">
        <is>
          <t>blocks_outside</t>
        </is>
      </c>
      <c r="AI1" s="1" t="inlineStr">
        <is>
          <t>leased_sf_mentioned</t>
        </is>
      </c>
      <c r="AJ1" s="1" t="inlineStr">
        <is>
          <t>research_slice</t>
        </is>
      </c>
      <c r="AK1" s="1" t="inlineStr">
        <is>
          <t>near_miss_reason</t>
        </is>
      </c>
    </row>
    <row r="2">
      <c r="A2" t="inlineStr">
        <is>
          <t>B-C-179</t>
        </is>
      </c>
      <c r="B2" t="inlineStr">
        <is>
          <t>Movable Ink</t>
        </is>
      </c>
      <c r="C2" s="2" t="inlineStr">
        <is>
          <t>https://movableink.com</t>
        </is>
      </c>
      <c r="D2" t="inlineStr">
        <is>
          <t>marketing tech (email personalization)</t>
        </is>
      </c>
      <c r="E2" t="inlineStr">
        <is>
          <t>B-B-001</t>
        </is>
      </c>
      <c r="F2" t="inlineStr">
        <is>
          <t>841 Broadway</t>
        </is>
      </c>
      <c r="G2" t="inlineStr"/>
      <c r="H2" t="inlineStr">
        <is>
          <t>10003</t>
        </is>
      </c>
      <c r="I2" t="n">
        <v>40.734318</v>
      </c>
      <c r="J2" t="n">
        <v>-73.991231</v>
      </c>
      <c r="K2" t="inlineStr">
        <is>
          <t>Y</t>
        </is>
      </c>
      <c r="L2" t="inlineStr">
        <is>
          <t>over-500</t>
        </is>
      </c>
      <c r="M2" t="inlineStr">
        <is>
          <t>whole-company</t>
        </is>
      </c>
      <c r="N2" s="2" t="inlineStr">
        <is>
          <t>https://www.builtinnyc.com/company/movable-ink</t>
        </is>
      </c>
      <c r="O2" s="2" t="inlineStr">
        <is>
          <t>https://commercialobserver.com/2024/06/movable-ink-lease-841-broadway/</t>
        </is>
      </c>
      <c r="P2" t="inlineStr">
        <is>
          <t>2024-06</t>
        </is>
      </c>
      <c r="Q2" t="inlineStr"/>
      <c r="R2" t="inlineStr">
        <is>
          <t>low</t>
        </is>
      </c>
      <c r="S2" t="inlineStr">
        <is>
          <t>N</t>
        </is>
      </c>
      <c r="T2" t="inlineStr"/>
      <c r="U2" t="inlineStr"/>
      <c r="V2" s="3" t="inlineStr">
        <is>
          <t>Near-miss: over 500 (Built In: 600 total employees, HQ New York) and margin. CO 2024-06: about 14,000 sf long-term lease at 841 Broadway, moving from 5 Bryant Park. Source older than 24 months, no current confirmation found.</t>
        </is>
      </c>
      <c r="W2" t="inlineStr">
        <is>
          <t>2026-10-23</t>
        </is>
      </c>
      <c r="X2" t="inlineStr">
        <is>
          <t>security desk</t>
        </is>
      </c>
      <c r="Y2" t="inlineStr">
        <is>
          <t>near-miss-over-500</t>
        </is>
      </c>
      <c r="Z2" t="inlineStr">
        <is>
          <t>occupancy-unconfirmed</t>
        </is>
      </c>
      <c r="AA2" t="inlineStr"/>
      <c r="AB2" t="inlineStr">
        <is>
          <t>2026-10-23</t>
        </is>
      </c>
      <c r="AC2" s="3" t="inlineStr"/>
      <c r="AD2" t="inlineStr">
        <is>
          <t>leasing-press</t>
        </is>
      </c>
      <c r="AE2" t="inlineStr"/>
      <c r="AF2" t="inlineStr">
        <is>
          <t>no-coworking-in-building</t>
        </is>
      </c>
      <c r="AG2" t="inlineStr">
        <is>
          <t>1005650015</t>
        </is>
      </c>
      <c r="AH2" t="n">
        <v>0</v>
      </c>
      <c r="AI2" t="inlineStr">
        <is>
          <t>14,000 sf</t>
        </is>
      </c>
      <c r="AJ2" t="inlineStr">
        <is>
          <t>S1</t>
        </is>
      </c>
      <c r="AK2" s="3" t="inlineStr">
        <is>
          <t>Over 500 company-wide (Built In shows 600, just over 500)</t>
        </is>
      </c>
    </row>
    <row r="3">
      <c r="A3" t="inlineStr">
        <is>
          <t>B-C-180</t>
        </is>
      </c>
      <c r="B3" t="inlineStr">
        <is>
          <t>Robin Hood</t>
        </is>
      </c>
      <c r="C3" s="2" t="inlineStr">
        <is>
          <t>https://www.robinhood.org</t>
        </is>
      </c>
      <c r="D3" t="inlineStr">
        <is>
          <t>nonprofit (anti-poverty philanthropy)</t>
        </is>
      </c>
      <c r="E3" t="inlineStr">
        <is>
          <t>B-B-001</t>
        </is>
      </c>
      <c r="F3" t="inlineStr">
        <is>
          <t>841 Broadway</t>
        </is>
      </c>
      <c r="G3" t="inlineStr">
        <is>
          <t>5-8</t>
        </is>
      </c>
      <c r="H3" t="inlineStr">
        <is>
          <t>10003</t>
        </is>
      </c>
      <c r="I3" t="n">
        <v>40.734318</v>
      </c>
      <c r="J3" t="n">
        <v>-73.991231</v>
      </c>
      <c r="K3" t="inlineStr">
        <is>
          <t>Y</t>
        </is>
      </c>
      <c r="L3" t="inlineStr">
        <is>
          <t>over-500</t>
        </is>
      </c>
      <c r="M3" t="inlineStr">
        <is>
          <t>whole-company</t>
        </is>
      </c>
      <c r="N3" s="2" t="inlineStr">
        <is>
          <t>https://www.builtinnyc.com/company/robin-hood</t>
        </is>
      </c>
      <c r="O3" s="2" t="inlineStr">
        <is>
          <t>https://rebusinessonline.com/robin-hood-signs-53000-sf-office-lease-at-841-broadway-in-manhattan/</t>
        </is>
      </c>
      <c r="P3" t="inlineStr">
        <is>
          <t>2026-06-22</t>
        </is>
      </c>
      <c r="Q3" s="2" t="inlineStr">
        <is>
          <t>https://commercialobserver.com/2026/04/nonprofit-robin-hood-lease-841-broadway/</t>
        </is>
      </c>
      <c r="R3" t="inlineStr">
        <is>
          <t>medium</t>
        </is>
      </c>
      <c r="S3" t="inlineStr">
        <is>
          <t>N</t>
        </is>
      </c>
      <c r="T3" t="inlineStr"/>
      <c r="U3" t="inlineStr"/>
      <c r="V3" s="3" t="inlineStr">
        <is>
          <t>841 Broadway is on the south side of 14th St (margin). REBusiness 2026-06-22: 30-year 53,000 sf lease, entire 5th-8th floors; move-in timing not stated. Built In NYC 'Robin Hood' profile (HQ New York, founded 1988) shows 659 total employees; founder to confirm, it may include non-staff counts. CO 2026-04-08: current office is 826 Broadway (outside the slice); 841 Broadway is a planned relocation with timing not stated, so confidence stays medium. | Assembly 2026-10-24: Built In's 659 for this nonprofit may include non-staff counts (S1 flag).</t>
        </is>
      </c>
      <c r="W3" t="inlineStr">
        <is>
          <t>2026-10-23</t>
        </is>
      </c>
      <c r="X3" t="inlineStr">
        <is>
          <t>security desk</t>
        </is>
      </c>
      <c r="Y3" t="inlineStr">
        <is>
          <t>near-miss-over-500</t>
        </is>
      </c>
      <c r="Z3" t="inlineStr">
        <is>
          <t>signed-not-occupied</t>
        </is>
      </c>
      <c r="AA3" t="inlineStr">
        <is>
          <t>unknown</t>
        </is>
      </c>
      <c r="AB3" t="inlineStr">
        <is>
          <t>2026-10-23</t>
        </is>
      </c>
      <c r="AC3" s="3" t="inlineStr"/>
      <c r="AD3" t="inlineStr">
        <is>
          <t>leasing-press</t>
        </is>
      </c>
      <c r="AE3" t="inlineStr">
        <is>
          <t>2026-04-08</t>
        </is>
      </c>
      <c r="AF3" t="inlineStr">
        <is>
          <t>no-coworking-in-building</t>
        </is>
      </c>
      <c r="AG3" t="inlineStr">
        <is>
          <t>1005650015</t>
        </is>
      </c>
      <c r="AH3" t="n">
        <v>0</v>
      </c>
      <c r="AI3" t="inlineStr">
        <is>
          <t>53,000 sf</t>
        </is>
      </c>
      <c r="AJ3" t="inlineStr">
        <is>
          <t>S1</t>
        </is>
      </c>
      <c r="AK3" s="3" t="inlineStr">
        <is>
          <t>Over 500 company-wide</t>
        </is>
      </c>
    </row>
    <row r="4">
      <c r="A4" t="inlineStr">
        <is>
          <t>B-C-181</t>
        </is>
      </c>
      <c r="B4" t="inlineStr">
        <is>
          <t>Con Edison</t>
        </is>
      </c>
      <c r="C4" s="2" t="inlineStr">
        <is>
          <t>https://www.coned.com</t>
        </is>
      </c>
      <c r="D4" t="inlineStr">
        <is>
          <t>energy utility (headquarters)</t>
        </is>
      </c>
      <c r="E4" t="inlineStr"/>
      <c r="F4" t="inlineStr">
        <is>
          <t>4 Irving Place</t>
        </is>
      </c>
      <c r="G4" t="inlineStr"/>
      <c r="H4" t="inlineStr">
        <is>
          <t>10003</t>
        </is>
      </c>
      <c r="I4" t="n">
        <v>40.734081</v>
      </c>
      <c r="J4" t="n">
        <v>-73.98789499999999</v>
      </c>
      <c r="K4" t="inlineStr">
        <is>
          <t>Y</t>
        </is>
      </c>
      <c r="L4" t="inlineStr">
        <is>
          <t>over-500</t>
        </is>
      </c>
      <c r="M4" t="inlineStr">
        <is>
          <t>whole-company</t>
        </is>
      </c>
      <c r="N4" s="2" t="inlineStr">
        <is>
          <t>https://en.wikipedia.org/wiki/Consolidated_Edison</t>
        </is>
      </c>
      <c r="O4" s="2" t="inlineStr">
        <is>
          <t>https://en.wikipedia.org/wiki/Consolidated_Edison_Building</t>
        </is>
      </c>
      <c r="P4" t="inlineStr">
        <is>
          <t>2026-10-23</t>
        </is>
      </c>
      <c r="Q4" t="inlineStr"/>
      <c r="R4" t="inlineStr">
        <is>
          <t>medium</t>
        </is>
      </c>
      <c r="S4" t="inlineStr">
        <is>
          <t>N</t>
        </is>
      </c>
      <c r="T4" t="inlineStr"/>
      <c r="U4" t="inlineStr"/>
      <c r="V4" s="3" t="inlineStr">
        <is>
          <t>Near-miss: over 500 (Wikipedia infobox: 15,097 employees, 2024). Wikipedia: the Consolidated Edison Building (Irving Place to Third Ave, 14th to 15th St) serves as Con Ed's headquarters. Margin (east of Park Ave S). Large corporate HQ, not a pantry-model office.</t>
        </is>
      </c>
      <c r="W4" t="inlineStr">
        <is>
          <t>2026-10-23</t>
        </is>
      </c>
      <c r="X4" t="inlineStr">
        <is>
          <t>unknown</t>
        </is>
      </c>
      <c r="Y4" t="inlineStr">
        <is>
          <t>near-miss-over-500</t>
        </is>
      </c>
      <c r="Z4" t="inlineStr">
        <is>
          <t>occupied</t>
        </is>
      </c>
      <c r="AA4" t="inlineStr"/>
      <c r="AB4" t="inlineStr">
        <is>
          <t>2026-10-23</t>
        </is>
      </c>
      <c r="AC4" s="3" t="inlineStr"/>
      <c r="AD4" t="inlineStr">
        <is>
          <t>wikipedia</t>
        </is>
      </c>
      <c r="AE4" t="inlineStr"/>
      <c r="AF4" t="inlineStr">
        <is>
          <t>no-coworking-in-building</t>
        </is>
      </c>
      <c r="AG4" t="inlineStr">
        <is>
          <t>1008700024</t>
        </is>
      </c>
      <c r="AH4" t="n">
        <v>0</v>
      </c>
      <c r="AI4" t="inlineStr"/>
      <c r="AJ4" t="inlineStr">
        <is>
          <t>S1</t>
        </is>
      </c>
      <c r="AK4" s="3" t="inlineStr">
        <is>
          <t>Over 500 company-wide</t>
        </is>
      </c>
    </row>
    <row r="5">
      <c r="A5" t="inlineStr">
        <is>
          <t>B-C-182</t>
        </is>
      </c>
      <c r="B5" t="inlineStr">
        <is>
          <t>Adyen</t>
        </is>
      </c>
      <c r="C5" s="2" t="inlineStr">
        <is>
          <t>https://www.adyen.com</t>
        </is>
      </c>
      <c r="D5" t="inlineStr">
        <is>
          <t>payments</t>
        </is>
      </c>
      <c r="E5" t="inlineStr">
        <is>
          <t>B-B-004</t>
        </is>
      </c>
      <c r="F5" t="inlineStr">
        <is>
          <t>71 Fifth Avenue</t>
        </is>
      </c>
      <c r="G5" t="inlineStr">
        <is>
          <t>11</t>
        </is>
      </c>
      <c r="H5" t="inlineStr">
        <is>
          <t>10003</t>
        </is>
      </c>
      <c r="I5" t="n">
        <v>40.736357</v>
      </c>
      <c r="J5" t="n">
        <v>-73.992824</v>
      </c>
      <c r="K5" t="inlineStr">
        <is>
          <t>Y</t>
        </is>
      </c>
      <c r="L5" t="inlineStr">
        <is>
          <t>over-500</t>
        </is>
      </c>
      <c r="M5" t="inlineStr">
        <is>
          <t>whole-company</t>
        </is>
      </c>
      <c r="N5" s="2" t="inlineStr">
        <is>
          <t>https://www.builtinnyc.com/company/adyen</t>
        </is>
      </c>
      <c r="O5" s="2" t="inlineStr">
        <is>
          <t>https://www.adyen.com/offices</t>
        </is>
      </c>
      <c r="P5" t="inlineStr">
        <is>
          <t>2026-10-23</t>
        </is>
      </c>
      <c r="Q5" s="2" t="inlineStr">
        <is>
          <t>https://www.connectcre.com/stories/ayden-doubles-footprint-of-union-square-offices/</t>
        </is>
      </c>
      <c r="R5" t="inlineStr">
        <is>
          <t>high</t>
        </is>
      </c>
      <c r="S5" t="inlineStr">
        <is>
          <t>N</t>
        </is>
      </c>
      <c r="T5" t="inlineStr"/>
      <c r="U5" t="inlineStr"/>
      <c r="V5" s="3" t="inlineStr">
        <is>
          <t>Near-miss: over 500 (Built In: 4,771 total employees). Offices page: '71 5th Avenue, 11th Floor New York, NY 10003'. Connect CRE 2021: 30,415 sf on floors 10 and 11. CO 2026-04-07: Adyen signed a 90,000 sf, 10-year lease at 111 and 115 Fifth Ave (floors 4-5 at 111, floor 4 at 115), so it will likely leave 71 Fifth; move date not stated. | Assembly 2026-10-24: Conflict resolved at assembly: current office is 71 Fifth (own offices page, opened 2026-10-23). It signed 90,000 sf across 111 and 115 Fifth (CO 2026-04-07), move date not stated. Both addresses are inside the boundary; over 500 either way.</t>
        </is>
      </c>
      <c r="W5" t="inlineStr">
        <is>
          <t>2026-10-23</t>
        </is>
      </c>
      <c r="X5" t="inlineStr">
        <is>
          <t>unknown</t>
        </is>
      </c>
      <c r="Y5" t="inlineStr">
        <is>
          <t>near-miss-over-500</t>
        </is>
      </c>
      <c r="Z5" t="inlineStr">
        <is>
          <t>moving-out</t>
        </is>
      </c>
      <c r="AA5" t="inlineStr">
        <is>
          <t>unknown</t>
        </is>
      </c>
      <c r="AB5" t="inlineStr">
        <is>
          <t>2026-10-23</t>
        </is>
      </c>
      <c r="AC5" s="3" t="inlineStr"/>
      <c r="AD5" t="inlineStr">
        <is>
          <t>company-site</t>
        </is>
      </c>
      <c r="AE5" t="inlineStr">
        <is>
          <t>2021-09-02</t>
        </is>
      </c>
      <c r="AF5" t="inlineStr">
        <is>
          <t>no-coworking-in-building</t>
        </is>
      </c>
      <c r="AG5" t="inlineStr">
        <is>
          <t>1008420042</t>
        </is>
      </c>
      <c r="AH5" t="n">
        <v>0</v>
      </c>
      <c r="AI5" t="inlineStr">
        <is>
          <t>30,415 sf; 90,000 sf</t>
        </is>
      </c>
      <c r="AJ5" t="inlineStr">
        <is>
          <t>S1</t>
        </is>
      </c>
      <c r="AK5" s="3" t="inlineStr">
        <is>
          <t>Over 500 company-wide</t>
        </is>
      </c>
    </row>
    <row r="6">
      <c r="A6" t="inlineStr">
        <is>
          <t>B-C-183</t>
        </is>
      </c>
      <c r="B6" t="inlineStr">
        <is>
          <t>Capgemini America</t>
        </is>
      </c>
      <c r="C6" s="2" t="inlineStr">
        <is>
          <t>https://www.capgemini.com/us-en/</t>
        </is>
      </c>
      <c r="D6" t="inlineStr">
        <is>
          <t>IT consulting</t>
        </is>
      </c>
      <c r="E6" t="inlineStr">
        <is>
          <t>B-B-007</t>
        </is>
      </c>
      <c r="F6" t="inlineStr">
        <is>
          <t>79 Fifth Avenue</t>
        </is>
      </c>
      <c r="G6" t="inlineStr"/>
      <c r="H6" t="inlineStr">
        <is>
          <t>10003</t>
        </is>
      </c>
      <c r="I6" t="n">
        <v>40.736971</v>
      </c>
      <c r="J6" t="n">
        <v>-73.992389</v>
      </c>
      <c r="K6" t="inlineStr">
        <is>
          <t>Y</t>
        </is>
      </c>
      <c r="L6" t="inlineStr">
        <is>
          <t>over-500</t>
        </is>
      </c>
      <c r="M6" t="inlineStr">
        <is>
          <t>whole-company</t>
        </is>
      </c>
      <c r="N6" s="2" t="inlineStr">
        <is>
          <t>https://www.builtinnyc.com/company/capgemini</t>
        </is>
      </c>
      <c r="O6" s="2" t="inlineStr">
        <is>
          <t>https://commercialobserver.com/2026/08/thinking-machines-lab-79-fifth-avenue-lease/</t>
        </is>
      </c>
      <c r="P6" t="inlineStr">
        <is>
          <t>2026-08-26</t>
        </is>
      </c>
      <c r="Q6" t="inlineStr"/>
      <c r="R6" t="inlineStr">
        <is>
          <t>low</t>
        </is>
      </c>
      <c r="S6" t="inlineStr">
        <is>
          <t>N</t>
        </is>
      </c>
      <c r="T6" t="inlineStr"/>
      <c r="U6" t="inlineStr"/>
      <c r="V6" s="3" t="inlineStr">
        <is>
          <t>Near-miss: over 500 (Built In: 340,000 total employees). CO 2026-08-26 says 79 Fifth Ave is home to Capgemini America; floor and size not stated. Conflict: CO 2025-12 reports Capgemini signed a 10-year 43,000 sf lease at Penn 2 (tagged 79 Fifth Avenue), so it may be leaving 79 Fifth. Founder to confirm.</t>
        </is>
      </c>
      <c r="W6" t="inlineStr">
        <is>
          <t>2026-10-23</t>
        </is>
      </c>
      <c r="X6" t="inlineStr">
        <is>
          <t>unknown</t>
        </is>
      </c>
      <c r="Y6" t="inlineStr">
        <is>
          <t>near-miss-over-500</t>
        </is>
      </c>
      <c r="Z6" t="inlineStr">
        <is>
          <t>moving-out</t>
        </is>
      </c>
      <c r="AA6" t="inlineStr">
        <is>
          <t>unknown</t>
        </is>
      </c>
      <c r="AB6" t="inlineStr">
        <is>
          <t>2026-10-23</t>
        </is>
      </c>
      <c r="AC6" s="3" t="inlineStr"/>
      <c r="AD6" t="inlineStr">
        <is>
          <t>leasing-press</t>
        </is>
      </c>
      <c r="AE6" t="inlineStr"/>
      <c r="AF6" t="inlineStr">
        <is>
          <t>no-coworking-in-building</t>
        </is>
      </c>
      <c r="AG6" t="inlineStr">
        <is>
          <t>1008430045</t>
        </is>
      </c>
      <c r="AH6" t="n">
        <v>0</v>
      </c>
      <c r="AI6" t="inlineStr">
        <is>
          <t>43,000 sf</t>
        </is>
      </c>
      <c r="AJ6" t="inlineStr">
        <is>
          <t>S1</t>
        </is>
      </c>
      <c r="AK6" s="3" t="inlineStr">
        <is>
          <t>Over 500 company-wide</t>
        </is>
      </c>
    </row>
    <row r="7">
      <c r="A7" t="inlineStr">
        <is>
          <t>B-C-184</t>
        </is>
      </c>
      <c r="B7" t="inlineStr">
        <is>
          <t>Hulu</t>
        </is>
      </c>
      <c r="C7" s="2" t="inlineStr">
        <is>
          <t>https://www.hulu.com</t>
        </is>
      </c>
      <c r="D7" t="inlineStr">
        <is>
          <t>streaming media</t>
        </is>
      </c>
      <c r="E7" t="inlineStr">
        <is>
          <t>B-B-007</t>
        </is>
      </c>
      <c r="F7" t="inlineStr">
        <is>
          <t>79 Fifth Avenue</t>
        </is>
      </c>
      <c r="G7" t="inlineStr"/>
      <c r="H7" t="inlineStr">
        <is>
          <t>10003</t>
        </is>
      </c>
      <c r="I7" t="n">
        <v>40.736971</v>
      </c>
      <c r="J7" t="n">
        <v>-73.992389</v>
      </c>
      <c r="K7" t="inlineStr">
        <is>
          <t>Y</t>
        </is>
      </c>
      <c r="L7" t="inlineStr">
        <is>
          <t>over-500</t>
        </is>
      </c>
      <c r="M7" t="inlineStr">
        <is>
          <t>whole-company</t>
        </is>
      </c>
      <c r="N7" s="2" t="inlineStr">
        <is>
          <t>https://www.builtinnyc.com/company/hulu</t>
        </is>
      </c>
      <c r="O7" s="2" t="inlineStr">
        <is>
          <t>https://commercialobserver.com/2026/08/thinking-machines-lab-79-fifth-avenue-lease/</t>
        </is>
      </c>
      <c r="P7" t="inlineStr">
        <is>
          <t>2026-08-26</t>
        </is>
      </c>
      <c r="Q7" t="inlineStr"/>
      <c r="R7" t="inlineStr">
        <is>
          <t>medium</t>
        </is>
      </c>
      <c r="S7" t="inlineStr">
        <is>
          <t>N</t>
        </is>
      </c>
      <c r="T7" t="inlineStr"/>
      <c r="U7" t="inlineStr"/>
      <c r="V7" s="3" t="inlineStr">
        <is>
          <t>Near-miss: over 500 (Built In: 2,844 total employees, HQ Santa Monica; part of Disney). CO 2026-08-26 lists Hulu as a 79 Fifth Ave tenant; floor and size not stated.</t>
        </is>
      </c>
      <c r="W7" t="inlineStr">
        <is>
          <t>2026-10-23</t>
        </is>
      </c>
      <c r="X7" t="inlineStr">
        <is>
          <t>unknown</t>
        </is>
      </c>
      <c r="Y7" t="inlineStr">
        <is>
          <t>near-miss-over-500</t>
        </is>
      </c>
      <c r="Z7" t="inlineStr">
        <is>
          <t>occupied</t>
        </is>
      </c>
      <c r="AA7" t="inlineStr"/>
      <c r="AB7" t="inlineStr">
        <is>
          <t>2026-10-23</t>
        </is>
      </c>
      <c r="AC7" s="3" t="inlineStr"/>
      <c r="AD7" t="inlineStr">
        <is>
          <t>leasing-press</t>
        </is>
      </c>
      <c r="AE7" t="inlineStr"/>
      <c r="AF7" t="inlineStr">
        <is>
          <t>no-coworking-in-building</t>
        </is>
      </c>
      <c r="AG7" t="inlineStr">
        <is>
          <t>1008430045</t>
        </is>
      </c>
      <c r="AH7" t="n">
        <v>0</v>
      </c>
      <c r="AI7" t="inlineStr"/>
      <c r="AJ7" t="inlineStr">
        <is>
          <t>S1</t>
        </is>
      </c>
      <c r="AK7" s="3" t="inlineStr">
        <is>
          <t>Over 500 company-wide</t>
        </is>
      </c>
    </row>
    <row r="8">
      <c r="A8" t="inlineStr">
        <is>
          <t>B-C-185</t>
        </is>
      </c>
      <c r="B8" t="inlineStr">
        <is>
          <t>Faire</t>
        </is>
      </c>
      <c r="C8" s="2" t="inlineStr">
        <is>
          <t>https://www.faire.com</t>
        </is>
      </c>
      <c r="D8" t="inlineStr">
        <is>
          <t>B2B wholesale marketplace</t>
        </is>
      </c>
      <c r="E8" t="inlineStr">
        <is>
          <t>B-B-008</t>
        </is>
      </c>
      <c r="F8" t="inlineStr">
        <is>
          <t>26 West 17th Street</t>
        </is>
      </c>
      <c r="G8" t="inlineStr">
        <is>
          <t>9; 12</t>
        </is>
      </c>
      <c r="H8" t="inlineStr">
        <is>
          <t>10011</t>
        </is>
      </c>
      <c r="I8" t="n">
        <v>40.738405</v>
      </c>
      <c r="J8" t="n">
        <v>-73.99393999999999</v>
      </c>
      <c r="K8" t="inlineStr">
        <is>
          <t>Y</t>
        </is>
      </c>
      <c r="L8" t="inlineStr">
        <is>
          <t>over-500</t>
        </is>
      </c>
      <c r="M8" t="inlineStr">
        <is>
          <t>whole-company</t>
        </is>
      </c>
      <c r="N8" s="2" t="inlineStr">
        <is>
          <t>https://www.builtinnyc.com/company/faire</t>
        </is>
      </c>
      <c r="O8" s="2" t="inlineStr">
        <is>
          <t>https://commercialobserver.com/2025/03/faire-lease-26-west-17th-street/</t>
        </is>
      </c>
      <c r="P8" t="inlineStr">
        <is>
          <t>2025-03-27</t>
        </is>
      </c>
      <c r="Q8" t="inlineStr"/>
      <c r="R8" t="inlineStr">
        <is>
          <t>medium</t>
        </is>
      </c>
      <c r="S8" t="inlineStr">
        <is>
          <t>N</t>
        </is>
      </c>
      <c r="T8" t="inlineStr"/>
      <c r="U8" t="inlineStr"/>
      <c r="V8" s="3" t="inlineStr">
        <is>
          <t>Near-miss: over 500. Built In NYC: 1,200 total employees, HQ San Francisco. CO 2025-03-27: about 20,000 sf on floors 9 and 12; article says the NYC office had about 50 employees when it opened in Greenwich Village in 2022 (old, not used for band).</t>
        </is>
      </c>
      <c r="W8" t="inlineStr">
        <is>
          <t>2026-10-23</t>
        </is>
      </c>
      <c r="X8" t="inlineStr">
        <is>
          <t>unknown</t>
        </is>
      </c>
      <c r="Y8" t="inlineStr">
        <is>
          <t>near-miss-over-500</t>
        </is>
      </c>
      <c r="Z8" t="inlineStr">
        <is>
          <t>occupancy-unconfirmed</t>
        </is>
      </c>
      <c r="AA8" t="inlineStr"/>
      <c r="AB8" t="inlineStr">
        <is>
          <t>2026-10-23</t>
        </is>
      </c>
      <c r="AC8" s="3" t="inlineStr"/>
      <c r="AD8" t="inlineStr">
        <is>
          <t>leasing-press</t>
        </is>
      </c>
      <c r="AE8" t="inlineStr"/>
      <c r="AF8" t="inlineStr">
        <is>
          <t>no-coworking-in-building</t>
        </is>
      </c>
      <c r="AG8" t="inlineStr">
        <is>
          <t>1008180066</t>
        </is>
      </c>
      <c r="AH8" t="n">
        <v>0</v>
      </c>
      <c r="AI8" t="inlineStr">
        <is>
          <t>20,000 sf</t>
        </is>
      </c>
      <c r="AJ8" t="inlineStr">
        <is>
          <t>S1</t>
        </is>
      </c>
      <c r="AK8" s="3" t="inlineStr">
        <is>
          <t>Over 500 company-wide</t>
        </is>
      </c>
    </row>
    <row r="9">
      <c r="A9" t="inlineStr">
        <is>
          <t>B-C-186</t>
        </is>
      </c>
      <c r="B9" t="inlineStr">
        <is>
          <t>Similarweb</t>
        </is>
      </c>
      <c r="C9" s="2" t="inlineStr">
        <is>
          <t>https://www.similarweb.com</t>
        </is>
      </c>
      <c r="D9" t="inlineStr">
        <is>
          <t>software (digital market data)</t>
        </is>
      </c>
      <c r="E9" t="inlineStr"/>
      <c r="F9" t="inlineStr">
        <is>
          <t>50 West 17th Street</t>
        </is>
      </c>
      <c r="G9" t="inlineStr"/>
      <c r="H9" t="inlineStr"/>
      <c r="I9" t="n">
        <v>40.738765</v>
      </c>
      <c r="J9" t="n">
        <v>-73.99476300000001</v>
      </c>
      <c r="K9" t="inlineStr">
        <is>
          <t>Y</t>
        </is>
      </c>
      <c r="L9" t="inlineStr">
        <is>
          <t>over-500</t>
        </is>
      </c>
      <c r="M9" t="inlineStr">
        <is>
          <t>whole-company</t>
        </is>
      </c>
      <c r="N9" s="2" t="inlineStr">
        <is>
          <t>https://www.builtinnyc.com/company/similarweb</t>
        </is>
      </c>
      <c r="O9" s="2" t="inlineStr">
        <is>
          <t>https://www.builtinnyc.com/company/similarweb/offices</t>
        </is>
      </c>
      <c r="P9" t="inlineStr">
        <is>
          <t>2026-10-24</t>
        </is>
      </c>
      <c r="Q9" t="inlineStr"/>
      <c r="R9" t="inlineStr">
        <is>
          <t>medium</t>
        </is>
      </c>
      <c r="S9" t="inlineStr">
        <is>
          <t>N</t>
        </is>
      </c>
      <c r="T9" t="inlineStr"/>
      <c r="U9" t="inlineStr"/>
      <c r="V9" s="3" t="inlineStr">
        <is>
          <t>Built In lists a New York office at 50 W 17th St (one block south of this slice, so margin). Built In shows 925 total employees. Over 500.</t>
        </is>
      </c>
      <c r="W9" t="inlineStr">
        <is>
          <t>2026-10-23</t>
        </is>
      </c>
      <c r="X9" t="inlineStr">
        <is>
          <t>unknown</t>
        </is>
      </c>
      <c r="Y9" t="inlineStr">
        <is>
          <t>near-miss-over-500</t>
        </is>
      </c>
      <c r="Z9" t="inlineStr">
        <is>
          <t>occupied</t>
        </is>
      </c>
      <c r="AA9" t="inlineStr"/>
      <c r="AB9" t="inlineStr">
        <is>
          <t>2026-10-24</t>
        </is>
      </c>
      <c r="AC9" s="3" t="inlineStr"/>
      <c r="AD9" t="inlineStr">
        <is>
          <t>builtin</t>
        </is>
      </c>
      <c r="AE9" t="inlineStr"/>
      <c r="AF9" t="inlineStr">
        <is>
          <t>no-coworking-in-building</t>
        </is>
      </c>
      <c r="AG9" t="inlineStr">
        <is>
          <t>1008180078</t>
        </is>
      </c>
      <c r="AH9" t="n">
        <v>0</v>
      </c>
      <c r="AI9" t="inlineStr"/>
      <c r="AJ9" t="inlineStr">
        <is>
          <t>S2</t>
        </is>
      </c>
      <c r="AK9" s="3" t="inlineStr">
        <is>
          <t>Over 500 company-wide</t>
        </is>
      </c>
    </row>
    <row r="10">
      <c r="A10" t="inlineStr">
        <is>
          <t>B-C-187</t>
        </is>
      </c>
      <c r="B10" t="inlineStr">
        <is>
          <t>Acxiom</t>
        </is>
      </c>
      <c r="C10" s="2" t="inlineStr">
        <is>
          <t>https://www.acxiom.com</t>
        </is>
      </c>
      <c r="D10" t="inlineStr">
        <is>
          <t>marketing data and technology</t>
        </is>
      </c>
      <c r="E10" t="inlineStr">
        <is>
          <t>B-B-009</t>
        </is>
      </c>
      <c r="F10" t="inlineStr">
        <is>
          <t>114 Fifth Avenue</t>
        </is>
      </c>
      <c r="G10" t="inlineStr"/>
      <c r="H10" t="inlineStr">
        <is>
          <t>10011</t>
        </is>
      </c>
      <c r="I10" t="n">
        <v>40.737923</v>
      </c>
      <c r="J10" t="n">
        <v>-73.992752</v>
      </c>
      <c r="K10" t="inlineStr">
        <is>
          <t>Y</t>
        </is>
      </c>
      <c r="L10" t="inlineStr">
        <is>
          <t>over-500</t>
        </is>
      </c>
      <c r="M10" t="inlineStr">
        <is>
          <t>whole-company</t>
        </is>
      </c>
      <c r="N10" s="2" t="inlineStr">
        <is>
          <t>https://www.builtinnyc.com/company/acxiom</t>
        </is>
      </c>
      <c r="O10" s="2" t="inlineStr">
        <is>
          <t>https://commercialobserver.com/2025/02/capital-one-expansion-114-fifth-avenue/</t>
        </is>
      </c>
      <c r="P10" t="inlineStr">
        <is>
          <t>2025-02</t>
        </is>
      </c>
      <c r="Q10" t="inlineStr"/>
      <c r="R10" t="inlineStr">
        <is>
          <t>medium</t>
        </is>
      </c>
      <c r="S10" t="inlineStr">
        <is>
          <t>N</t>
        </is>
      </c>
      <c r="T10" t="inlineStr"/>
      <c r="U10" t="inlineStr"/>
      <c r="V10" s="3" t="inlineStr">
        <is>
          <t>Near-miss: over 500 (Built In: 4,482 total employees, HQ Conway AR). CO 2025-02 names Acxiom as a 114 Fifth Ave tenant; NYC office size unknown.</t>
        </is>
      </c>
      <c r="W10" t="inlineStr">
        <is>
          <t>2026-10-23</t>
        </is>
      </c>
      <c r="X10" t="inlineStr">
        <is>
          <t>unknown</t>
        </is>
      </c>
      <c r="Y10" t="inlineStr">
        <is>
          <t>near-miss-over-500</t>
        </is>
      </c>
      <c r="Z10" t="inlineStr">
        <is>
          <t>occupied</t>
        </is>
      </c>
      <c r="AA10" t="inlineStr"/>
      <c r="AB10" t="inlineStr">
        <is>
          <t>2026-10-23</t>
        </is>
      </c>
      <c r="AC10" s="3" t="inlineStr"/>
      <c r="AD10" t="inlineStr">
        <is>
          <t>leasing-press</t>
        </is>
      </c>
      <c r="AE10" t="inlineStr"/>
      <c r="AF10" t="inlineStr">
        <is>
          <t>direct-lease-documented</t>
        </is>
      </c>
      <c r="AG10" t="inlineStr">
        <is>
          <t>1008180051</t>
        </is>
      </c>
      <c r="AH10" t="n">
        <v>0</v>
      </c>
      <c r="AI10" t="inlineStr"/>
      <c r="AJ10" t="inlineStr">
        <is>
          <t>S1</t>
        </is>
      </c>
      <c r="AK10" s="3" t="inlineStr">
        <is>
          <t>Over 500 company-wide; the NYC office alone may fit the 40-250 band, founder to confirm</t>
        </is>
      </c>
    </row>
    <row r="11">
      <c r="A11" t="inlineStr">
        <is>
          <t>B-C-188</t>
        </is>
      </c>
      <c r="B11" t="inlineStr">
        <is>
          <t>Capital One</t>
        </is>
      </c>
      <c r="C11" s="2" t="inlineStr">
        <is>
          <t>https://www.capitalone.com</t>
        </is>
      </c>
      <c r="D11" t="inlineStr">
        <is>
          <t>banking (tech offices)</t>
        </is>
      </c>
      <c r="E11" t="inlineStr">
        <is>
          <t>B-B-009</t>
        </is>
      </c>
      <c r="F11" t="inlineStr">
        <is>
          <t>114 Fifth Avenue</t>
        </is>
      </c>
      <c r="G11" t="inlineStr"/>
      <c r="H11" t="inlineStr">
        <is>
          <t>10011</t>
        </is>
      </c>
      <c r="I11" t="n">
        <v>40.737923</v>
      </c>
      <c r="J11" t="n">
        <v>-73.992752</v>
      </c>
      <c r="K11" t="inlineStr">
        <is>
          <t>Y</t>
        </is>
      </c>
      <c r="L11" t="inlineStr">
        <is>
          <t>over-500</t>
        </is>
      </c>
      <c r="M11" t="inlineStr">
        <is>
          <t>whole-company</t>
        </is>
      </c>
      <c r="N11" s="2" t="inlineStr">
        <is>
          <t>https://www.builtinnyc.com/company/capital-one</t>
        </is>
      </c>
      <c r="O11" s="2" t="inlineStr">
        <is>
          <t>https://commercialobserver.com/2025/02/capital-one-expansion-114-fifth-avenue/</t>
        </is>
      </c>
      <c r="P11" t="inlineStr">
        <is>
          <t>2025-02</t>
        </is>
      </c>
      <c r="Q11" t="inlineStr"/>
      <c r="R11" t="inlineStr">
        <is>
          <t>medium</t>
        </is>
      </c>
      <c r="S11" t="inlineStr">
        <is>
          <t>N</t>
        </is>
      </c>
      <c r="T11" t="inlineStr"/>
      <c r="U11" t="inlineStr"/>
      <c r="V11" s="3" t="inlineStr">
        <is>
          <t>Near-miss: over 500 (Built In: 55,000 total employees) and about 213,500 sf here (existing 116,926 sf plus 96,606 sf expansion per CBRE report cited by CO). Article dated February 2025 (day not captured).</t>
        </is>
      </c>
      <c r="W11" t="inlineStr">
        <is>
          <t>2026-10-23</t>
        </is>
      </c>
      <c r="X11" t="inlineStr">
        <is>
          <t>unknown</t>
        </is>
      </c>
      <c r="Y11" t="inlineStr">
        <is>
          <t>near-miss-over-500</t>
        </is>
      </c>
      <c r="Z11" t="inlineStr">
        <is>
          <t>occupied</t>
        </is>
      </c>
      <c r="AA11" t="inlineStr"/>
      <c r="AB11" t="inlineStr">
        <is>
          <t>2026-10-23</t>
        </is>
      </c>
      <c r="AC11" s="3" t="inlineStr"/>
      <c r="AD11" t="inlineStr">
        <is>
          <t>leasing-press</t>
        </is>
      </c>
      <c r="AE11" t="inlineStr"/>
      <c r="AF11" t="inlineStr">
        <is>
          <t>direct-lease-documented</t>
        </is>
      </c>
      <c r="AG11" t="inlineStr">
        <is>
          <t>1008180051</t>
        </is>
      </c>
      <c r="AH11" t="n">
        <v>0</v>
      </c>
      <c r="AI11" t="inlineStr">
        <is>
          <t>213,500 sf; 116,926 sf; 96,606 sf</t>
        </is>
      </c>
      <c r="AJ11" t="inlineStr">
        <is>
          <t>S1</t>
        </is>
      </c>
      <c r="AK11" s="3" t="inlineStr">
        <is>
          <t>Over 500 company-wide</t>
        </is>
      </c>
    </row>
    <row r="12">
      <c r="A12" t="inlineStr">
        <is>
          <t>B-C-189</t>
        </is>
      </c>
      <c r="B12" t="inlineStr">
        <is>
          <t>Chainalysis</t>
        </is>
      </c>
      <c r="C12" s="2" t="inlineStr">
        <is>
          <t>https://www.chainalysis.com</t>
        </is>
      </c>
      <c r="D12" t="inlineStr">
        <is>
          <t>blockchain data and compliance software</t>
        </is>
      </c>
      <c r="E12" t="inlineStr">
        <is>
          <t>B-B-009</t>
        </is>
      </c>
      <c r="F12" t="inlineStr">
        <is>
          <t>114 Fifth Avenue</t>
        </is>
      </c>
      <c r="G12" t="inlineStr">
        <is>
          <t>4 floors (not named)</t>
        </is>
      </c>
      <c r="H12" t="inlineStr">
        <is>
          <t>10011</t>
        </is>
      </c>
      <c r="I12" t="n">
        <v>40.737923</v>
      </c>
      <c r="J12" t="n">
        <v>-73.992752</v>
      </c>
      <c r="K12" t="inlineStr">
        <is>
          <t>Y</t>
        </is>
      </c>
      <c r="L12" t="inlineStr">
        <is>
          <t>over-500</t>
        </is>
      </c>
      <c r="M12" t="inlineStr">
        <is>
          <t>whole-company</t>
        </is>
      </c>
      <c r="N12" s="2" t="inlineStr">
        <is>
          <t>https://www.builtinnyc.com/company/chainalysis</t>
        </is>
      </c>
      <c r="O12" s="2" t="inlineStr">
        <is>
          <t>https://commercialobserver.com/2022/01/chainalysis-78k-sf-114-fifth-avenue/</t>
        </is>
      </c>
      <c r="P12" t="inlineStr">
        <is>
          <t>2022-01</t>
        </is>
      </c>
      <c r="Q12" t="inlineStr"/>
      <c r="R12" t="inlineStr">
        <is>
          <t>low</t>
        </is>
      </c>
      <c r="S12" t="inlineStr">
        <is>
          <t>N</t>
        </is>
      </c>
      <c r="T12" t="inlineStr"/>
      <c r="U12" t="inlineStr"/>
      <c r="V12" s="3" t="inlineStr">
        <is>
          <t>Near-miss: over 500 (Built In: 700 total employees, HQ New York). CO 2022-01: 77,608 sf on four floors, direct lease running through 2036. Source older than 24 months and the company site shows no street address, so low until confirmed.</t>
        </is>
      </c>
      <c r="W12" t="inlineStr">
        <is>
          <t>2026-10-23</t>
        </is>
      </c>
      <c r="X12" t="inlineStr">
        <is>
          <t>unknown</t>
        </is>
      </c>
      <c r="Y12" t="inlineStr">
        <is>
          <t>near-miss-over-500</t>
        </is>
      </c>
      <c r="Z12" t="inlineStr">
        <is>
          <t>occupancy-unconfirmed</t>
        </is>
      </c>
      <c r="AA12" t="inlineStr"/>
      <c r="AB12" t="inlineStr">
        <is>
          <t>2026-10-23</t>
        </is>
      </c>
      <c r="AC12" s="3" t="inlineStr"/>
      <c r="AD12" t="inlineStr">
        <is>
          <t>leasing-press</t>
        </is>
      </c>
      <c r="AE12" t="inlineStr"/>
      <c r="AF12" t="inlineStr">
        <is>
          <t>direct-lease-documented</t>
        </is>
      </c>
      <c r="AG12" t="inlineStr">
        <is>
          <t>1008180051</t>
        </is>
      </c>
      <c r="AH12" t="n">
        <v>0</v>
      </c>
      <c r="AI12" t="inlineStr">
        <is>
          <t>77,608 sf</t>
        </is>
      </c>
      <c r="AJ12" t="inlineStr">
        <is>
          <t>S1</t>
        </is>
      </c>
      <c r="AK12" s="3" t="inlineStr">
        <is>
          <t>Over 500 company-wide</t>
        </is>
      </c>
    </row>
    <row r="13">
      <c r="A13" t="inlineStr">
        <is>
          <t>B-C-190</t>
        </is>
      </c>
      <c r="B13" t="inlineStr">
        <is>
          <t>U.S. News &amp; World Report</t>
        </is>
      </c>
      <c r="C13" t="inlineStr"/>
      <c r="D13" t="inlineStr">
        <is>
          <t>media and rankings</t>
        </is>
      </c>
      <c r="E13" t="inlineStr">
        <is>
          <t>B-B-010</t>
        </is>
      </c>
      <c r="F13" t="inlineStr">
        <is>
          <t>120 Fifth Avenue</t>
        </is>
      </c>
      <c r="G13" t="inlineStr"/>
      <c r="H13" t="inlineStr">
        <is>
          <t>10011</t>
        </is>
      </c>
      <c r="I13" t="n">
        <v>40.738186</v>
      </c>
      <c r="J13" t="n">
        <v>-73.992429</v>
      </c>
      <c r="K13" t="inlineStr">
        <is>
          <t>Y</t>
        </is>
      </c>
      <c r="L13" t="inlineStr">
        <is>
          <t>over-500</t>
        </is>
      </c>
      <c r="M13" t="inlineStr">
        <is>
          <t>whole-company</t>
        </is>
      </c>
      <c r="N13" s="2" t="inlineStr">
        <is>
          <t>https://www.builtinnyc.com/company/us-news-world-report</t>
        </is>
      </c>
      <c r="O13" s="2" t="inlineStr">
        <is>
          <t>https://commercialobserver.com/2026/10/eagle-ai-lease-office-120-fifth-avenue/</t>
        </is>
      </c>
      <c r="P13" t="inlineStr">
        <is>
          <t>2026-10-19</t>
        </is>
      </c>
      <c r="Q13" t="inlineStr"/>
      <c r="R13" t="inlineStr">
        <is>
          <t>low</t>
        </is>
      </c>
      <c r="S13" t="inlineStr">
        <is>
          <t>N</t>
        </is>
      </c>
      <c r="T13" t="inlineStr"/>
      <c r="U13" t="inlineStr"/>
      <c r="V13" s="3" t="inlineStr">
        <is>
          <t>Near-miss: over 500 (Built In NYC: 542 total employees, HQ Washington, 3 offices). CO 2026-10-19 lists it as a tenant at 120 Fifth; NYC office size unknown and could be small. Conflict: CO 2026-04-28 reports U.S. News moving its offices from 129 West 29th St to 10,236 sf at 31 Penn Plaza, so the 120 Fifth listing may be stale or a second office. Website not loadable from here, left blank. | Assembly 2026-10-24: Conflict carried: CO 2026-04-28 reports offices moving from 129 W 29th St to 31 Penn Plaza; CO 2026-10-19 lists it at 120 Fifth. Not resolvable from public sources; over 500 either way.</t>
        </is>
      </c>
      <c r="W13" t="inlineStr">
        <is>
          <t>2026-10-23</t>
        </is>
      </c>
      <c r="X13" t="inlineStr">
        <is>
          <t>unknown</t>
        </is>
      </c>
      <c r="Y13" t="inlineStr">
        <is>
          <t>near-miss-over-500</t>
        </is>
      </c>
      <c r="Z13" t="inlineStr">
        <is>
          <t>moving-out</t>
        </is>
      </c>
      <c r="AA13" t="inlineStr">
        <is>
          <t>unknown</t>
        </is>
      </c>
      <c r="AB13" t="inlineStr">
        <is>
          <t>2026-10-23</t>
        </is>
      </c>
      <c r="AC13" s="3" t="inlineStr"/>
      <c r="AD13" t="inlineStr">
        <is>
          <t>leasing-press</t>
        </is>
      </c>
      <c r="AE13" t="inlineStr"/>
      <c r="AF13" t="inlineStr">
        <is>
          <t>no-coworking-in-building</t>
        </is>
      </c>
      <c r="AG13" t="inlineStr">
        <is>
          <t>1008190037</t>
        </is>
      </c>
      <c r="AH13" t="n">
        <v>0</v>
      </c>
      <c r="AI13" t="inlineStr">
        <is>
          <t>10,236 sf</t>
        </is>
      </c>
      <c r="AJ13" t="inlineStr">
        <is>
          <t>S1</t>
        </is>
      </c>
      <c r="AK13" s="3" t="inlineStr">
        <is>
          <t>Over 500 company-wide (Built In shows 542, just over 500); the NYC office alone may fit the 40-250 band, founder to confirm</t>
        </is>
      </c>
    </row>
    <row r="14">
      <c r="A14" t="inlineStr">
        <is>
          <t>B-C-191</t>
        </is>
      </c>
      <c r="B14" t="inlineStr">
        <is>
          <t>Kaltura</t>
        </is>
      </c>
      <c r="C14" s="2" t="inlineStr">
        <is>
          <t>https://corp.kaltura.com</t>
        </is>
      </c>
      <c r="D14" t="inlineStr">
        <is>
          <t>video software</t>
        </is>
      </c>
      <c r="E14" t="inlineStr">
        <is>
          <t>B-B-011</t>
        </is>
      </c>
      <c r="F14" t="inlineStr">
        <is>
          <t>860 Broadway</t>
        </is>
      </c>
      <c r="G14" t="inlineStr">
        <is>
          <t>3</t>
        </is>
      </c>
      <c r="H14" t="inlineStr">
        <is>
          <t>10003</t>
        </is>
      </c>
      <c r="I14" t="n">
        <v>40.737158</v>
      </c>
      <c r="J14" t="n">
        <v>-73.989808</v>
      </c>
      <c r="K14" t="inlineStr">
        <is>
          <t>Y</t>
        </is>
      </c>
      <c r="L14" t="inlineStr">
        <is>
          <t>over-500</t>
        </is>
      </c>
      <c r="M14" t="inlineStr">
        <is>
          <t>whole-company</t>
        </is>
      </c>
      <c r="N14" s="2" t="inlineStr">
        <is>
          <t>https://www.builtinnyc.com/company/kaltura-inc</t>
        </is>
      </c>
      <c r="O14" s="2" t="inlineStr">
        <is>
          <t>https://commercialobserver.com/2026/08/selldorf-architects-renews-14k-sf-860-broadway-lease-for-10-years/</t>
        </is>
      </c>
      <c r="P14" t="inlineStr">
        <is>
          <t>2026-08-07</t>
        </is>
      </c>
      <c r="Q14" s="2" t="inlineStr">
        <is>
          <t>https://commercialobserver.com/2022/01/kaltura-lease-860-broadway-gordon-property-group/</t>
        </is>
      </c>
      <c r="R14" t="inlineStr">
        <is>
          <t>medium</t>
        </is>
      </c>
      <c r="S14" t="inlineStr">
        <is>
          <t>N</t>
        </is>
      </c>
      <c r="T14" t="inlineStr"/>
      <c r="U14" t="inlineStr"/>
      <c r="V14" s="3" t="inlineStr">
        <is>
          <t>Near-miss: over 500. Built In NYC: 730 total employees, HQ New York. CO 2026-08-07 names Kaltura as a current 860 Broadway tenant. CO 2022-01: took the entire 3rd floor (Warhol Factory floor) as its NYC HQ, moving from 250 Park Ave S. | Assembly 2026-10-24: Conflict resolved at assembly: S2 saw an SEC business address of 250 Park Ave S, 10th floor. CO 2022-01 says Kaltura took the entire 3rd floor of 860 Broadway 'moving from 250 Park Ave S', and CO 2026-08-07 names it a current 860 Broadway tenant, so the SEC address is a stale registrant address. Kept at 860 Broadway. Over 500 either way. Confidence lowered at assembly from high to medium: second source is the same publisher or missing.</t>
        </is>
      </c>
      <c r="W14" t="inlineStr">
        <is>
          <t>2026-10-23</t>
        </is>
      </c>
      <c r="X14" t="inlineStr">
        <is>
          <t>unknown</t>
        </is>
      </c>
      <c r="Y14" t="inlineStr">
        <is>
          <t>near-miss-over-500</t>
        </is>
      </c>
      <c r="Z14" t="inlineStr">
        <is>
          <t>occupied</t>
        </is>
      </c>
      <c r="AA14" t="inlineStr"/>
      <c r="AB14" t="inlineStr">
        <is>
          <t>2026-10-23</t>
        </is>
      </c>
      <c r="AC14" s="3" t="inlineStr"/>
      <c r="AD14" t="inlineStr">
        <is>
          <t>leasing-press</t>
        </is>
      </c>
      <c r="AE14" t="inlineStr">
        <is>
          <t>2022-01</t>
        </is>
      </c>
      <c r="AF14" t="inlineStr">
        <is>
          <t>direct-lease-documented</t>
        </is>
      </c>
      <c r="AG14" t="inlineStr">
        <is>
          <t>1008460026</t>
        </is>
      </c>
      <c r="AH14" t="n">
        <v>0</v>
      </c>
      <c r="AI14" t="inlineStr"/>
      <c r="AJ14" t="inlineStr">
        <is>
          <t>S1</t>
        </is>
      </c>
      <c r="AK14" s="3" t="inlineStr">
        <is>
          <t>Over 500 company-wide</t>
        </is>
      </c>
    </row>
    <row r="15">
      <c r="A15" t="inlineStr">
        <is>
          <t>B-C-192</t>
        </is>
      </c>
      <c r="B15" t="inlineStr">
        <is>
          <t>WW International (WeightWatchers)</t>
        </is>
      </c>
      <c r="C15" s="2" t="inlineStr">
        <is>
          <t>https://www.weightwatchers.com</t>
        </is>
      </c>
      <c r="D15" t="inlineStr">
        <is>
          <t>consumer health and wellness</t>
        </is>
      </c>
      <c r="E15" t="inlineStr">
        <is>
          <t>B-B-014</t>
        </is>
      </c>
      <c r="F15" t="inlineStr">
        <is>
          <t>18 West 18th Street</t>
        </is>
      </c>
      <c r="G15" t="inlineStr">
        <is>
          <t>7</t>
        </is>
      </c>
      <c r="H15" t="inlineStr">
        <is>
          <t>10011</t>
        </is>
      </c>
      <c r="I15" t="n">
        <v>40.738811</v>
      </c>
      <c r="J15" t="n">
        <v>-73.993425</v>
      </c>
      <c r="K15" t="inlineStr">
        <is>
          <t>Y</t>
        </is>
      </c>
      <c r="L15" t="inlineStr">
        <is>
          <t>over-500</t>
        </is>
      </c>
      <c r="M15" t="inlineStr">
        <is>
          <t>whole-company</t>
        </is>
      </c>
      <c r="N15" s="2" t="inlineStr">
        <is>
          <t>https://www.builtinnyc.com/company/weightwatchers</t>
        </is>
      </c>
      <c r="O15" s="2" t="inlineStr">
        <is>
          <t>https://www.sec.gov/Archives/edgar/data/105319/000119312526335166/ww-20260630.htm</t>
        </is>
      </c>
      <c r="P15" t="inlineStr">
        <is>
          <t>2026-08-05</t>
        </is>
      </c>
      <c r="Q15" t="inlineStr"/>
      <c r="R15" t="inlineStr">
        <is>
          <t>medium</t>
        </is>
      </c>
      <c r="S15" t="inlineStr">
        <is>
          <t>N</t>
        </is>
      </c>
      <c r="T15" t="inlineStr"/>
      <c r="U15" t="inlineStr"/>
      <c r="V15" s="3" t="inlineStr">
        <is>
          <t>10-Q for the quarter ended 2026-06-30 lists principal executive offices at 18 West 18th Street, 7th Floor. Built In lists HQ at 675 Avenue of the Americas (also in this slice), which conflicts. Built In shows 1,100 total employees. Over 500. | Assembly 2026-10-24: Conflict resolved at assembly: the 10-Q for the quarter to 2026-06-30 gives 18 W 18th St, 7th floor; it is newer than the Built In entry (675 Sixth Ave), so 18 W 18th is used. WeWork 18 West 18th Street occupies five unnamed floors of this 12-storey building (wework.com building page, opened 2026-10-24), so whether the 7th floor is a WeWork suite is unknown (coworking_check = floor-unknown). Over 500: near-miss.</t>
        </is>
      </c>
      <c r="W15" t="inlineStr">
        <is>
          <t>2026-10-23</t>
        </is>
      </c>
      <c r="X15" t="inlineStr">
        <is>
          <t>unknown</t>
        </is>
      </c>
      <c r="Y15" t="inlineStr">
        <is>
          <t>near-miss-over-500</t>
        </is>
      </c>
      <c r="Z15" t="inlineStr">
        <is>
          <t>occupied</t>
        </is>
      </c>
      <c r="AA15" t="inlineStr"/>
      <c r="AB15" t="inlineStr">
        <is>
          <t>2026-10-23</t>
        </is>
      </c>
      <c r="AC15" s="3" t="inlineStr"/>
      <c r="AD15" t="inlineStr">
        <is>
          <t>other</t>
        </is>
      </c>
      <c r="AE15" t="inlineStr"/>
      <c r="AF15" t="inlineStr">
        <is>
          <t>floor-unknown</t>
        </is>
      </c>
      <c r="AG15" t="inlineStr">
        <is>
          <t>1008190056</t>
        </is>
      </c>
      <c r="AH15" t="n">
        <v>0</v>
      </c>
      <c r="AI15" t="inlineStr"/>
      <c r="AJ15" t="inlineStr">
        <is>
          <t>S2</t>
        </is>
      </c>
      <c r="AK15" s="3" t="inlineStr">
        <is>
          <t>Over 500 company-wide</t>
        </is>
      </c>
    </row>
    <row r="16">
      <c r="A16" t="inlineStr">
        <is>
          <t>B-C-193</t>
        </is>
      </c>
      <c r="B16" t="inlineStr">
        <is>
          <t>Chime</t>
        </is>
      </c>
      <c r="C16" s="2" t="inlineStr">
        <is>
          <t>https://www.chime.com</t>
        </is>
      </c>
      <c r="D16" t="inlineStr">
        <is>
          <t>fintech (consumer banking)</t>
        </is>
      </c>
      <c r="E16" t="inlineStr"/>
      <c r="F16" t="inlineStr">
        <is>
          <t>122 Fifth Avenue</t>
        </is>
      </c>
      <c r="G16" t="inlineStr"/>
      <c r="H16" t="inlineStr">
        <is>
          <t>10011</t>
        </is>
      </c>
      <c r="I16" t="n">
        <v>40.738461</v>
      </c>
      <c r="J16" t="n">
        <v>-73.99252300000001</v>
      </c>
      <c r="K16" t="inlineStr">
        <is>
          <t>Y</t>
        </is>
      </c>
      <c r="L16" t="inlineStr">
        <is>
          <t>over-500</t>
        </is>
      </c>
      <c r="M16" t="inlineStr">
        <is>
          <t>whole-company</t>
        </is>
      </c>
      <c r="N16" s="2" t="inlineStr">
        <is>
          <t>https://www.builtinnyc.com/company/chime</t>
        </is>
      </c>
      <c r="O16" s="2" t="inlineStr">
        <is>
          <t>https://commercialobserver.com/?p=521355</t>
        </is>
      </c>
      <c r="P16" t="inlineStr">
        <is>
          <t>2025-05-08</t>
        </is>
      </c>
      <c r="Q16" s="2" t="inlineStr">
        <is>
          <t>https://commercialobserver.com/2026/06/ebay-lease-bromley-companies-122-fifth-avenue/</t>
        </is>
      </c>
      <c r="R16" t="inlineStr">
        <is>
          <t>medium</t>
        </is>
      </c>
      <c r="S16" t="inlineStr">
        <is>
          <t>N</t>
        </is>
      </c>
      <c r="T16" t="inlineStr"/>
      <c r="U16" t="inlineStr"/>
      <c r="V16" s="3" t="inlineStr">
        <is>
          <t>Near-miss: over 500 (Built In NYC: 1,500 total employees, HQ San Francisco). CO 2025-05-08: 84,000 sf lease, moving its NYC offices here. CO 2026-06-02: current roster includes Chime and Microsoft. Same publication for both sources, separate deal reports. | Assembly 2026-10-24: Confidence lowered at assembly from high to medium: second source is the same publisher or missing.</t>
        </is>
      </c>
      <c r="W16" t="inlineStr">
        <is>
          <t>2026-10-23</t>
        </is>
      </c>
      <c r="X16" t="inlineStr">
        <is>
          <t>unknown</t>
        </is>
      </c>
      <c r="Y16" t="inlineStr">
        <is>
          <t>near-miss-over-500</t>
        </is>
      </c>
      <c r="Z16" t="inlineStr">
        <is>
          <t>occupied</t>
        </is>
      </c>
      <c r="AA16" t="inlineStr"/>
      <c r="AB16" t="inlineStr">
        <is>
          <t>2026-10-23</t>
        </is>
      </c>
      <c r="AC16" s="3" t="inlineStr"/>
      <c r="AD16" t="inlineStr">
        <is>
          <t>leasing-press</t>
        </is>
      </c>
      <c r="AE16" t="inlineStr">
        <is>
          <t>2026-06-02</t>
        </is>
      </c>
      <c r="AF16" t="inlineStr">
        <is>
          <t>no-coworking-in-building</t>
        </is>
      </c>
      <c r="AG16" t="inlineStr">
        <is>
          <t>1008190039</t>
        </is>
      </c>
      <c r="AH16" t="n">
        <v>0</v>
      </c>
      <c r="AI16" t="inlineStr">
        <is>
          <t>84,000 sf</t>
        </is>
      </c>
      <c r="AJ16" t="inlineStr">
        <is>
          <t>S1</t>
        </is>
      </c>
      <c r="AK16" s="3" t="inlineStr">
        <is>
          <t>Over 500 company-wide</t>
        </is>
      </c>
    </row>
    <row r="17">
      <c r="A17" t="inlineStr">
        <is>
          <t>B-C-194</t>
        </is>
      </c>
      <c r="B17" t="inlineStr">
        <is>
          <t>Microsoft (AdTech hub)</t>
        </is>
      </c>
      <c r="C17" s="2" t="inlineStr">
        <is>
          <t>https://www.microsoft.com</t>
        </is>
      </c>
      <c r="D17" t="inlineStr">
        <is>
          <t>software (advertising technology unit)</t>
        </is>
      </c>
      <c r="E17" t="inlineStr"/>
      <c r="F17" t="inlineStr">
        <is>
          <t>122 Fifth Avenue</t>
        </is>
      </c>
      <c r="G17" t="inlineStr">
        <is>
          <t>6-10</t>
        </is>
      </c>
      <c r="H17" t="inlineStr">
        <is>
          <t>10011</t>
        </is>
      </c>
      <c r="I17" t="n">
        <v>40.738461</v>
      </c>
      <c r="J17" t="n">
        <v>-73.99252300000001</v>
      </c>
      <c r="K17" t="inlineStr">
        <is>
          <t>Y</t>
        </is>
      </c>
      <c r="L17" t="inlineStr">
        <is>
          <t>over-500</t>
        </is>
      </c>
      <c r="M17" t="inlineStr">
        <is>
          <t>whole-company</t>
        </is>
      </c>
      <c r="N17" s="2" t="inlineStr">
        <is>
          <t>https://www.builtinnyc.com/company/microsoft</t>
        </is>
      </c>
      <c r="O17" s="2" t="inlineStr">
        <is>
          <t>https://commercialobserver.com/2026/06/ebay-lease-bromley-companies-122-fifth-avenue/</t>
        </is>
      </c>
      <c r="P17" t="inlineStr">
        <is>
          <t>2026-06-02</t>
        </is>
      </c>
      <c r="Q17" s="2" t="inlineStr">
        <is>
          <t>https://commercialobserver.com/?p=521355</t>
        </is>
      </c>
      <c r="R17" t="inlineStr">
        <is>
          <t>medium</t>
        </is>
      </c>
      <c r="S17" t="inlineStr">
        <is>
          <t>N</t>
        </is>
      </c>
      <c r="T17" t="inlineStr"/>
      <c r="U17" t="inlineStr"/>
      <c r="V17" s="3" t="inlineStr">
        <is>
          <t>Near-miss: over 500 and about 150,000 sf, far above the pantry model. Floors 6-10 from search-result snippets (CommercialCafe/Propmodo), not opened; floor unverified, founder to confirm. | Assembly 2026-10-24: Confidence lowered at assembly from high to medium: second source is the same publisher or missing.</t>
        </is>
      </c>
      <c r="W17" t="inlineStr">
        <is>
          <t>2026-10-23</t>
        </is>
      </c>
      <c r="X17" t="inlineStr">
        <is>
          <t>unknown</t>
        </is>
      </c>
      <c r="Y17" t="inlineStr">
        <is>
          <t>near-miss-over-500</t>
        </is>
      </c>
      <c r="Z17" t="inlineStr">
        <is>
          <t>occupied</t>
        </is>
      </c>
      <c r="AA17" t="inlineStr"/>
      <c r="AB17" t="inlineStr">
        <is>
          <t>2026-10-23</t>
        </is>
      </c>
      <c r="AC17" s="3" t="inlineStr"/>
      <c r="AD17" t="inlineStr">
        <is>
          <t>leasing-press</t>
        </is>
      </c>
      <c r="AE17" t="inlineStr">
        <is>
          <t>2025-05-08</t>
        </is>
      </c>
      <c r="AF17" t="inlineStr">
        <is>
          <t>no-coworking-in-building</t>
        </is>
      </c>
      <c r="AG17" t="inlineStr">
        <is>
          <t>1008190039</t>
        </is>
      </c>
      <c r="AH17" t="n">
        <v>0</v>
      </c>
      <c r="AI17" t="inlineStr">
        <is>
          <t>150,000 sf</t>
        </is>
      </c>
      <c r="AJ17" t="inlineStr">
        <is>
          <t>S1</t>
        </is>
      </c>
      <c r="AK17" s="3" t="inlineStr">
        <is>
          <t>Over 500 company-wide</t>
        </is>
      </c>
    </row>
    <row r="18">
      <c r="A18" t="inlineStr">
        <is>
          <t>B-C-195</t>
        </is>
      </c>
      <c r="B18" t="inlineStr">
        <is>
          <t>eBay</t>
        </is>
      </c>
      <c r="C18" s="2" t="inlineStr">
        <is>
          <t>https://www.ebay.com</t>
        </is>
      </c>
      <c r="D18" t="inlineStr">
        <is>
          <t>e-commerce</t>
        </is>
      </c>
      <c r="E18" t="inlineStr"/>
      <c r="F18" t="inlineStr">
        <is>
          <t>122 Fifth Avenue</t>
        </is>
      </c>
      <c r="G18" t="inlineStr">
        <is>
          <t>2</t>
        </is>
      </c>
      <c r="H18" t="inlineStr">
        <is>
          <t>10011</t>
        </is>
      </c>
      <c r="I18" t="n">
        <v>40.738461</v>
      </c>
      <c r="J18" t="n">
        <v>-73.99252300000001</v>
      </c>
      <c r="K18" t="inlineStr">
        <is>
          <t>Y</t>
        </is>
      </c>
      <c r="L18" t="inlineStr">
        <is>
          <t>over-500</t>
        </is>
      </c>
      <c r="M18" t="inlineStr">
        <is>
          <t>whole-company</t>
        </is>
      </c>
      <c r="N18" s="2" t="inlineStr">
        <is>
          <t>https://www.builtinnyc.com/company/ebay</t>
        </is>
      </c>
      <c r="O18" s="2" t="inlineStr">
        <is>
          <t>https://commercialobserver.com/2026/06/ebay-lease-bromley-companies-122-fifth-avenue/</t>
        </is>
      </c>
      <c r="P18" t="inlineStr">
        <is>
          <t>2026-06-02</t>
        </is>
      </c>
      <c r="Q18" t="inlineStr"/>
      <c r="R18" t="inlineStr">
        <is>
          <t>medium</t>
        </is>
      </c>
      <c r="S18" t="inlineStr">
        <is>
          <t>N</t>
        </is>
      </c>
      <c r="T18" t="inlineStr"/>
      <c r="U18" t="inlineStr"/>
      <c r="V18" s="3" t="inlineStr">
        <is>
          <t>Near-miss: over 500 (Built In: 26,035 total employees). CO 2026-06-02: eight-year 27,902 sf lease on the entire 2nd floor, relocating from 625 Avenue of the Americas; move-in timing not stated.</t>
        </is>
      </c>
      <c r="W18" t="inlineStr">
        <is>
          <t>2026-10-23</t>
        </is>
      </c>
      <c r="X18" t="inlineStr">
        <is>
          <t>unknown</t>
        </is>
      </c>
      <c r="Y18" t="inlineStr">
        <is>
          <t>near-miss-over-500</t>
        </is>
      </c>
      <c r="Z18" t="inlineStr">
        <is>
          <t>signed-not-occupied</t>
        </is>
      </c>
      <c r="AA18" t="inlineStr">
        <is>
          <t>unknown</t>
        </is>
      </c>
      <c r="AB18" t="inlineStr">
        <is>
          <t>2026-10-23</t>
        </is>
      </c>
      <c r="AC18" s="3" t="inlineStr"/>
      <c r="AD18" t="inlineStr">
        <is>
          <t>leasing-press</t>
        </is>
      </c>
      <c r="AE18" t="inlineStr"/>
      <c r="AF18" t="inlineStr">
        <is>
          <t>no-coworking-in-building</t>
        </is>
      </c>
      <c r="AG18" t="inlineStr">
        <is>
          <t>1008190039</t>
        </is>
      </c>
      <c r="AH18" t="n">
        <v>0</v>
      </c>
      <c r="AI18" t="inlineStr">
        <is>
          <t>27,902 sf</t>
        </is>
      </c>
      <c r="AJ18" t="inlineStr">
        <is>
          <t>S1</t>
        </is>
      </c>
      <c r="AK18" s="3" t="inlineStr">
        <is>
          <t>Over 500 company-wide</t>
        </is>
      </c>
    </row>
    <row r="19">
      <c r="A19" t="inlineStr">
        <is>
          <t>B-C-196</t>
        </is>
      </c>
      <c r="B19" t="inlineStr">
        <is>
          <t>Charlie Health</t>
        </is>
      </c>
      <c r="C19" s="2" t="inlineStr">
        <is>
          <t>https://www.charliehealth.com</t>
        </is>
      </c>
      <c r="D19" t="inlineStr">
        <is>
          <t>virtual behavioral health</t>
        </is>
      </c>
      <c r="E19" t="inlineStr">
        <is>
          <t>B-B-016</t>
        </is>
      </c>
      <c r="F19" t="inlineStr">
        <is>
          <t>215 Park Avenue South</t>
        </is>
      </c>
      <c r="G19" t="inlineStr"/>
      <c r="H19" t="inlineStr">
        <is>
          <t>10003</t>
        </is>
      </c>
      <c r="I19" t="n">
        <v>40.736801</v>
      </c>
      <c r="J19" t="n">
        <v>-73.98824999999999</v>
      </c>
      <c r="K19" t="inlineStr">
        <is>
          <t>Y</t>
        </is>
      </c>
      <c r="L19" t="inlineStr">
        <is>
          <t>over-500</t>
        </is>
      </c>
      <c r="M19" t="inlineStr">
        <is>
          <t>whole-company</t>
        </is>
      </c>
      <c r="N19" s="2" t="inlineStr">
        <is>
          <t>https://www.builtinnyc.com/company/charlie-health</t>
        </is>
      </c>
      <c r="O19" s="2" t="inlineStr">
        <is>
          <t>https://www.sec.gov/Archives/edgar/data/1013454/000153949726000704/n5676_x5-424h.htm</t>
        </is>
      </c>
      <c r="P19" t="inlineStr">
        <is>
          <t>2026-02</t>
        </is>
      </c>
      <c r="Q19" t="inlineStr"/>
      <c r="R19" t="inlineStr">
        <is>
          <t>medium</t>
        </is>
      </c>
      <c r="S19" t="inlineStr">
        <is>
          <t>N</t>
        </is>
      </c>
      <c r="T19" t="inlineStr"/>
      <c r="U19" t="inlineStr"/>
      <c r="V19" s="3" t="inlineStr">
        <is>
          <t>Near-miss: over 500 (Built In NYC: 3,000 total employees, HQ New York). SEC rent roll 2026-02-05: Charlie Health, Inc. 17,255 sf (one full floor), lease to 2029-01-31. Use of the space (corporate vs clinical) not stated.</t>
        </is>
      </c>
      <c r="W19" t="inlineStr">
        <is>
          <t>2026-10-23</t>
        </is>
      </c>
      <c r="X19" t="inlineStr">
        <is>
          <t>security desk</t>
        </is>
      </c>
      <c r="Y19" t="inlineStr">
        <is>
          <t>near-miss-over-500</t>
        </is>
      </c>
      <c r="Z19" t="inlineStr">
        <is>
          <t>occupied</t>
        </is>
      </c>
      <c r="AA19" t="inlineStr"/>
      <c r="AB19" t="inlineStr">
        <is>
          <t>2026-10-23</t>
        </is>
      </c>
      <c r="AC19" s="3" t="inlineStr"/>
      <c r="AD19" t="inlineStr">
        <is>
          <t>other</t>
        </is>
      </c>
      <c r="AE19" t="inlineStr"/>
      <c r="AF19" t="inlineStr">
        <is>
          <t>direct-lease-documented</t>
        </is>
      </c>
      <c r="AG19" t="inlineStr">
        <is>
          <t>1008730067</t>
        </is>
      </c>
      <c r="AH19" t="n">
        <v>0</v>
      </c>
      <c r="AI19" t="inlineStr">
        <is>
          <t>17,255 sf</t>
        </is>
      </c>
      <c r="AJ19" t="inlineStr">
        <is>
          <t>S1</t>
        </is>
      </c>
      <c r="AK19" s="3" t="inlineStr">
        <is>
          <t>Over 500 company-wide</t>
        </is>
      </c>
    </row>
    <row r="20">
      <c r="A20" t="inlineStr">
        <is>
          <t>B-C-197</t>
        </is>
      </c>
      <c r="B20" t="inlineStr">
        <is>
          <t>Rakuten USA</t>
        </is>
      </c>
      <c r="C20" t="inlineStr"/>
      <c r="D20" t="inlineStr">
        <is>
          <t>e-commerce and internet services</t>
        </is>
      </c>
      <c r="E20" t="inlineStr">
        <is>
          <t>B-B-016</t>
        </is>
      </c>
      <c r="F20" t="inlineStr">
        <is>
          <t>215 Park Avenue South</t>
        </is>
      </c>
      <c r="G20" t="inlineStr"/>
      <c r="H20" t="inlineStr">
        <is>
          <t>10003</t>
        </is>
      </c>
      <c r="I20" t="n">
        <v>40.736801</v>
      </c>
      <c r="J20" t="n">
        <v>-73.98824999999999</v>
      </c>
      <c r="K20" t="inlineStr">
        <is>
          <t>Y</t>
        </is>
      </c>
      <c r="L20" t="inlineStr">
        <is>
          <t>over-500</t>
        </is>
      </c>
      <c r="M20" t="inlineStr">
        <is>
          <t>whole-company</t>
        </is>
      </c>
      <c r="N20" s="2" t="inlineStr">
        <is>
          <t>https://www.builtinnyc.com/company/rakuten-advertising</t>
        </is>
      </c>
      <c r="O20" s="2" t="inlineStr">
        <is>
          <t>https://www.sec.gov/Archives/edgar/data/1013454/000153949726000704/n5676_x5-424h.htm</t>
        </is>
      </c>
      <c r="P20" t="inlineStr">
        <is>
          <t>2026-02</t>
        </is>
      </c>
      <c r="Q20" s="2" t="inlineStr">
        <is>
          <t>https://www.nyrej.com/sl-green-signs-29-915-s-f-lease-with-nayya-health-at-215-park-ave-south</t>
        </is>
      </c>
      <c r="R20" t="inlineStr">
        <is>
          <t>high</t>
        </is>
      </c>
      <c r="S20" t="inlineStr">
        <is>
          <t>N</t>
        </is>
      </c>
      <c r="T20" t="inlineStr"/>
      <c r="U20" t="inlineStr"/>
      <c r="V20" s="3" t="inlineStr">
        <is>
          <t>Near-miss: over 500. SEC rent roll 2026-02-05: Rakuten USA, Inc. 34,510 sf, lease to 2027-12-31. Which Rakuten unit sits here is not stated; Built In NYC shows Rakuten Advertising with 980 total employees (HQ San Mateo). Lease expires end of 2027. Website left blank: rakuten.com is a consumer site and the operating unit at this address is not stated.</t>
        </is>
      </c>
      <c r="W20" t="inlineStr">
        <is>
          <t>2026-10-23</t>
        </is>
      </c>
      <c r="X20" t="inlineStr">
        <is>
          <t>security desk</t>
        </is>
      </c>
      <c r="Y20" t="inlineStr">
        <is>
          <t>near-miss-over-500</t>
        </is>
      </c>
      <c r="Z20" t="inlineStr">
        <is>
          <t>occupied</t>
        </is>
      </c>
      <c r="AA20" t="inlineStr"/>
      <c r="AB20" t="inlineStr">
        <is>
          <t>2026-10-23</t>
        </is>
      </c>
      <c r="AC20" s="3" t="inlineStr"/>
      <c r="AD20" t="inlineStr">
        <is>
          <t>other</t>
        </is>
      </c>
      <c r="AE20" t="inlineStr">
        <is>
          <t>2024-12-10</t>
        </is>
      </c>
      <c r="AF20" t="inlineStr">
        <is>
          <t>direct-lease-documented</t>
        </is>
      </c>
      <c r="AG20" t="inlineStr">
        <is>
          <t>1008730067</t>
        </is>
      </c>
      <c r="AH20" t="n">
        <v>0</v>
      </c>
      <c r="AI20" t="inlineStr">
        <is>
          <t>34,510 sf</t>
        </is>
      </c>
      <c r="AJ20" t="inlineStr">
        <is>
          <t>S1</t>
        </is>
      </c>
      <c r="AK20" s="3" t="inlineStr">
        <is>
          <t>Over 500 company-wide</t>
        </is>
      </c>
    </row>
    <row r="21">
      <c r="A21" t="inlineStr">
        <is>
          <t>B-C-198</t>
        </is>
      </c>
      <c r="B21" t="inlineStr">
        <is>
          <t>Airbnb</t>
        </is>
      </c>
      <c r="C21" s="2" t="inlineStr">
        <is>
          <t>https://www.airbnb.com</t>
        </is>
      </c>
      <c r="D21" t="inlineStr">
        <is>
          <t>travel marketplace</t>
        </is>
      </c>
      <c r="E21" t="inlineStr">
        <is>
          <t>B-B-017</t>
        </is>
      </c>
      <c r="F21" t="inlineStr">
        <is>
          <t>130 Fifth Avenue</t>
        </is>
      </c>
      <c r="G21" t="inlineStr">
        <is>
          <t>3</t>
        </is>
      </c>
      <c r="H21" t="inlineStr">
        <is>
          <t>10011</t>
        </is>
      </c>
      <c r="I21" t="n">
        <v>40.738835</v>
      </c>
      <c r="J21" t="n">
        <v>-73.992046</v>
      </c>
      <c r="K21" t="inlineStr">
        <is>
          <t>Y</t>
        </is>
      </c>
      <c r="L21" t="inlineStr">
        <is>
          <t>over-500</t>
        </is>
      </c>
      <c r="M21" t="inlineStr">
        <is>
          <t>whole-company</t>
        </is>
      </c>
      <c r="N21" s="2" t="inlineStr">
        <is>
          <t>https://www.builtinnyc.com/company/airbnb</t>
        </is>
      </c>
      <c r="O21" s="2" t="inlineStr">
        <is>
          <t>https://commercialobserver.com/2024/12/airbnb-lease-130-fifth-avenue/</t>
        </is>
      </c>
      <c r="P21" t="inlineStr">
        <is>
          <t>2024-12-02</t>
        </is>
      </c>
      <c r="Q21" s="2" t="inlineStr">
        <is>
          <t>https://commercialobserver.com/2026/07/airbnb-buys-281-park-avenue-south-office/</t>
        </is>
      </c>
      <c r="R21" t="inlineStr">
        <is>
          <t>medium</t>
        </is>
      </c>
      <c r="S21" t="inlineStr">
        <is>
          <t>N</t>
        </is>
      </c>
      <c r="T21" t="inlineStr"/>
      <c r="U21" t="inlineStr"/>
      <c r="V21" s="3" t="inlineStr">
        <is>
          <t>13,300 sf on the 3rd floor of 130 Fifth (signed Sept 2024). In July 2026 Airbnb bought 281 Park Avenue South (E 22nd St, also in this slice) for one of its largest employee hubs outside San Francisco. Built In lists NYC office at 627 Broadway and 14,622 total employees. Over 500.</t>
        </is>
      </c>
      <c r="W21" t="inlineStr">
        <is>
          <t>2026-10-23</t>
        </is>
      </c>
      <c r="X21" t="inlineStr">
        <is>
          <t>unknown</t>
        </is>
      </c>
      <c r="Y21" t="inlineStr">
        <is>
          <t>near-miss-over-500</t>
        </is>
      </c>
      <c r="Z21" t="inlineStr">
        <is>
          <t>occupied</t>
        </is>
      </c>
      <c r="AA21" t="inlineStr"/>
      <c r="AB21" t="inlineStr">
        <is>
          <t>2026-10-23</t>
        </is>
      </c>
      <c r="AC21" s="3" t="inlineStr"/>
      <c r="AD21" t="inlineStr">
        <is>
          <t>leasing-press</t>
        </is>
      </c>
      <c r="AE21" t="inlineStr">
        <is>
          <t>2026-07-09</t>
        </is>
      </c>
      <c r="AF21" t="inlineStr">
        <is>
          <t>no-coworking-in-building</t>
        </is>
      </c>
      <c r="AG21" t="inlineStr">
        <is>
          <t>1008200038</t>
        </is>
      </c>
      <c r="AH21" t="n">
        <v>0</v>
      </c>
      <c r="AI21" t="inlineStr">
        <is>
          <t>13,300 sf</t>
        </is>
      </c>
      <c r="AJ21" t="inlineStr">
        <is>
          <t>S2</t>
        </is>
      </c>
      <c r="AK21" s="3" t="inlineStr">
        <is>
          <t>Over 500 company-wide</t>
        </is>
      </c>
    </row>
    <row r="22">
      <c r="A22" t="inlineStr">
        <is>
          <t>B-C-199</t>
        </is>
      </c>
      <c r="B22" t="inlineStr">
        <is>
          <t>monday.com</t>
        </is>
      </c>
      <c r="C22" s="2" t="inlineStr">
        <is>
          <t>https://monday.com</t>
        </is>
      </c>
      <c r="D22" t="inlineStr">
        <is>
          <t>work management software</t>
        </is>
      </c>
      <c r="E22" t="inlineStr"/>
      <c r="F22" t="inlineStr">
        <is>
          <t>225 Park Avenue South</t>
        </is>
      </c>
      <c r="G22" t="inlineStr"/>
      <c r="H22" t="inlineStr">
        <is>
          <t>10003</t>
        </is>
      </c>
      <c r="I22" t="n">
        <v>40.737136</v>
      </c>
      <c r="J22" t="n">
        <v>-73.987945</v>
      </c>
      <c r="K22" t="inlineStr">
        <is>
          <t>Y</t>
        </is>
      </c>
      <c r="L22" t="inlineStr">
        <is>
          <t>over-500</t>
        </is>
      </c>
      <c r="M22" t="inlineStr">
        <is>
          <t>whole-company</t>
        </is>
      </c>
      <c r="N22" s="2" t="inlineStr">
        <is>
          <t>https://www.builtinnyc.com/company/mondaycom</t>
        </is>
      </c>
      <c r="O22" s="2" t="inlineStr">
        <is>
          <t>https://commercialobserver.com/2025/12/expanding-monday-work-platform-takes-more-space-gramercy-park/</t>
        </is>
      </c>
      <c r="P22" t="inlineStr">
        <is>
          <t>2025-12</t>
        </is>
      </c>
      <c r="Q22" t="inlineStr"/>
      <c r="R22" t="inlineStr">
        <is>
          <t>medium</t>
        </is>
      </c>
      <c r="S22" t="inlineStr">
        <is>
          <t>N</t>
        </is>
      </c>
      <c r="T22" t="inlineStr"/>
      <c r="U22" t="inlineStr"/>
      <c r="V22" s="3" t="inlineStr">
        <is>
          <t>Near-miss: over 500 (Built In: 3,155 total employees) and margin (225 PAS is between E 18th and E 19th). CO 2025-12: expanded to 138,611 sf at 225 Park Avenue South.</t>
        </is>
      </c>
      <c r="W22" t="inlineStr">
        <is>
          <t>2026-10-23</t>
        </is>
      </c>
      <c r="X22" t="inlineStr">
        <is>
          <t>unknown</t>
        </is>
      </c>
      <c r="Y22" t="inlineStr">
        <is>
          <t>near-miss-over-500</t>
        </is>
      </c>
      <c r="Z22" t="inlineStr">
        <is>
          <t>occupied</t>
        </is>
      </c>
      <c r="AA22" t="inlineStr"/>
      <c r="AB22" t="inlineStr">
        <is>
          <t>2026-10-23</t>
        </is>
      </c>
      <c r="AC22" s="3" t="inlineStr"/>
      <c r="AD22" t="inlineStr">
        <is>
          <t>leasing-press</t>
        </is>
      </c>
      <c r="AE22" t="inlineStr"/>
      <c r="AF22" t="inlineStr">
        <is>
          <t>no-coworking-in-building</t>
        </is>
      </c>
      <c r="AG22" t="inlineStr">
        <is>
          <t>1008740001</t>
        </is>
      </c>
      <c r="AH22" t="n">
        <v>0</v>
      </c>
      <c r="AI22" t="inlineStr">
        <is>
          <t>138,611 sf</t>
        </is>
      </c>
      <c r="AJ22" t="inlineStr">
        <is>
          <t>S1</t>
        </is>
      </c>
      <c r="AK22" s="3" t="inlineStr">
        <is>
          <t>Over 500 company-wide</t>
        </is>
      </c>
    </row>
    <row r="23">
      <c r="A23" t="inlineStr">
        <is>
          <t>B-C-200</t>
        </is>
      </c>
      <c r="B23" t="inlineStr">
        <is>
          <t>Ro</t>
        </is>
      </c>
      <c r="C23" s="2" t="inlineStr">
        <is>
          <t>https://ro.co</t>
        </is>
      </c>
      <c r="D23" t="inlineStr">
        <is>
          <t>telehealth</t>
        </is>
      </c>
      <c r="E23" t="inlineStr">
        <is>
          <t>B-B-020</t>
        </is>
      </c>
      <c r="F23" t="inlineStr">
        <is>
          <t>625 Avenue of the Americas</t>
        </is>
      </c>
      <c r="G23" t="inlineStr">
        <is>
          <t>4</t>
        </is>
      </c>
      <c r="H23" t="inlineStr">
        <is>
          <t>10011</t>
        </is>
      </c>
      <c r="I23" t="n">
        <v>40.740326</v>
      </c>
      <c r="J23" t="n">
        <v>-73.99520099999999</v>
      </c>
      <c r="K23" t="inlineStr">
        <is>
          <t>Y</t>
        </is>
      </c>
      <c r="L23" t="inlineStr">
        <is>
          <t>over-500</t>
        </is>
      </c>
      <c r="M23" t="inlineStr">
        <is>
          <t>whole-company</t>
        </is>
      </c>
      <c r="N23" s="2" t="inlineStr">
        <is>
          <t>https://www.builtinnyc.com/company/ro</t>
        </is>
      </c>
      <c r="O23" s="2" t="inlineStr">
        <is>
          <t>https://www.builtinnyc.com/company/ro/offices</t>
        </is>
      </c>
      <c r="P23" t="inlineStr">
        <is>
          <t>2026-10-23</t>
        </is>
      </c>
      <c r="Q23" s="2" t="inlineStr">
        <is>
          <t>https://commercialobserver.com/2024/11/trading-firm-gts-lease-625-avenue-of-the-americas/</t>
        </is>
      </c>
      <c r="R23" t="inlineStr">
        <is>
          <t>high</t>
        </is>
      </c>
      <c r="S23" t="inlineStr">
        <is>
          <t>N</t>
        </is>
      </c>
      <c r="T23" t="inlineStr"/>
      <c r="U23" t="inlineStr"/>
      <c r="V23" s="3" t="inlineStr">
        <is>
          <t>Built In lists 'Ro HQ 625 6th Ave, 4th Floor'; CO Nov 2024 says Ro moved its HQ to 35,156 sf there under a 10-year lease signed Nov 2023. Built In shows 824 total employees. Over 500.</t>
        </is>
      </c>
      <c r="W23" t="inlineStr">
        <is>
          <t>2026-10-23</t>
        </is>
      </c>
      <c r="X23" t="inlineStr">
        <is>
          <t>unknown</t>
        </is>
      </c>
      <c r="Y23" t="inlineStr">
        <is>
          <t>near-miss-over-500</t>
        </is>
      </c>
      <c r="Z23" t="inlineStr">
        <is>
          <t>occupied</t>
        </is>
      </c>
      <c r="AA23" t="inlineStr"/>
      <c r="AB23" t="inlineStr">
        <is>
          <t>2026-10-23</t>
        </is>
      </c>
      <c r="AC23" s="3" t="inlineStr"/>
      <c r="AD23" t="inlineStr">
        <is>
          <t>builtin</t>
        </is>
      </c>
      <c r="AE23" t="inlineStr">
        <is>
          <t>2024-11-21</t>
        </is>
      </c>
      <c r="AF23" t="inlineStr">
        <is>
          <t>no-coworking-in-building</t>
        </is>
      </c>
      <c r="AG23" t="inlineStr">
        <is>
          <t>1007940030</t>
        </is>
      </c>
      <c r="AH23" t="n">
        <v>0</v>
      </c>
      <c r="AI23" t="inlineStr">
        <is>
          <t>35,156 sf</t>
        </is>
      </c>
      <c r="AJ23" t="inlineStr">
        <is>
          <t>S2</t>
        </is>
      </c>
      <c r="AK23" s="3" t="inlineStr">
        <is>
          <t>Over 500 company-wide</t>
        </is>
      </c>
    </row>
    <row r="24">
      <c r="A24" t="inlineStr">
        <is>
          <t>B-C-201</t>
        </is>
      </c>
      <c r="B24" t="inlineStr">
        <is>
          <t>Cole Haan</t>
        </is>
      </c>
      <c r="C24" s="2" t="inlineStr">
        <is>
          <t>https://www.colehaan.com</t>
        </is>
      </c>
      <c r="D24" t="inlineStr">
        <is>
          <t>footwear brand (NYC office)</t>
        </is>
      </c>
      <c r="E24" t="inlineStr">
        <is>
          <t>B-B-021</t>
        </is>
      </c>
      <c r="F24" t="inlineStr">
        <is>
          <t>620 Avenue of the Americas</t>
        </is>
      </c>
      <c r="G24" t="inlineStr">
        <is>
          <t>3</t>
        </is>
      </c>
      <c r="H24" t="inlineStr">
        <is>
          <t>10011</t>
        </is>
      </c>
      <c r="I24" t="n">
        <v>40.739927</v>
      </c>
      <c r="J24" t="n">
        <v>-73.99424</v>
      </c>
      <c r="K24" t="inlineStr">
        <is>
          <t>Y</t>
        </is>
      </c>
      <c r="L24" t="inlineStr">
        <is>
          <t>over-500</t>
        </is>
      </c>
      <c r="M24" t="inlineStr">
        <is>
          <t>whole-company</t>
        </is>
      </c>
      <c r="N24" s="2" t="inlineStr">
        <is>
          <t>https://www.builtinnyc.com/company/cole-haan</t>
        </is>
      </c>
      <c r="O24" s="2" t="inlineStr">
        <is>
          <t>https://commercialobserver.com/2024/09/cole-haan-32bj-lease-620-avenue-of-the-americas/</t>
        </is>
      </c>
      <c r="P24" t="inlineStr">
        <is>
          <t>2024-09-24</t>
        </is>
      </c>
      <c r="Q24" s="2" t="inlineStr">
        <is>
          <t>https://www.builtinnyc.com/company/cole-haan/offices</t>
        </is>
      </c>
      <c r="R24" t="inlineStr">
        <is>
          <t>high</t>
        </is>
      </c>
      <c r="S24" t="inlineStr">
        <is>
          <t>N</t>
        </is>
      </c>
      <c r="T24" t="inlineStr"/>
      <c r="U24" t="inlineStr"/>
      <c r="V24" s="3" t="inlineStr">
        <is>
          <t>11-year renewal of the full 3rd floor (62,262 sf), Sept 2024. Built In lists the New York office at 45 West 18th St, which geocodes to the same tax lot as 620 Avenue of the Americas (BBL 1008207505). HQ Greenland NH; Built In shows 1,618 total employees. Over 500.</t>
        </is>
      </c>
      <c r="W24" t="inlineStr">
        <is>
          <t>2026-10-23</t>
        </is>
      </c>
      <c r="X24" t="inlineStr">
        <is>
          <t>loading dock</t>
        </is>
      </c>
      <c r="Y24" t="inlineStr">
        <is>
          <t>near-miss-over-500</t>
        </is>
      </c>
      <c r="Z24" t="inlineStr">
        <is>
          <t>occupied</t>
        </is>
      </c>
      <c r="AA24" t="inlineStr"/>
      <c r="AB24" t="inlineStr">
        <is>
          <t>2026-10-23</t>
        </is>
      </c>
      <c r="AC24" s="3" t="inlineStr"/>
      <c r="AD24" t="inlineStr">
        <is>
          <t>leasing-press</t>
        </is>
      </c>
      <c r="AE24" t="inlineStr">
        <is>
          <t>2026-10-23</t>
        </is>
      </c>
      <c r="AF24" t="inlineStr">
        <is>
          <t>no-coworking-in-building</t>
        </is>
      </c>
      <c r="AG24" t="inlineStr">
        <is>
          <t>1008207505</t>
        </is>
      </c>
      <c r="AH24" t="n">
        <v>0</v>
      </c>
      <c r="AI24" t="inlineStr">
        <is>
          <t>62,262 sf</t>
        </is>
      </c>
      <c r="AJ24" t="inlineStr">
        <is>
          <t>S2</t>
        </is>
      </c>
      <c r="AK24" s="3" t="inlineStr">
        <is>
          <t>Over 500 company-wide</t>
        </is>
      </c>
    </row>
    <row r="25">
      <c r="A25" t="inlineStr">
        <is>
          <t>B-C-202</t>
        </is>
      </c>
      <c r="B25" t="inlineStr">
        <is>
          <t>Palantir Technologies</t>
        </is>
      </c>
      <c r="C25" s="2" t="inlineStr">
        <is>
          <t>https://www.palantir.com</t>
        </is>
      </c>
      <c r="D25" t="inlineStr">
        <is>
          <t>data analytics software</t>
        </is>
      </c>
      <c r="E25" t="inlineStr">
        <is>
          <t>B-B-021</t>
        </is>
      </c>
      <c r="F25" t="inlineStr">
        <is>
          <t>620 Avenue of the Americas</t>
        </is>
      </c>
      <c r="G25" t="inlineStr"/>
      <c r="H25" t="inlineStr">
        <is>
          <t>10011</t>
        </is>
      </c>
      <c r="I25" t="n">
        <v>40.739927</v>
      </c>
      <c r="J25" t="n">
        <v>-73.99424</v>
      </c>
      <c r="K25" t="inlineStr">
        <is>
          <t>Y</t>
        </is>
      </c>
      <c r="L25" t="inlineStr">
        <is>
          <t>over-500</t>
        </is>
      </c>
      <c r="M25" t="inlineStr">
        <is>
          <t>whole-company</t>
        </is>
      </c>
      <c r="N25" s="2" t="inlineStr">
        <is>
          <t>https://en.wikipedia.org/wiki/Palantir_Technologies</t>
        </is>
      </c>
      <c r="O25" s="2" t="inlineStr">
        <is>
          <t>https://commercialobserver.com/2024/05/palantir-lease-620-avenue-of-the-americas/</t>
        </is>
      </c>
      <c r="P25" t="inlineStr">
        <is>
          <t>2024-05</t>
        </is>
      </c>
      <c r="Q25" t="inlineStr"/>
      <c r="R25" t="inlineStr">
        <is>
          <t>low</t>
        </is>
      </c>
      <c r="S25" t="inlineStr">
        <is>
          <t>N</t>
        </is>
      </c>
      <c r="T25" t="inlineStr"/>
      <c r="U25" t="inlineStr"/>
      <c r="V25" s="3" t="inlineStr">
        <is>
          <t>CO 2024-05: direct renewal of 140,345 sf with RXR after WeWork's bankruptcy (space was a WeWork-signed footprint). Far above the pantry model; headcount not found in an opened source. Source older than 24 months, so low. | Assembly 2026-10-24: Band set at assembly to over-500 from Wikipedia infobox: 4,429 employees (2025). The NYC office size is unknown; the NYC office alone may fit, founder to confirm.</t>
        </is>
      </c>
      <c r="W25" t="inlineStr">
        <is>
          <t>2026-10-23</t>
        </is>
      </c>
      <c r="X25" t="inlineStr">
        <is>
          <t>loading dock</t>
        </is>
      </c>
      <c r="Y25" t="inlineStr">
        <is>
          <t>near-miss-over-500</t>
        </is>
      </c>
      <c r="Z25" t="inlineStr">
        <is>
          <t>occupied</t>
        </is>
      </c>
      <c r="AA25" t="inlineStr"/>
      <c r="AB25" t="inlineStr">
        <is>
          <t>2025</t>
        </is>
      </c>
      <c r="AC25" s="3" t="inlineStr"/>
      <c r="AD25" t="inlineStr">
        <is>
          <t>leasing-press</t>
        </is>
      </c>
      <c r="AE25" t="inlineStr"/>
      <c r="AF25" t="inlineStr">
        <is>
          <t>no-coworking-in-building</t>
        </is>
      </c>
      <c r="AG25" t="inlineStr">
        <is>
          <t>1008207505</t>
        </is>
      </c>
      <c r="AH25" t="n">
        <v>0</v>
      </c>
      <c r="AI25" t="inlineStr">
        <is>
          <t>140,345 sf</t>
        </is>
      </c>
      <c r="AJ25" t="inlineStr">
        <is>
          <t>S1</t>
        </is>
      </c>
      <c r="AK25" s="3" t="inlineStr">
        <is>
          <t>Over 500 company-wide</t>
        </is>
      </c>
    </row>
    <row r="26">
      <c r="A26" t="inlineStr">
        <is>
          <t>B-C-203</t>
        </is>
      </c>
      <c r="B26" t="inlineStr">
        <is>
          <t>Warner Bros. Discovery</t>
        </is>
      </c>
      <c r="C26" s="2" t="inlineStr">
        <is>
          <t>https://www.wbd.com</t>
        </is>
      </c>
      <c r="D26" t="inlineStr">
        <is>
          <t>media (Food Network and other networks)</t>
        </is>
      </c>
      <c r="E26" t="inlineStr"/>
      <c r="F26" t="inlineStr">
        <is>
          <t>230 Park Avenue South</t>
        </is>
      </c>
      <c r="G26" t="inlineStr">
        <is>
          <t>whole building</t>
        </is>
      </c>
      <c r="H26" t="inlineStr">
        <is>
          <t>10003</t>
        </is>
      </c>
      <c r="I26" t="n">
        <v>40.737712</v>
      </c>
      <c r="J26" t="n">
        <v>-73.98869000000001</v>
      </c>
      <c r="K26" t="inlineStr">
        <is>
          <t>Y</t>
        </is>
      </c>
      <c r="L26" t="inlineStr">
        <is>
          <t>over-500</t>
        </is>
      </c>
      <c r="M26" t="inlineStr">
        <is>
          <t>whole-company</t>
        </is>
      </c>
      <c r="N26" s="2" t="inlineStr">
        <is>
          <t>https://www.builtinnyc.com/company/warner-bros-discovery</t>
        </is>
      </c>
      <c r="O26" s="2" t="inlineStr">
        <is>
          <t>https://data.sec.gov/submissions/CIK0001437107.json</t>
        </is>
      </c>
      <c r="P26" t="inlineStr">
        <is>
          <t>2026-10-23</t>
        </is>
      </c>
      <c r="Q26" s="2" t="inlineStr">
        <is>
          <t>https://commercialobserver.com/2023/01/warner-brothers-discovery-park-avenue-south/</t>
        </is>
      </c>
      <c r="R26" t="inlineStr">
        <is>
          <t>high</t>
        </is>
      </c>
      <c r="S26" t="inlineStr">
        <is>
          <t>N</t>
        </is>
      </c>
      <c r="T26" t="inlineStr"/>
      <c r="U26" t="inlineStr"/>
      <c r="V26" s="3" t="inlineStr">
        <is>
          <t>SEC registrant business address is 230 Park Avenue South (opened 2026-10-23). CO Jan 2023: the company took the whole 13-story, 375,000 sf building at E 19th St (Food Network on the first floors). Metro Manhattan building page (modified 2024-10-31) also lists Discovery as a tenant. Built In shows 40,000 total employees. Over 500. Note: wbd.com redirected to skydance.com when opened on 2026-10-24, so corporate ownership may have changed; founder to confirm.</t>
        </is>
      </c>
      <c r="W26" t="inlineStr">
        <is>
          <t>2026-10-23</t>
        </is>
      </c>
      <c r="X26" t="inlineStr">
        <is>
          <t>security desk</t>
        </is>
      </c>
      <c r="Y26" t="inlineStr">
        <is>
          <t>near-miss-over-500</t>
        </is>
      </c>
      <c r="Z26" t="inlineStr">
        <is>
          <t>occupied</t>
        </is>
      </c>
      <c r="AA26" t="inlineStr"/>
      <c r="AB26" t="inlineStr">
        <is>
          <t>2026-10-23</t>
        </is>
      </c>
      <c r="AC26" s="3" t="inlineStr"/>
      <c r="AD26" t="inlineStr">
        <is>
          <t>other</t>
        </is>
      </c>
      <c r="AE26" t="inlineStr">
        <is>
          <t>2023-01-25</t>
        </is>
      </c>
      <c r="AF26" t="inlineStr">
        <is>
          <t>no-coworking-in-building</t>
        </is>
      </c>
      <c r="AG26" t="inlineStr">
        <is>
          <t>1008470040</t>
        </is>
      </c>
      <c r="AH26" t="n">
        <v>0</v>
      </c>
      <c r="AI26" t="inlineStr">
        <is>
          <t>375,000 sf</t>
        </is>
      </c>
      <c r="AJ26" t="inlineStr">
        <is>
          <t>S2</t>
        </is>
      </c>
      <c r="AK26" s="3" t="inlineStr">
        <is>
          <t>Over 500 company-wide</t>
        </is>
      </c>
    </row>
    <row r="27">
      <c r="A27" t="inlineStr">
        <is>
          <t>B-C-204</t>
        </is>
      </c>
      <c r="B27" t="inlineStr">
        <is>
          <t>Perkins Eastman</t>
        </is>
      </c>
      <c r="C27" s="2" t="inlineStr">
        <is>
          <t>https://www.perkinseastman.com</t>
        </is>
      </c>
      <c r="D27" t="inlineStr">
        <is>
          <t>architecture and design</t>
        </is>
      </c>
      <c r="E27" t="inlineStr">
        <is>
          <t>B-B-023</t>
        </is>
      </c>
      <c r="F27" t="inlineStr">
        <is>
          <t>115 Fifth Avenue</t>
        </is>
      </c>
      <c r="G27" t="inlineStr"/>
      <c r="H27" t="inlineStr">
        <is>
          <t>10003</t>
        </is>
      </c>
      <c r="I27" t="n">
        <v>40.738555</v>
      </c>
      <c r="J27" t="n">
        <v>-73.990623</v>
      </c>
      <c r="K27" t="inlineStr">
        <is>
          <t>Y</t>
        </is>
      </c>
      <c r="L27" t="inlineStr">
        <is>
          <t>over-500</t>
        </is>
      </c>
      <c r="M27" t="inlineStr">
        <is>
          <t>whole-company</t>
        </is>
      </c>
      <c r="N27" s="2" t="inlineStr">
        <is>
          <t>https://www.builtinnyc.com/company/perkins-eastman</t>
        </is>
      </c>
      <c r="O27" s="2" t="inlineStr">
        <is>
          <t>https://www.perkinseastman.com/studios/new-york/</t>
        </is>
      </c>
      <c r="P27" t="inlineStr">
        <is>
          <t>2026-10-23</t>
        </is>
      </c>
      <c r="Q27" t="inlineStr"/>
      <c r="R27" t="inlineStr">
        <is>
          <t>medium</t>
        </is>
      </c>
      <c r="S27" t="inlineStr">
        <is>
          <t>N</t>
        </is>
      </c>
      <c r="T27" t="inlineStr"/>
      <c r="U27" t="inlineStr"/>
      <c r="V27" s="3" t="inlineStr">
        <is>
          <t>New York studio page lists 115 Fifth Avenue (HQ per Built In, which gives no street). Built In shows 1,314 total employees. Over 500 company-wide; NYC studio size not sourced.</t>
        </is>
      </c>
      <c r="W27" t="inlineStr">
        <is>
          <t>2026-10-23</t>
        </is>
      </c>
      <c r="X27" t="inlineStr">
        <is>
          <t>security desk</t>
        </is>
      </c>
      <c r="Y27" t="inlineStr">
        <is>
          <t>near-miss-over-500</t>
        </is>
      </c>
      <c r="Z27" t="inlineStr">
        <is>
          <t>occupied</t>
        </is>
      </c>
      <c r="AA27" t="inlineStr"/>
      <c r="AB27" t="inlineStr">
        <is>
          <t>2026-10-23</t>
        </is>
      </c>
      <c r="AC27" s="3" t="inlineStr"/>
      <c r="AD27" t="inlineStr">
        <is>
          <t>company-site</t>
        </is>
      </c>
      <c r="AE27" t="inlineStr"/>
      <c r="AF27" t="inlineStr">
        <is>
          <t>no-coworking-in-building</t>
        </is>
      </c>
      <c r="AG27" t="inlineStr">
        <is>
          <t>1008470062</t>
        </is>
      </c>
      <c r="AH27" t="n">
        <v>0</v>
      </c>
      <c r="AI27" t="inlineStr"/>
      <c r="AJ27" t="inlineStr">
        <is>
          <t>S2</t>
        </is>
      </c>
      <c r="AK27" s="3" t="inlineStr">
        <is>
          <t>Over 500 company-wide</t>
        </is>
      </c>
    </row>
    <row r="28">
      <c r="A28" t="inlineStr">
        <is>
          <t>B-C-205</t>
        </is>
      </c>
      <c r="B28" t="inlineStr">
        <is>
          <t>Prophet</t>
        </is>
      </c>
      <c r="C28" s="2" t="inlineStr">
        <is>
          <t>https://www.prophet.com</t>
        </is>
      </c>
      <c r="D28" t="inlineStr">
        <is>
          <t>brand and marketing consulting</t>
        </is>
      </c>
      <c r="E28" t="inlineStr">
        <is>
          <t>B-B-023</t>
        </is>
      </c>
      <c r="F28" t="inlineStr">
        <is>
          <t>115 Fifth Avenue</t>
        </is>
      </c>
      <c r="G28" t="inlineStr"/>
      <c r="H28" t="inlineStr">
        <is>
          <t>10003</t>
        </is>
      </c>
      <c r="I28" t="n">
        <v>40.738555</v>
      </c>
      <c r="J28" t="n">
        <v>-73.990623</v>
      </c>
      <c r="K28" t="inlineStr">
        <is>
          <t>Y</t>
        </is>
      </c>
      <c r="L28" t="inlineStr">
        <is>
          <t>over-500</t>
        </is>
      </c>
      <c r="M28" t="inlineStr">
        <is>
          <t>whole-company</t>
        </is>
      </c>
      <c r="N28" s="2" t="inlineStr">
        <is>
          <t>https://www.builtinnyc.com/company/prophet</t>
        </is>
      </c>
      <c r="O28" s="2" t="inlineStr">
        <is>
          <t>https://commercialobserver.com/2026/04/adyen-lease-111-115-fifth-avenue/</t>
        </is>
      </c>
      <c r="P28" t="inlineStr">
        <is>
          <t>2026-04-07</t>
        </is>
      </c>
      <c r="Q28" t="inlineStr"/>
      <c r="R28" t="inlineStr">
        <is>
          <t>medium</t>
        </is>
      </c>
      <c r="S28" t="inlineStr">
        <is>
          <t>N</t>
        </is>
      </c>
      <c r="T28" t="inlineStr"/>
      <c r="U28" t="inlineStr"/>
      <c r="V28" s="3" t="inlineStr">
        <is>
          <t>Near-miss: over 500 (Built In: 1,000 total employees) and margin (115 Fifth Ave at E 19th St). CO 2026-04-07 names Prophet as a 115 Fifth tenant; NYC office size unknown.</t>
        </is>
      </c>
      <c r="W28" t="inlineStr">
        <is>
          <t>2026-10-23</t>
        </is>
      </c>
      <c r="X28" t="inlineStr">
        <is>
          <t>security desk</t>
        </is>
      </c>
      <c r="Y28" t="inlineStr">
        <is>
          <t>near-miss-over-500</t>
        </is>
      </c>
      <c r="Z28" t="inlineStr">
        <is>
          <t>occupied</t>
        </is>
      </c>
      <c r="AA28" t="inlineStr"/>
      <c r="AB28" t="inlineStr">
        <is>
          <t>2026-10-23</t>
        </is>
      </c>
      <c r="AC28" s="3" t="inlineStr"/>
      <c r="AD28" t="inlineStr">
        <is>
          <t>leasing-press</t>
        </is>
      </c>
      <c r="AE28" t="inlineStr"/>
      <c r="AF28" t="inlineStr">
        <is>
          <t>no-coworking-in-building</t>
        </is>
      </c>
      <c r="AG28" t="inlineStr">
        <is>
          <t>1008470062</t>
        </is>
      </c>
      <c r="AH28" t="n">
        <v>0</v>
      </c>
      <c r="AI28" t="inlineStr"/>
      <c r="AJ28" t="inlineStr">
        <is>
          <t>S1</t>
        </is>
      </c>
      <c r="AK28" s="3" t="inlineStr">
        <is>
          <t>Over 500 company-wide; the NYC office alone may fit the 40-250 band, founder to confirm</t>
        </is>
      </c>
    </row>
    <row r="29">
      <c r="A29" t="inlineStr">
        <is>
          <t>B-C-206</t>
        </is>
      </c>
      <c r="B29" t="inlineStr">
        <is>
          <t>Netflix</t>
        </is>
      </c>
      <c r="C29" s="2" t="inlineStr">
        <is>
          <t>https://www.netflix.com</t>
        </is>
      </c>
      <c r="D29" t="inlineStr">
        <is>
          <t>streaming media</t>
        </is>
      </c>
      <c r="E29" t="inlineStr"/>
      <c r="F29" t="inlineStr">
        <is>
          <t>888 Broadway</t>
        </is>
      </c>
      <c r="G29" t="inlineStr"/>
      <c r="H29" t="inlineStr"/>
      <c r="I29" t="n">
        <v>40.738168</v>
      </c>
      <c r="J29" t="n">
        <v>-73.98966</v>
      </c>
      <c r="K29" t="inlineStr">
        <is>
          <t>Y</t>
        </is>
      </c>
      <c r="L29" t="inlineStr">
        <is>
          <t>over-500</t>
        </is>
      </c>
      <c r="M29" t="inlineStr">
        <is>
          <t>whole-company</t>
        </is>
      </c>
      <c r="N29" s="2" t="inlineStr">
        <is>
          <t>https://www.builtinnyc.com/company/netflix</t>
        </is>
      </c>
      <c r="O29" s="2" t="inlineStr">
        <is>
          <t>https://commercialobserver.com/2026/10/williams-equities-michael-t-cohen-robert-getreu-andrew-roos-office-new-york/</t>
        </is>
      </c>
      <c r="P29" t="inlineStr">
        <is>
          <t>2026-10-20</t>
        </is>
      </c>
      <c r="Q29" s="2" t="inlineStr">
        <is>
          <t>https://therealdeal.com/new-york/2025/02/14/cannon-hill-recaps-888-broadway-at-amount-above-200m/</t>
        </is>
      </c>
      <c r="R29" t="inlineStr">
        <is>
          <t>high</t>
        </is>
      </c>
      <c r="S29" t="inlineStr">
        <is>
          <t>N</t>
        </is>
      </c>
      <c r="T29" t="inlineStr"/>
      <c r="U29" t="inlineStr"/>
      <c r="V29" s="3" t="inlineStr">
        <is>
          <t>Building co-owner calls Netflix the anchor tenant at 888 Broadway (Oct 2026); TRD headline calls 888 Broadway Netflix's NYC office. Built In lists 245 W 17th St as its NY office and 13,212 total employees. Over 500.</t>
        </is>
      </c>
      <c r="W29" t="inlineStr">
        <is>
          <t>2026-10-23</t>
        </is>
      </c>
      <c r="X29" t="inlineStr">
        <is>
          <t>unknown</t>
        </is>
      </c>
      <c r="Y29" t="inlineStr">
        <is>
          <t>near-miss-over-500</t>
        </is>
      </c>
      <c r="Z29" t="inlineStr">
        <is>
          <t>occupied</t>
        </is>
      </c>
      <c r="AA29" t="inlineStr"/>
      <c r="AB29" t="inlineStr">
        <is>
          <t>2026-10-23</t>
        </is>
      </c>
      <c r="AC29" s="3" t="inlineStr"/>
      <c r="AD29" t="inlineStr">
        <is>
          <t>leasing-press</t>
        </is>
      </c>
      <c r="AE29" t="inlineStr">
        <is>
          <t>2025-02-14</t>
        </is>
      </c>
      <c r="AF29" t="inlineStr">
        <is>
          <t>no-coworking-in-building</t>
        </is>
      </c>
      <c r="AG29" t="inlineStr">
        <is>
          <t>1008477501</t>
        </is>
      </c>
      <c r="AH29" t="n">
        <v>0</v>
      </c>
      <c r="AI29" t="inlineStr"/>
      <c r="AJ29" t="inlineStr">
        <is>
          <t>S2</t>
        </is>
      </c>
      <c r="AK29" s="3" t="inlineStr">
        <is>
          <t>Over 500 company-wide</t>
        </is>
      </c>
    </row>
    <row r="30">
      <c r="A30" t="inlineStr">
        <is>
          <t>B-C-207</t>
        </is>
      </c>
      <c r="B30" t="inlineStr">
        <is>
          <t>ZGF Architects</t>
        </is>
      </c>
      <c r="C30" s="2" t="inlineStr">
        <is>
          <t>https://www.zgf.com</t>
        </is>
      </c>
      <c r="D30" t="inlineStr">
        <is>
          <t>architecture</t>
        </is>
      </c>
      <c r="E30" t="inlineStr">
        <is>
          <t>B-B-025</t>
        </is>
      </c>
      <c r="F30" t="inlineStr">
        <is>
          <t>39 West 19th Street</t>
        </is>
      </c>
      <c r="G30" t="inlineStr">
        <is>
          <t>12</t>
        </is>
      </c>
      <c r="H30" t="inlineStr">
        <is>
          <t>10011</t>
        </is>
      </c>
      <c r="I30" t="n">
        <v>40.740157</v>
      </c>
      <c r="J30" t="n">
        <v>-73.993377</v>
      </c>
      <c r="K30" t="inlineStr">
        <is>
          <t>Y</t>
        </is>
      </c>
      <c r="L30" t="inlineStr">
        <is>
          <t>over-500</t>
        </is>
      </c>
      <c r="M30" t="inlineStr">
        <is>
          <t>whole-company</t>
        </is>
      </c>
      <c r="N30" s="2" t="inlineStr">
        <is>
          <t>https://en.wikipedia.org/wiki/ZGF_Architects</t>
        </is>
      </c>
      <c r="O30" s="2" t="inlineStr">
        <is>
          <t>https://www.zgf.com/contact</t>
        </is>
      </c>
      <c r="P30" t="inlineStr">
        <is>
          <t>2026-10-23</t>
        </is>
      </c>
      <c r="Q30" s="2" t="inlineStr">
        <is>
          <t>https://commercialobserver.com/2020/01/zgf-architects-lease-39-west-19th-street-rosen-family/</t>
        </is>
      </c>
      <c r="R30" t="inlineStr">
        <is>
          <t>medium</t>
        </is>
      </c>
      <c r="S30" t="inlineStr">
        <is>
          <t>N</t>
        </is>
      </c>
      <c r="T30" t="inlineStr"/>
      <c r="U30" t="inlineStr"/>
      <c r="V30" s="3" t="inlineStr">
        <is>
          <t>Contact page lists New York office at 39 West 19th Street, 12th Floor (penthouse, 11,502 sf per CO 2020). Live site counts as current; the lease article is old, so medium. Portland-based firm; NYC headcount not sourced. | Assembly 2026-10-24: Band set at assembly to over-500 from Wikipedia infobox: 750 employees (footnote cites an October 2021 article). The NYC office size is unknown; the NYC office alone may fit, founder to confirm.</t>
        </is>
      </c>
      <c r="W30" t="inlineStr">
        <is>
          <t>2026-10-23</t>
        </is>
      </c>
      <c r="X30" t="inlineStr">
        <is>
          <t>unknown</t>
        </is>
      </c>
      <c r="Y30" t="inlineStr">
        <is>
          <t>near-miss-over-500</t>
        </is>
      </c>
      <c r="Z30" t="inlineStr">
        <is>
          <t>occupied</t>
        </is>
      </c>
      <c r="AA30" t="inlineStr"/>
      <c r="AB30" t="inlineStr">
        <is>
          <t>2021-10</t>
        </is>
      </c>
      <c r="AC30" s="3" t="inlineStr"/>
      <c r="AD30" t="inlineStr">
        <is>
          <t>company-site</t>
        </is>
      </c>
      <c r="AE30" t="inlineStr">
        <is>
          <t>2020-01-10</t>
        </is>
      </c>
      <c r="AF30" t="inlineStr">
        <is>
          <t>no-coworking-in-building</t>
        </is>
      </c>
      <c r="AG30" t="inlineStr">
        <is>
          <t>1008210014</t>
        </is>
      </c>
      <c r="AH30" t="n">
        <v>0</v>
      </c>
      <c r="AI30" t="inlineStr">
        <is>
          <t>11,502 sf</t>
        </is>
      </c>
      <c r="AJ30" t="inlineStr">
        <is>
          <t>S2</t>
        </is>
      </c>
      <c r="AK30" s="3" t="inlineStr">
        <is>
          <t>Over 500 company-wide</t>
        </is>
      </c>
    </row>
    <row r="31">
      <c r="A31" t="inlineStr">
        <is>
          <t>B-C-208</t>
        </is>
      </c>
      <c r="B31" t="inlineStr">
        <is>
          <t>Tory Burch</t>
        </is>
      </c>
      <c r="C31" s="2" t="inlineStr">
        <is>
          <t>https://www.toryburch.com</t>
        </is>
      </c>
      <c r="D31" t="inlineStr">
        <is>
          <t>fashion brand (headquarters)</t>
        </is>
      </c>
      <c r="E31" t="inlineStr"/>
      <c r="F31" t="inlineStr">
        <is>
          <t>11 West 19th Street</t>
        </is>
      </c>
      <c r="G31" t="inlineStr">
        <is>
          <t>7-11</t>
        </is>
      </c>
      <c r="H31" t="inlineStr">
        <is>
          <t>10011</t>
        </is>
      </c>
      <c r="I31" t="n">
        <v>40.739843</v>
      </c>
      <c r="J31" t="n">
        <v>-73.992251</v>
      </c>
      <c r="K31" t="inlineStr">
        <is>
          <t>Y</t>
        </is>
      </c>
      <c r="L31" t="inlineStr">
        <is>
          <t>over-500</t>
        </is>
      </c>
      <c r="M31" t="inlineStr">
        <is>
          <t>whole-company</t>
        </is>
      </c>
      <c r="N31" s="2" t="inlineStr">
        <is>
          <t>https://www.builtinnyc.com/company/tory-burch</t>
        </is>
      </c>
      <c r="O31" s="2" t="inlineStr">
        <is>
          <t>https://www.builtinnyc.com/company/tory-burch/offices</t>
        </is>
      </c>
      <c r="P31" t="inlineStr">
        <is>
          <t>2026-10-23</t>
        </is>
      </c>
      <c r="Q31" s="2" t="inlineStr">
        <is>
          <t>https://commercialobserver.com/2022/08/tory-burch-renewal-11-west-19th-street/</t>
        </is>
      </c>
      <c r="R31" t="inlineStr">
        <is>
          <t>high</t>
        </is>
      </c>
      <c r="S31" t="inlineStr">
        <is>
          <t>N</t>
        </is>
      </c>
      <c r="T31" t="inlineStr"/>
      <c r="U31" t="inlineStr"/>
      <c r="V31" s="3" t="inlineStr">
        <is>
          <t>Built In lists HQ at 11 West 19th Street, 7th Floor; CO Aug 2022 reported a 13-year renewal of its 130,000 sf HQ on floors 7-11. Built In shows 3,206 total employees. Over 500.</t>
        </is>
      </c>
      <c r="W31" t="inlineStr">
        <is>
          <t>2026-10-23</t>
        </is>
      </c>
      <c r="X31" t="inlineStr">
        <is>
          <t>security desk</t>
        </is>
      </c>
      <c r="Y31" t="inlineStr">
        <is>
          <t>near-miss-over-500</t>
        </is>
      </c>
      <c r="Z31" t="inlineStr">
        <is>
          <t>occupied</t>
        </is>
      </c>
      <c r="AA31" t="inlineStr"/>
      <c r="AB31" t="inlineStr">
        <is>
          <t>2026-10-23</t>
        </is>
      </c>
      <c r="AC31" s="3" t="inlineStr"/>
      <c r="AD31" t="inlineStr">
        <is>
          <t>builtin</t>
        </is>
      </c>
      <c r="AE31" t="inlineStr">
        <is>
          <t>2022-08-05</t>
        </is>
      </c>
      <c r="AF31" t="inlineStr">
        <is>
          <t>no-coworking-in-building</t>
        </is>
      </c>
      <c r="AG31" t="inlineStr">
        <is>
          <t>1008210032</t>
        </is>
      </c>
      <c r="AH31" t="n">
        <v>0</v>
      </c>
      <c r="AI31" t="inlineStr">
        <is>
          <t>130,000 sf</t>
        </is>
      </c>
      <c r="AJ31" t="inlineStr">
        <is>
          <t>S2</t>
        </is>
      </c>
      <c r="AK31" s="3" t="inlineStr">
        <is>
          <t>Over 500 company-wide</t>
        </is>
      </c>
    </row>
    <row r="32">
      <c r="A32" t="inlineStr">
        <is>
          <t>B-C-209</t>
        </is>
      </c>
      <c r="B32" t="inlineStr">
        <is>
          <t>Infor</t>
        </is>
      </c>
      <c r="C32" s="2" t="inlineStr">
        <is>
          <t>https://www.infor.com</t>
        </is>
      </c>
      <c r="D32" t="inlineStr">
        <is>
          <t>enterprise software</t>
        </is>
      </c>
      <c r="E32" t="inlineStr">
        <is>
          <t>B-B-026</t>
        </is>
      </c>
      <c r="F32" t="inlineStr">
        <is>
          <t>641 Avenue of the Americas</t>
        </is>
      </c>
      <c r="G32" t="inlineStr"/>
      <c r="H32" t="inlineStr">
        <is>
          <t>10011</t>
        </is>
      </c>
      <c r="I32" t="n">
        <v>40.741004</v>
      </c>
      <c r="J32" t="n">
        <v>-73.99475700000001</v>
      </c>
      <c r="K32" t="inlineStr">
        <is>
          <t>Y</t>
        </is>
      </c>
      <c r="L32" t="inlineStr">
        <is>
          <t>over-500</t>
        </is>
      </c>
      <c r="M32" t="inlineStr">
        <is>
          <t>whole-company</t>
        </is>
      </c>
      <c r="N32" s="2" t="inlineStr">
        <is>
          <t>https://www.builtinnyc.com/company/infor</t>
        </is>
      </c>
      <c r="O32" s="2" t="inlineStr">
        <is>
          <t>https://commercialobserver.com/2026/09/stash-financial-lease-641-avenue-of-the-americas/</t>
        </is>
      </c>
      <c r="P32" t="inlineStr">
        <is>
          <t>2026-09-02</t>
        </is>
      </c>
      <c r="Q32" s="2" t="inlineStr">
        <is>
          <t>https://commercialobserver.com/2021/05/software-company-infor-reups-90k-sf-at-635-641-avenue-of-the-americas/</t>
        </is>
      </c>
      <c r="R32" t="inlineStr">
        <is>
          <t>medium</t>
        </is>
      </c>
      <c r="S32" t="inlineStr">
        <is>
          <t>N</t>
        </is>
      </c>
      <c r="T32" t="inlineStr"/>
      <c r="U32" t="inlineStr"/>
      <c r="V32" s="3" t="inlineStr">
        <is>
          <t>CO Sept 2026 lists cloud software company Infor as a tenant; it renewed about 90,000 sf at 635-641 Avenue of the Americas in 2021 (HQ). Built In shows 18,402 total employees. Over 500.</t>
        </is>
      </c>
      <c r="W32" t="inlineStr">
        <is>
          <t>2026-10-23</t>
        </is>
      </c>
      <c r="X32" t="inlineStr">
        <is>
          <t>unknown</t>
        </is>
      </c>
      <c r="Y32" t="inlineStr">
        <is>
          <t>near-miss-over-500</t>
        </is>
      </c>
      <c r="Z32" t="inlineStr">
        <is>
          <t>occupied</t>
        </is>
      </c>
      <c r="AA32" t="inlineStr"/>
      <c r="AB32" t="inlineStr">
        <is>
          <t>2026-10-23</t>
        </is>
      </c>
      <c r="AC32" s="3" t="inlineStr"/>
      <c r="AD32" t="inlineStr">
        <is>
          <t>leasing-press</t>
        </is>
      </c>
      <c r="AE32" t="inlineStr">
        <is>
          <t>2021-05-06</t>
        </is>
      </c>
      <c r="AF32" t="inlineStr">
        <is>
          <t>no-coworking-in-building</t>
        </is>
      </c>
      <c r="AG32" t="inlineStr">
        <is>
          <t>1007950044</t>
        </is>
      </c>
      <c r="AH32" t="n">
        <v>0</v>
      </c>
      <c r="AI32" t="inlineStr">
        <is>
          <t>90,000 sf</t>
        </is>
      </c>
      <c r="AJ32" t="inlineStr">
        <is>
          <t>S2</t>
        </is>
      </c>
      <c r="AK32" s="3" t="inlineStr">
        <is>
          <t>Over 500 company-wide</t>
        </is>
      </c>
    </row>
    <row r="33">
      <c r="A33" t="inlineStr">
        <is>
          <t>B-C-210</t>
        </is>
      </c>
      <c r="B33" t="inlineStr">
        <is>
          <t>dsm-firmenich</t>
        </is>
      </c>
      <c r="C33" s="2" t="inlineStr">
        <is>
          <t>https://www.dsm-firmenich.com</t>
        </is>
      </c>
      <c r="D33" t="inlineStr">
        <is>
          <t>fragrance and nutrition ingredients</t>
        </is>
      </c>
      <c r="E33" t="inlineStr">
        <is>
          <t>B-B-026</t>
        </is>
      </c>
      <c r="F33" t="inlineStr">
        <is>
          <t>641 Avenue of the Americas</t>
        </is>
      </c>
      <c r="G33" t="inlineStr"/>
      <c r="H33" t="inlineStr">
        <is>
          <t>10011</t>
        </is>
      </c>
      <c r="I33" t="n">
        <v>40.741004</v>
      </c>
      <c r="J33" t="n">
        <v>-73.99475700000001</v>
      </c>
      <c r="K33" t="inlineStr">
        <is>
          <t>Y</t>
        </is>
      </c>
      <c r="L33" t="inlineStr">
        <is>
          <t>over-500</t>
        </is>
      </c>
      <c r="M33" t="inlineStr">
        <is>
          <t>whole-company</t>
        </is>
      </c>
      <c r="N33" s="2" t="inlineStr">
        <is>
          <t>https://en.wikipedia.org/wiki/DSM-Firmenich</t>
        </is>
      </c>
      <c r="O33" s="2" t="inlineStr">
        <is>
          <t>https://commercialobserver.com/2026/09/stash-financial-lease-641-avenue-of-the-americas/</t>
        </is>
      </c>
      <c r="P33" t="inlineStr">
        <is>
          <t>2026-09-02</t>
        </is>
      </c>
      <c r="Q33" s="2" t="inlineStr">
        <is>
          <t>https://commercialobserver.com/2024/10/dsm-firmenich-lease-641-avenue-of-the-americas/</t>
        </is>
      </c>
      <c r="R33" t="inlineStr">
        <is>
          <t>medium</t>
        </is>
      </c>
      <c r="S33" t="inlineStr">
        <is>
          <t>N</t>
        </is>
      </c>
      <c r="T33" t="inlineStr"/>
      <c r="U33" t="inlineStr"/>
      <c r="V33" s="3" t="inlineStr">
        <is>
          <t>CO Sept 2026 lists fragrance company DSM-Firmenich as a tenant (45,000 sf lease reported Oct 2024). Wikipedia infobox: about 30,000 employees (year not stated). Over 500.</t>
        </is>
      </c>
      <c r="W33" t="inlineStr">
        <is>
          <t>2026-10-23</t>
        </is>
      </c>
      <c r="X33" t="inlineStr">
        <is>
          <t>unknown</t>
        </is>
      </c>
      <c r="Y33" t="inlineStr">
        <is>
          <t>near-miss-over-500</t>
        </is>
      </c>
      <c r="Z33" t="inlineStr">
        <is>
          <t>occupied</t>
        </is>
      </c>
      <c r="AA33" t="inlineStr"/>
      <c r="AB33" t="inlineStr">
        <is>
          <t>2026-10-23</t>
        </is>
      </c>
      <c r="AC33" s="3" t="inlineStr"/>
      <c r="AD33" t="inlineStr">
        <is>
          <t>leasing-press</t>
        </is>
      </c>
      <c r="AE33" t="inlineStr">
        <is>
          <t>2024-10-17</t>
        </is>
      </c>
      <c r="AF33" t="inlineStr">
        <is>
          <t>no-coworking-in-building</t>
        </is>
      </c>
      <c r="AG33" t="inlineStr">
        <is>
          <t>1007950044</t>
        </is>
      </c>
      <c r="AH33" t="n">
        <v>0</v>
      </c>
      <c r="AI33" t="inlineStr">
        <is>
          <t>45,000 sf</t>
        </is>
      </c>
      <c r="AJ33" t="inlineStr">
        <is>
          <t>S2</t>
        </is>
      </c>
      <c r="AK33" s="3" t="inlineStr">
        <is>
          <t>Over 500 company-wide</t>
        </is>
      </c>
    </row>
    <row r="34">
      <c r="A34" t="inlineStr">
        <is>
          <t>B-C-211</t>
        </is>
      </c>
      <c r="B34" t="inlineStr">
        <is>
          <t>Mastercard</t>
        </is>
      </c>
      <c r="C34" s="2" t="inlineStr">
        <is>
          <t>https://www.mastercard.com</t>
        </is>
      </c>
      <c r="D34" t="inlineStr">
        <is>
          <t>payments (tech hub)</t>
        </is>
      </c>
      <c r="E34" t="inlineStr"/>
      <c r="F34" t="inlineStr">
        <is>
          <t>150 Fifth Avenue</t>
        </is>
      </c>
      <c r="G34" t="inlineStr"/>
      <c r="H34" t="inlineStr"/>
      <c r="I34" t="n">
        <v>40.739683</v>
      </c>
      <c r="J34" t="n">
        <v>-73.991349</v>
      </c>
      <c r="K34" t="inlineStr">
        <is>
          <t>Y</t>
        </is>
      </c>
      <c r="L34" t="inlineStr">
        <is>
          <t>over-500</t>
        </is>
      </c>
      <c r="M34" t="inlineStr">
        <is>
          <t>whole-company</t>
        </is>
      </c>
      <c r="N34" s="2" t="inlineStr">
        <is>
          <t>https://www.builtinnyc.com/company/mastercard</t>
        </is>
      </c>
      <c r="O34" s="2" t="inlineStr">
        <is>
          <t>https://commercialobserver.com/2025/09/bam-labs-150-fifth-avenue-first-u-s-location/</t>
        </is>
      </c>
      <c r="P34" t="inlineStr">
        <is>
          <t>2025-09-22</t>
        </is>
      </c>
      <c r="Q34" s="2" t="inlineStr">
        <is>
          <t>https://commercialobserver.com/2021/10/150-fifth-avenue-debuts-as-mastercards-new-tech-hq/</t>
        </is>
      </c>
      <c r="R34" t="inlineStr">
        <is>
          <t>medium</t>
        </is>
      </c>
      <c r="S34" t="inlineStr">
        <is>
          <t>N</t>
        </is>
      </c>
      <c r="T34" t="inlineStr"/>
      <c r="U34" t="inlineStr"/>
      <c r="V34" s="3" t="inlineStr">
        <is>
          <t>Leased all 212,000 sf of office space at 150 Fifth (2017) and moved in 2021 as its NYC tech hub; CO Sept 2025 says the building is 100% leased. Built In shows 38,800 total employees. Over 500.</t>
        </is>
      </c>
      <c r="W34" t="inlineStr">
        <is>
          <t>2026-10-23</t>
        </is>
      </c>
      <c r="X34" t="inlineStr">
        <is>
          <t>unknown</t>
        </is>
      </c>
      <c r="Y34" t="inlineStr">
        <is>
          <t>near-miss-over-500</t>
        </is>
      </c>
      <c r="Z34" t="inlineStr">
        <is>
          <t>occupied</t>
        </is>
      </c>
      <c r="AA34" t="inlineStr"/>
      <c r="AB34" t="inlineStr">
        <is>
          <t>2026-10-23</t>
        </is>
      </c>
      <c r="AC34" s="3" t="inlineStr"/>
      <c r="AD34" t="inlineStr">
        <is>
          <t>leasing-press</t>
        </is>
      </c>
      <c r="AE34" t="inlineStr">
        <is>
          <t>2021-10-20</t>
        </is>
      </c>
      <c r="AF34" t="inlineStr">
        <is>
          <t>no-coworking-in-building</t>
        </is>
      </c>
      <c r="AG34" t="inlineStr">
        <is>
          <t>1008210041</t>
        </is>
      </c>
      <c r="AH34" t="n">
        <v>0</v>
      </c>
      <c r="AI34" t="inlineStr">
        <is>
          <t>212,000 sf</t>
        </is>
      </c>
      <c r="AJ34" t="inlineStr">
        <is>
          <t>S2</t>
        </is>
      </c>
      <c r="AK34" s="3" t="inlineStr">
        <is>
          <t>Over 500 company-wide</t>
        </is>
      </c>
    </row>
    <row r="35">
      <c r="A35" t="inlineStr">
        <is>
          <t>B-C-212</t>
        </is>
      </c>
      <c r="B35" t="inlineStr">
        <is>
          <t>MillerKnoll</t>
        </is>
      </c>
      <c r="C35" s="2" t="inlineStr">
        <is>
          <t>https://www.millerknoll.com</t>
        </is>
      </c>
      <c r="D35" t="inlineStr">
        <is>
          <t>office furniture (showroom and office)</t>
        </is>
      </c>
      <c r="E35" t="inlineStr"/>
      <c r="F35" t="inlineStr">
        <is>
          <t>251 Park Avenue South</t>
        </is>
      </c>
      <c r="G35" t="inlineStr">
        <is>
          <t>incl. 6-7</t>
        </is>
      </c>
      <c r="H35" t="inlineStr"/>
      <c r="I35" t="n">
        <v>40.738353</v>
      </c>
      <c r="J35" t="n">
        <v>-73.98732800000001</v>
      </c>
      <c r="K35" t="inlineStr">
        <is>
          <t>Y</t>
        </is>
      </c>
      <c r="L35" t="inlineStr">
        <is>
          <t>over-500</t>
        </is>
      </c>
      <c r="M35" t="inlineStr">
        <is>
          <t>whole-company</t>
        </is>
      </c>
      <c r="N35" s="2" t="inlineStr">
        <is>
          <t>https://www.builtinnyc.com/company/millerknoll</t>
        </is>
      </c>
      <c r="O35" s="2" t="inlineStr">
        <is>
          <t>https://commercialobserver.com/2023/05/office-furniture-giant-millerknoll-adds-15k-sf-to-251-park-avenue-south-footprint/</t>
        </is>
      </c>
      <c r="P35" t="inlineStr">
        <is>
          <t>2023-05-08</t>
        </is>
      </c>
      <c r="Q35" t="inlineStr"/>
      <c r="R35" t="inlineStr">
        <is>
          <t>low</t>
        </is>
      </c>
      <c r="S35" t="inlineStr">
        <is>
          <t>N</t>
        </is>
      </c>
      <c r="T35" t="inlineStr"/>
      <c r="U35" t="inlineStr"/>
      <c r="V35" s="3" t="inlineStr">
        <is>
          <t>In the building since 2016; 2023 expansion added floors 6 and 7 for about 60,000 sf total (CO May 2023). Source older than 24 months, not re-confirmed. Built In shows 9,522 total employees. Over 500.</t>
        </is>
      </c>
      <c r="W35" t="inlineStr">
        <is>
          <t>2026-10-23</t>
        </is>
      </c>
      <c r="X35" t="inlineStr">
        <is>
          <t>unknown</t>
        </is>
      </c>
      <c r="Y35" t="inlineStr">
        <is>
          <t>near-miss-over-500</t>
        </is>
      </c>
      <c r="Z35" t="inlineStr">
        <is>
          <t>occupancy-unconfirmed</t>
        </is>
      </c>
      <c r="AA35" t="inlineStr"/>
      <c r="AB35" t="inlineStr">
        <is>
          <t>2026-10-23</t>
        </is>
      </c>
      <c r="AC35" s="3" t="inlineStr"/>
      <c r="AD35" t="inlineStr">
        <is>
          <t>leasing-press</t>
        </is>
      </c>
      <c r="AE35" t="inlineStr"/>
      <c r="AF35" t="inlineStr">
        <is>
          <t>no-coworking-in-building</t>
        </is>
      </c>
      <c r="AG35" t="inlineStr">
        <is>
          <t>1008760001</t>
        </is>
      </c>
      <c r="AH35" t="n">
        <v>0</v>
      </c>
      <c r="AI35" t="inlineStr">
        <is>
          <t>60,000 sf</t>
        </is>
      </c>
      <c r="AJ35" t="inlineStr">
        <is>
          <t>S2</t>
        </is>
      </c>
      <c r="AK35" s="3" t="inlineStr">
        <is>
          <t>Over 500 company-wide</t>
        </is>
      </c>
    </row>
    <row r="36">
      <c r="A36" t="inlineStr">
        <is>
          <t>B-C-213</t>
        </is>
      </c>
      <c r="B36" t="inlineStr">
        <is>
          <t>Fenwick &amp; West</t>
        </is>
      </c>
      <c r="C36" s="2" t="inlineStr">
        <is>
          <t>https://www.fenwick.com</t>
        </is>
      </c>
      <c r="D36" t="inlineStr">
        <is>
          <t>law firm</t>
        </is>
      </c>
      <c r="E36" t="inlineStr">
        <is>
          <t>B-B-031</t>
        </is>
      </c>
      <c r="F36" t="inlineStr">
        <is>
          <t>902 Broadway</t>
        </is>
      </c>
      <c r="G36" t="inlineStr">
        <is>
          <t>13-15, 18</t>
        </is>
      </c>
      <c r="H36" t="inlineStr">
        <is>
          <t>10010</t>
        </is>
      </c>
      <c r="I36" t="n">
        <v>40.739291</v>
      </c>
      <c r="J36" t="n">
        <v>-73.989363</v>
      </c>
      <c r="K36" t="inlineStr">
        <is>
          <t>Y</t>
        </is>
      </c>
      <c r="L36" t="inlineStr">
        <is>
          <t>over-500</t>
        </is>
      </c>
      <c r="M36" t="inlineStr">
        <is>
          <t>whole-company</t>
        </is>
      </c>
      <c r="N36" s="2" t="inlineStr">
        <is>
          <t>https://www.builtinnyc.com/company/fenwick-west</t>
        </is>
      </c>
      <c r="O36" s="2" t="inlineStr">
        <is>
          <t>https://commercialobserver.com/2026/06/fenwick-west-lease-expansion-rosen-902-broadway/</t>
        </is>
      </c>
      <c r="P36" t="inlineStr">
        <is>
          <t>2026-06-16</t>
        </is>
      </c>
      <c r="Q36" s="2" t="inlineStr">
        <is>
          <t>https://www.builtinnyc.com/company/fenwick-west/offices</t>
        </is>
      </c>
      <c r="R36" t="inlineStr">
        <is>
          <t>high</t>
        </is>
      </c>
      <c r="S36" t="inlineStr">
        <is>
          <t>N</t>
        </is>
      </c>
      <c r="T36" t="inlineStr"/>
      <c r="U36" t="inlineStr"/>
      <c r="V36" s="3" t="inlineStr">
        <is>
          <t>June 2026 renewal adds the full 13th floor to floors 14, 15 and 18, about 72,800 sf on four floors (re-verified 2026-10-24). Built In lists New York office at 902 Broadway, 18th Floor, and 1,176 total employees. Over 500.</t>
        </is>
      </c>
      <c r="W36" t="inlineStr">
        <is>
          <t>2026-10-23</t>
        </is>
      </c>
      <c r="X36" t="inlineStr">
        <is>
          <t>security desk</t>
        </is>
      </c>
      <c r="Y36" t="inlineStr">
        <is>
          <t>near-miss-over-500</t>
        </is>
      </c>
      <c r="Z36" t="inlineStr">
        <is>
          <t>occupied</t>
        </is>
      </c>
      <c r="AA36" t="inlineStr"/>
      <c r="AB36" t="inlineStr">
        <is>
          <t>2026-10-23</t>
        </is>
      </c>
      <c r="AC36" s="3" t="inlineStr"/>
      <c r="AD36" t="inlineStr">
        <is>
          <t>leasing-press</t>
        </is>
      </c>
      <c r="AE36" t="inlineStr">
        <is>
          <t>2026-10-23</t>
        </is>
      </c>
      <c r="AF36" t="inlineStr">
        <is>
          <t>different-floor</t>
        </is>
      </c>
      <c r="AG36" t="inlineStr">
        <is>
          <t>1008490016</t>
        </is>
      </c>
      <c r="AH36" t="n">
        <v>0</v>
      </c>
      <c r="AI36" t="inlineStr">
        <is>
          <t>72,800 sf</t>
        </is>
      </c>
      <c r="AJ36" t="inlineStr">
        <is>
          <t>S2</t>
        </is>
      </c>
      <c r="AK36" s="3" t="inlineStr">
        <is>
          <t>Over 500 company-wide</t>
        </is>
      </c>
    </row>
    <row r="37">
      <c r="A37" t="inlineStr">
        <is>
          <t>B-C-214</t>
        </is>
      </c>
      <c r="B37" t="inlineStr">
        <is>
          <t>SeatGeek</t>
        </is>
      </c>
      <c r="C37" s="2" t="inlineStr">
        <is>
          <t>https://seatgeek.com</t>
        </is>
      </c>
      <c r="D37" t="inlineStr">
        <is>
          <t>ticketing marketplace</t>
        </is>
      </c>
      <c r="E37" t="inlineStr">
        <is>
          <t>B-B-031</t>
        </is>
      </c>
      <c r="F37" t="inlineStr">
        <is>
          <t>902 Broadway</t>
        </is>
      </c>
      <c r="G37" t="inlineStr">
        <is>
          <t>8-11</t>
        </is>
      </c>
      <c r="H37" t="inlineStr">
        <is>
          <t>10010</t>
        </is>
      </c>
      <c r="I37" t="n">
        <v>40.739291</v>
      </c>
      <c r="J37" t="n">
        <v>-73.989363</v>
      </c>
      <c r="K37" t="inlineStr">
        <is>
          <t>Y</t>
        </is>
      </c>
      <c r="L37" t="inlineStr">
        <is>
          <t>over-500</t>
        </is>
      </c>
      <c r="M37" t="inlineStr">
        <is>
          <t>whole-company</t>
        </is>
      </c>
      <c r="N37" s="2" t="inlineStr">
        <is>
          <t>https://www.builtinnyc.com/company/seatgeek</t>
        </is>
      </c>
      <c r="O37" s="2" t="inlineStr">
        <is>
          <t>https://commercialobserver.com/2018/10/seatgeek-leases-72k-sf-for-new-flatiron-offices/</t>
        </is>
      </c>
      <c r="P37" t="inlineStr">
        <is>
          <t>2018-10-17</t>
        </is>
      </c>
      <c r="Q37" s="2" t="inlineStr">
        <is>
          <t>https://www.metro-manhattan.com/buildings/902-broadway/</t>
        </is>
      </c>
      <c r="R37" t="inlineStr">
        <is>
          <t>low</t>
        </is>
      </c>
      <c r="S37" t="inlineStr">
        <is>
          <t>N</t>
        </is>
      </c>
      <c r="T37" t="inlineStr"/>
      <c r="U37" t="inlineStr"/>
      <c r="V37" s="3" t="inlineStr">
        <is>
          <t>10-year HQ lease (from June 2019) of floors 8-11, 72,800 sf; a broker building page (modified 2024-11-02) still lists SeatGeek. Built In shows HQ New York without a street and 900 total employees. Lease source is old, so low. Over 500.</t>
        </is>
      </c>
      <c r="W37" t="inlineStr">
        <is>
          <t>2026-10-23</t>
        </is>
      </c>
      <c r="X37" t="inlineStr">
        <is>
          <t>security desk</t>
        </is>
      </c>
      <c r="Y37" t="inlineStr">
        <is>
          <t>near-miss-over-500</t>
        </is>
      </c>
      <c r="Z37" t="inlineStr">
        <is>
          <t>occupancy-unconfirmed</t>
        </is>
      </c>
      <c r="AA37" t="inlineStr"/>
      <c r="AB37" t="inlineStr">
        <is>
          <t>2026-10-23</t>
        </is>
      </c>
      <c r="AC37" s="3" t="inlineStr"/>
      <c r="AD37" t="inlineStr">
        <is>
          <t>leasing-press</t>
        </is>
      </c>
      <c r="AE37" t="inlineStr">
        <is>
          <t>2024-11-02</t>
        </is>
      </c>
      <c r="AF37" t="inlineStr">
        <is>
          <t>different-floor</t>
        </is>
      </c>
      <c r="AG37" t="inlineStr">
        <is>
          <t>1008490016</t>
        </is>
      </c>
      <c r="AH37" t="n">
        <v>0</v>
      </c>
      <c r="AI37" t="inlineStr">
        <is>
          <t>72,800 sf</t>
        </is>
      </c>
      <c r="AJ37" t="inlineStr">
        <is>
          <t>S2</t>
        </is>
      </c>
      <c r="AK37" s="3" t="inlineStr">
        <is>
          <t>Over 500 company-wide</t>
        </is>
      </c>
    </row>
    <row r="38">
      <c r="A38" t="inlineStr">
        <is>
          <t>B-C-215</t>
        </is>
      </c>
      <c r="B38" t="inlineStr">
        <is>
          <t>AngelList</t>
        </is>
      </c>
      <c r="C38" s="2" t="inlineStr">
        <is>
          <t>https://www.angellist.com</t>
        </is>
      </c>
      <c r="D38" t="inlineStr">
        <is>
          <t>fintech (venture fund infrastructure)</t>
        </is>
      </c>
      <c r="E38" t="inlineStr">
        <is>
          <t>B-B-032</t>
        </is>
      </c>
      <c r="F38" t="inlineStr">
        <is>
          <t>257 Park Avenue South</t>
        </is>
      </c>
      <c r="G38" t="inlineStr">
        <is>
          <t>18</t>
        </is>
      </c>
      <c r="H38" t="inlineStr">
        <is>
          <t>10010</t>
        </is>
      </c>
      <c r="I38" t="n">
        <v>40.738577</v>
      </c>
      <c r="J38" t="n">
        <v>-73.987151</v>
      </c>
      <c r="K38" t="inlineStr">
        <is>
          <t>Y</t>
        </is>
      </c>
      <c r="L38" t="inlineStr">
        <is>
          <t>over-500</t>
        </is>
      </c>
      <c r="M38" t="inlineStr">
        <is>
          <t>whole-company</t>
        </is>
      </c>
      <c r="N38" s="2" t="inlineStr">
        <is>
          <t>https://www.builtinnyc.com/company/angellist</t>
        </is>
      </c>
      <c r="O38" s="2" t="inlineStr">
        <is>
          <t>https://commercialobserver.com/2025/09/angellist-lease-257-park-avenue-south/</t>
        </is>
      </c>
      <c r="P38" t="inlineStr">
        <is>
          <t>2025-09-12</t>
        </is>
      </c>
      <c r="Q38" t="inlineStr"/>
      <c r="R38" t="inlineStr">
        <is>
          <t>medium</t>
        </is>
      </c>
      <c r="S38" t="inlineStr">
        <is>
          <t>N</t>
        </is>
      </c>
      <c r="T38" t="inlineStr"/>
      <c r="U38" t="inlineStr"/>
      <c r="V38" s="3" t="inlineStr">
        <is>
          <t>Seven-year lease of the full 18th floor (12,900 sf). Built In shows 518 total employees (just over 500), HQ San Francisco, NYC office listed without a street. Near-miss on size.</t>
        </is>
      </c>
      <c r="W38" t="inlineStr">
        <is>
          <t>2026-10-23</t>
        </is>
      </c>
      <c r="X38" t="inlineStr">
        <is>
          <t>unknown</t>
        </is>
      </c>
      <c r="Y38" t="inlineStr">
        <is>
          <t>near-miss-over-500</t>
        </is>
      </c>
      <c r="Z38" t="inlineStr">
        <is>
          <t>occupancy-unconfirmed</t>
        </is>
      </c>
      <c r="AA38" t="inlineStr"/>
      <c r="AB38" t="inlineStr">
        <is>
          <t>2026-10-23</t>
        </is>
      </c>
      <c r="AC38" s="3" t="inlineStr"/>
      <c r="AD38" t="inlineStr">
        <is>
          <t>leasing-press</t>
        </is>
      </c>
      <c r="AE38" t="inlineStr"/>
      <c r="AF38" t="inlineStr">
        <is>
          <t>no-coworking-in-building</t>
        </is>
      </c>
      <c r="AG38" t="inlineStr">
        <is>
          <t>1008767504</t>
        </is>
      </c>
      <c r="AH38" t="n">
        <v>0</v>
      </c>
      <c r="AI38" t="inlineStr">
        <is>
          <t>12,900 sf</t>
        </is>
      </c>
      <c r="AJ38" t="inlineStr">
        <is>
          <t>S2</t>
        </is>
      </c>
      <c r="AK38" s="3" t="inlineStr">
        <is>
          <t>Over 500 company-wide (Built In shows 518, just over 500)</t>
        </is>
      </c>
    </row>
    <row r="39">
      <c r="A39" t="inlineStr">
        <is>
          <t>B-C-216</t>
        </is>
      </c>
      <c r="B39" t="inlineStr">
        <is>
          <t>Reaktor</t>
        </is>
      </c>
      <c r="C39" s="2" t="inlineStr">
        <is>
          <t>https://www.reaktor.com</t>
        </is>
      </c>
      <c r="D39" t="inlineStr">
        <is>
          <t>software and design consultancy</t>
        </is>
      </c>
      <c r="E39" t="inlineStr">
        <is>
          <t>B-B-033</t>
        </is>
      </c>
      <c r="F39" t="inlineStr">
        <is>
          <t>30 West 21st Street</t>
        </is>
      </c>
      <c r="G39" t="inlineStr">
        <is>
          <t>14</t>
        </is>
      </c>
      <c r="H39" t="inlineStr">
        <is>
          <t>10010</t>
        </is>
      </c>
      <c r="I39" t="n">
        <v>40.74082</v>
      </c>
      <c r="J39" t="n">
        <v>-73.992366</v>
      </c>
      <c r="K39" t="inlineStr">
        <is>
          <t>Y</t>
        </is>
      </c>
      <c r="L39" t="inlineStr">
        <is>
          <t>over-500</t>
        </is>
      </c>
      <c r="M39" t="inlineStr">
        <is>
          <t>whole-company</t>
        </is>
      </c>
      <c r="N39" s="2" t="inlineStr">
        <is>
          <t>https://www.builtinnyc.com/company/reaktor</t>
        </is>
      </c>
      <c r="O39" s="2" t="inlineStr">
        <is>
          <t>https://www.builtinnyc.com/company/reaktor/offices</t>
        </is>
      </c>
      <c r="P39" t="inlineStr">
        <is>
          <t>2026-10-23</t>
        </is>
      </c>
      <c r="Q39" s="2" t="inlineStr">
        <is>
          <t>https://commercialobserver.com/2025/04/actively-ai-lease-30-west-21st-street/</t>
        </is>
      </c>
      <c r="R39" t="inlineStr">
        <is>
          <t>high</t>
        </is>
      </c>
      <c r="S39" t="inlineStr">
        <is>
          <t>N</t>
        </is>
      </c>
      <c r="T39" t="inlineStr"/>
      <c r="U39" t="inlineStr"/>
      <c r="V39" s="3" t="inlineStr">
        <is>
          <t>Built In lists New York office at 30 W 21st Street, 14th floor; CO Apr 2025 names software company Reaktor as a tenant. Built In shows 644 total employees (Helsinki-based); NYC office likely far smaller but not sourced.</t>
        </is>
      </c>
      <c r="W39" t="inlineStr">
        <is>
          <t>2026-10-23</t>
        </is>
      </c>
      <c r="X39" t="inlineStr">
        <is>
          <t>unknown</t>
        </is>
      </c>
      <c r="Y39" t="inlineStr">
        <is>
          <t>near-miss-over-500</t>
        </is>
      </c>
      <c r="Z39" t="inlineStr">
        <is>
          <t>occupied</t>
        </is>
      </c>
      <c r="AA39" t="inlineStr"/>
      <c r="AB39" t="inlineStr">
        <is>
          <t>2026-10-23</t>
        </is>
      </c>
      <c r="AC39" s="3" t="inlineStr"/>
      <c r="AD39" t="inlineStr">
        <is>
          <t>builtin</t>
        </is>
      </c>
      <c r="AE39" t="inlineStr">
        <is>
          <t>2025-04-14</t>
        </is>
      </c>
      <c r="AF39" t="inlineStr">
        <is>
          <t>no-coworking-in-building</t>
        </is>
      </c>
      <c r="AG39" t="inlineStr">
        <is>
          <t>1008220058</t>
        </is>
      </c>
      <c r="AH39" t="n">
        <v>0</v>
      </c>
      <c r="AI39" t="inlineStr"/>
      <c r="AJ39" t="inlineStr">
        <is>
          <t>S2</t>
        </is>
      </c>
      <c r="AK39" s="3" t="inlineStr">
        <is>
          <t>Over 500 company-wide (Built In shows 644, just over 500)</t>
        </is>
      </c>
    </row>
    <row r="40">
      <c r="A40" t="inlineStr">
        <is>
          <t>B-C-217</t>
        </is>
      </c>
      <c r="B40" t="inlineStr">
        <is>
          <t>Airtable</t>
        </is>
      </c>
      <c r="C40" s="2" t="inlineStr">
        <is>
          <t>https://www.airtable.com</t>
        </is>
      </c>
      <c r="D40" t="inlineStr">
        <is>
          <t>software (no-code database)</t>
        </is>
      </c>
      <c r="E40" t="inlineStr"/>
      <c r="F40" t="inlineStr">
        <is>
          <t>35 East 21st Street</t>
        </is>
      </c>
      <c r="G40" t="inlineStr"/>
      <c r="H40" t="inlineStr"/>
      <c r="I40" t="n">
        <v>40.739614</v>
      </c>
      <c r="J40" t="n">
        <v>-73.988361</v>
      </c>
      <c r="K40" t="inlineStr">
        <is>
          <t>Y</t>
        </is>
      </c>
      <c r="L40" t="inlineStr">
        <is>
          <t>over-500</t>
        </is>
      </c>
      <c r="M40" t="inlineStr">
        <is>
          <t>whole-company</t>
        </is>
      </c>
      <c r="N40" s="2" t="inlineStr">
        <is>
          <t>https://www.builtinnyc.com/company/airtable</t>
        </is>
      </c>
      <c r="O40" s="2" t="inlineStr">
        <is>
          <t>https://www.builtinnyc.com/company/airtable/offices</t>
        </is>
      </c>
      <c r="P40" t="inlineStr">
        <is>
          <t>2026-10-23</t>
        </is>
      </c>
      <c r="Q40" t="inlineStr"/>
      <c r="R40" t="inlineStr">
        <is>
          <t>medium</t>
        </is>
      </c>
      <c r="S40" t="inlineStr">
        <is>
          <t>N</t>
        </is>
      </c>
      <c r="T40" t="inlineStr"/>
      <c r="U40" t="inlineStr"/>
      <c r="V40" s="3" t="inlineStr">
        <is>
          <t>Built In lists a New York office at 35 E 21st St (zip shown as 11226, a Built In typo; the building is in 10010). HQ by WeWork took the whole building in 2018, but CO (Oct 2023) lists 35 E 21st St among WeWork's exits, so treated as not coworking. Built In shows 900 total employees. Over 500.</t>
        </is>
      </c>
      <c r="W40" t="inlineStr">
        <is>
          <t>2026-10-23</t>
        </is>
      </c>
      <c r="X40" t="inlineStr">
        <is>
          <t>unknown</t>
        </is>
      </c>
      <c r="Y40" t="inlineStr">
        <is>
          <t>near-miss-over-500</t>
        </is>
      </c>
      <c r="Z40" t="inlineStr">
        <is>
          <t>occupied</t>
        </is>
      </c>
      <c r="AA40" t="inlineStr"/>
      <c r="AB40" t="inlineStr">
        <is>
          <t>2026-10-23</t>
        </is>
      </c>
      <c r="AC40" s="3" t="inlineStr"/>
      <c r="AD40" t="inlineStr">
        <is>
          <t>builtin</t>
        </is>
      </c>
      <c r="AE40" t="inlineStr"/>
      <c r="AF40" t="inlineStr">
        <is>
          <t>no-coworking-in-building</t>
        </is>
      </c>
      <c r="AG40" t="inlineStr">
        <is>
          <t>1008500025</t>
        </is>
      </c>
      <c r="AH40" t="n">
        <v>0</v>
      </c>
      <c r="AI40" t="inlineStr"/>
      <c r="AJ40" t="inlineStr">
        <is>
          <t>S2</t>
        </is>
      </c>
      <c r="AK40" s="3" t="inlineStr">
        <is>
          <t>Over 500 company-wide</t>
        </is>
      </c>
    </row>
    <row r="41">
      <c r="A41" t="inlineStr">
        <is>
          <t>B-C-218</t>
        </is>
      </c>
      <c r="B41" t="inlineStr">
        <is>
          <t>M&amp;C Saatchi Group (New York)</t>
        </is>
      </c>
      <c r="C41" s="2" t="inlineStr">
        <is>
          <t>https://www.mcsaatchi.com/</t>
        </is>
      </c>
      <c r="D41" t="inlineStr">
        <is>
          <t>Advertising / creative agency</t>
        </is>
      </c>
      <c r="E41" t="inlineStr">
        <is>
          <t>B-B-041</t>
        </is>
      </c>
      <c r="F41" t="inlineStr">
        <is>
          <t>16 West 22nd Street</t>
        </is>
      </c>
      <c r="G41" t="inlineStr">
        <is>
          <t>9</t>
        </is>
      </c>
      <c r="H41" t="inlineStr">
        <is>
          <t>10010</t>
        </is>
      </c>
      <c r="I41" t="n">
        <v>40.741269</v>
      </c>
      <c r="J41" t="n">
        <v>-73.991221</v>
      </c>
      <c r="K41" t="inlineStr">
        <is>
          <t>Y</t>
        </is>
      </c>
      <c r="L41" t="inlineStr">
        <is>
          <t>over-500</t>
        </is>
      </c>
      <c r="M41" t="inlineStr">
        <is>
          <t>whole-company</t>
        </is>
      </c>
      <c r="N41" s="2" t="inlineStr">
        <is>
          <t>https://en.wikipedia.org/wiki/M%26C_Saatchi</t>
        </is>
      </c>
      <c r="O41" s="2" t="inlineStr">
        <is>
          <t>https://www.builtinnyc.com/company/m-c-saatchi-group/offices</t>
        </is>
      </c>
      <c r="P41" t="inlineStr">
        <is>
          <t>2026-10-23</t>
        </is>
      </c>
      <c r="Q41" s="2" t="inlineStr">
        <is>
          <t>https://flatironnomad.nyc/2024/01/03/december-news-roundup-4/</t>
        </is>
      </c>
      <c r="R41" t="inlineStr">
        <is>
          <t>medium</t>
        </is>
      </c>
      <c r="S41" t="inlineStr">
        <is>
          <t>N</t>
        </is>
      </c>
      <c r="T41" t="inlineStr"/>
      <c r="U41" t="inlineStr"/>
      <c r="V41" s="3" t="inlineStr">
        <is>
          <t>Built In (live) lists the New York office at 16 West 22nd Street, 9th Floor. FNP Jan 2024 roundup (citing CRE Connect): 10-yr lease for the entire 9th floor, about 13,000 sf. London-based group; Wikipedia infobox gives 2,003 employees for the whole group (lead says more than 2,400), so near-miss (over-500). NYC office headcount unknown and may itself be in range; founder to confirm. Pin moved at assembly from street index 21.30 to the south frontage of 22th St named by the address (tax lot unchanged; the geocoder had placed it on the far side of the lot).</t>
        </is>
      </c>
      <c r="W41" t="inlineStr">
        <is>
          <t>2026-10-23</t>
        </is>
      </c>
      <c r="X41" t="inlineStr">
        <is>
          <t>unknown</t>
        </is>
      </c>
      <c r="Y41" t="inlineStr">
        <is>
          <t>near-miss-over-500</t>
        </is>
      </c>
      <c r="Z41" t="inlineStr">
        <is>
          <t>occupied</t>
        </is>
      </c>
      <c r="AA41" t="inlineStr"/>
      <c r="AB41" t="inlineStr">
        <is>
          <t>2026-10-24</t>
        </is>
      </c>
      <c r="AC41" s="3" t="inlineStr"/>
      <c r="AD41" t="inlineStr">
        <is>
          <t>builtin</t>
        </is>
      </c>
      <c r="AE41" t="inlineStr">
        <is>
          <t>2024-01-03</t>
        </is>
      </c>
      <c r="AF41" t="inlineStr">
        <is>
          <t>no-coworking-in-building</t>
        </is>
      </c>
      <c r="AG41" t="inlineStr">
        <is>
          <t>1008230029</t>
        </is>
      </c>
      <c r="AH41" t="n">
        <v>0</v>
      </c>
      <c r="AI41" t="inlineStr">
        <is>
          <t>13,000 sf</t>
        </is>
      </c>
      <c r="AJ41" t="inlineStr">
        <is>
          <t>S3</t>
        </is>
      </c>
      <c r="AK41" s="3" t="inlineStr">
        <is>
          <t>Over 500 company-wide</t>
        </is>
      </c>
    </row>
    <row r="42">
      <c r="A42" t="inlineStr">
        <is>
          <t>B-C-219</t>
        </is>
      </c>
      <c r="B42" t="inlineStr">
        <is>
          <t>e.l.f. Beauty</t>
        </is>
      </c>
      <c r="C42" s="2" t="inlineStr">
        <is>
          <t>https://www.elfcosmetics.com</t>
        </is>
      </c>
      <c r="D42" t="inlineStr">
        <is>
          <t>cosmetics brand (NYC office)</t>
        </is>
      </c>
      <c r="E42" t="inlineStr">
        <is>
          <t>B-B-041</t>
        </is>
      </c>
      <c r="F42" t="inlineStr">
        <is>
          <t>16 West 22nd Street</t>
        </is>
      </c>
      <c r="G42" t="inlineStr"/>
      <c r="H42" t="inlineStr">
        <is>
          <t>10010</t>
        </is>
      </c>
      <c r="I42" t="n">
        <v>40.741269</v>
      </c>
      <c r="J42" t="n">
        <v>-73.991221</v>
      </c>
      <c r="K42" t="inlineStr">
        <is>
          <t>Y</t>
        </is>
      </c>
      <c r="L42" t="inlineStr">
        <is>
          <t>over-500</t>
        </is>
      </c>
      <c r="M42" t="inlineStr">
        <is>
          <t>whole-company</t>
        </is>
      </c>
      <c r="N42" s="2" t="inlineStr">
        <is>
          <t>https://www.builtinnyc.com/company/elf-beauty</t>
        </is>
      </c>
      <c r="O42" s="2" t="inlineStr">
        <is>
          <t>https://commercialobserver.com/2024/08/elf-beauty-lease-gfp-real-estate-16-west-22nd-street/</t>
        </is>
      </c>
      <c r="P42" t="inlineStr">
        <is>
          <t>2024-08-27</t>
        </is>
      </c>
      <c r="Q42" t="inlineStr"/>
      <c r="R42" t="inlineStr">
        <is>
          <t>low</t>
        </is>
      </c>
      <c r="S42" t="inlineStr">
        <is>
          <t>N</t>
        </is>
      </c>
      <c r="T42" t="inlineStr"/>
      <c r="U42" t="inlineStr"/>
      <c r="V42" s="3" t="inlineStr">
        <is>
          <t>10-year lease adding 26,000 sf (39,000 sf total) in Aug 2024; in the building since 2020. Source predates 2024-10-23 and not re-confirmed. Built In shows 1,096 total employees, HQ Oakland CA. Over 500. Pin moved at assembly from street index 21.30 to the south frontage of 22th St named by the address (tax lot unchanged; the geocoder had placed it on the far side of the lot).</t>
        </is>
      </c>
      <c r="W42" t="inlineStr">
        <is>
          <t>2026-10-23</t>
        </is>
      </c>
      <c r="X42" t="inlineStr">
        <is>
          <t>unknown</t>
        </is>
      </c>
      <c r="Y42" t="inlineStr">
        <is>
          <t>near-miss-over-500</t>
        </is>
      </c>
      <c r="Z42" t="inlineStr">
        <is>
          <t>occupied</t>
        </is>
      </c>
      <c r="AA42" t="inlineStr"/>
      <c r="AB42" t="inlineStr">
        <is>
          <t>2026-10-23</t>
        </is>
      </c>
      <c r="AC42" s="3" t="inlineStr"/>
      <c r="AD42" t="inlineStr">
        <is>
          <t>leasing-press</t>
        </is>
      </c>
      <c r="AE42" t="inlineStr"/>
      <c r="AF42" t="inlineStr">
        <is>
          <t>no-coworking-in-building</t>
        </is>
      </c>
      <c r="AG42" t="inlineStr">
        <is>
          <t>1008230029</t>
        </is>
      </c>
      <c r="AH42" t="n">
        <v>0</v>
      </c>
      <c r="AI42" t="inlineStr">
        <is>
          <t>26,000 sf; 39,000 sf</t>
        </is>
      </c>
      <c r="AJ42" t="inlineStr">
        <is>
          <t>S2</t>
        </is>
      </c>
      <c r="AK42" s="3" t="inlineStr">
        <is>
          <t>Over 500 company-wide</t>
        </is>
      </c>
    </row>
    <row r="43">
      <c r="A43" t="inlineStr">
        <is>
          <t>B-C-220</t>
        </is>
      </c>
      <c r="B43" t="inlineStr">
        <is>
          <t>FanDuel</t>
        </is>
      </c>
      <c r="C43" s="2" t="inlineStr">
        <is>
          <t>https://www.fanduel.com/</t>
        </is>
      </c>
      <c r="D43" t="inlineStr">
        <is>
          <t>Sports betting / gaming technology</t>
        </is>
      </c>
      <c r="E43" t="inlineStr">
        <is>
          <t>B-B-044</t>
        </is>
      </c>
      <c r="F43" t="inlineStr">
        <is>
          <t>300 Park Avenue South</t>
        </is>
      </c>
      <c r="G43" t="inlineStr">
        <is>
          <t>unknown</t>
        </is>
      </c>
      <c r="H43" t="inlineStr">
        <is>
          <t>10010</t>
        </is>
      </c>
      <c r="I43" t="n">
        <v>40.739848</v>
      </c>
      <c r="J43" t="n">
        <v>-73.987027</v>
      </c>
      <c r="K43" t="inlineStr">
        <is>
          <t>Y</t>
        </is>
      </c>
      <c r="L43" t="inlineStr">
        <is>
          <t>over-500</t>
        </is>
      </c>
      <c r="M43" t="inlineStr">
        <is>
          <t>whole-company</t>
        </is>
      </c>
      <c r="N43" s="2" t="inlineStr">
        <is>
          <t>https://www.builtinnyc.com/company/fanduel/offices</t>
        </is>
      </c>
      <c r="O43" s="2" t="inlineStr">
        <is>
          <t>https://rockrose.com/office/300-park-ave-s/</t>
        </is>
      </c>
      <c r="P43" t="inlineStr">
        <is>
          <t>2026-10-23</t>
        </is>
      </c>
      <c r="Q43" s="2" t="inlineStr">
        <is>
          <t>https://www.builtinnyc.com/company/fanduel/offices</t>
        </is>
      </c>
      <c r="R43" t="inlineStr">
        <is>
          <t>high</t>
        </is>
      </c>
      <c r="S43" t="inlineStr">
        <is>
          <t>N</t>
        </is>
      </c>
      <c r="T43" t="inlineStr"/>
      <c r="U43" t="inlineStr"/>
      <c r="V43" s="3" t="inlineStr">
        <is>
          <t>Rockrose building page (live, undated) lists FanDuel as a major office tenant. Built In lists HQ '290 Park Avenue South' (same tax lot as 300 PAS) and 3,693 total employees. Near-miss (over-500).</t>
        </is>
      </c>
      <c r="W43" t="inlineStr">
        <is>
          <t>2026-10-23</t>
        </is>
      </c>
      <c r="X43" t="inlineStr">
        <is>
          <t>security desk</t>
        </is>
      </c>
      <c r="Y43" t="inlineStr">
        <is>
          <t>near-miss-over-500</t>
        </is>
      </c>
      <c r="Z43" t="inlineStr">
        <is>
          <t>occupied</t>
        </is>
      </c>
      <c r="AA43" t="inlineStr"/>
      <c r="AB43" t="inlineStr">
        <is>
          <t>2026-10-23</t>
        </is>
      </c>
      <c r="AC43" s="3" t="inlineStr"/>
      <c r="AD43" t="inlineStr">
        <is>
          <t>building-site</t>
        </is>
      </c>
      <c r="AE43" t="inlineStr">
        <is>
          <t>2026-10-23</t>
        </is>
      </c>
      <c r="AF43" t="inlineStr">
        <is>
          <t>no-coworking-in-building</t>
        </is>
      </c>
      <c r="AG43" t="inlineStr">
        <is>
          <t>1008510035</t>
        </is>
      </c>
      <c r="AH43" t="n">
        <v>0</v>
      </c>
      <c r="AI43" t="inlineStr"/>
      <c r="AJ43" t="inlineStr">
        <is>
          <t>S3</t>
        </is>
      </c>
      <c r="AK43" s="3" t="inlineStr">
        <is>
          <t>Over 500 company-wide</t>
        </is>
      </c>
    </row>
    <row r="44">
      <c r="A44" t="inlineStr">
        <is>
          <t>B-C-221</t>
        </is>
      </c>
      <c r="B44" t="inlineStr">
        <is>
          <t>BuzzFeed</t>
        </is>
      </c>
      <c r="C44" s="2" t="inlineStr">
        <is>
          <t>https://www.buzzfeed.com/</t>
        </is>
      </c>
      <c r="D44" t="inlineStr">
        <is>
          <t>Digital media</t>
        </is>
      </c>
      <c r="E44" t="inlineStr">
        <is>
          <t>B-B-046</t>
        </is>
      </c>
      <c r="F44" t="inlineStr">
        <is>
          <t>50 West 23rd Street</t>
        </is>
      </c>
      <c r="G44" t="inlineStr">
        <is>
          <t>5 (part) and 6</t>
        </is>
      </c>
      <c r="H44" t="inlineStr">
        <is>
          <t>10010</t>
        </is>
      </c>
      <c r="I44" t="n">
        <v>40.742075</v>
      </c>
      <c r="J44" t="n">
        <v>-73.991811</v>
      </c>
      <c r="K44" t="inlineStr">
        <is>
          <t>Y</t>
        </is>
      </c>
      <c r="L44" t="inlineStr">
        <is>
          <t>over-500</t>
        </is>
      </c>
      <c r="M44" t="inlineStr">
        <is>
          <t>whole-company</t>
        </is>
      </c>
      <c r="N44" s="2" t="inlineStr">
        <is>
          <t>https://www.builtinnyc.com/company/buzzfeed/offices</t>
        </is>
      </c>
      <c r="O44" s="2" t="inlineStr">
        <is>
          <t>https://commercialobserver.com/2025/03/buzfeed-lease-50-west-23rd-street/</t>
        </is>
      </c>
      <c r="P44" t="inlineStr">
        <is>
          <t>2025-03-26</t>
        </is>
      </c>
      <c r="Q44" s="2" t="inlineStr">
        <is>
          <t>https://commercialobserver.com/?p=544473</t>
        </is>
      </c>
      <c r="R44" t="inlineStr">
        <is>
          <t>medium</t>
        </is>
      </c>
      <c r="S44" t="inlineStr">
        <is>
          <t>N</t>
        </is>
      </c>
      <c r="T44" t="inlineStr"/>
      <c r="U44" t="inlineStr"/>
      <c r="V44" s="3" t="inlineStr">
        <is>
          <t>CO Mar 2025: new HQ, 42,210 sf (entire 6th floor plus 11,000 sf on the 5th), moved from 229 W 43rd St. CO Sep 2025 lists BuzzFeed as a current tenant. Built In: 1,789 total employees (profile still shows the old 111 E 18th St address); Wikipedia infobox: 925 employees (Dec 2023). Both counts exceed 500. Near-miss (over-500). | Assembly 2026-10-24: Confidence lowered at assembly from high to medium: second source is the same publisher or missing.</t>
        </is>
      </c>
      <c r="W44" t="inlineStr">
        <is>
          <t>2026-10-23</t>
        </is>
      </c>
      <c r="X44" t="inlineStr">
        <is>
          <t>security desk</t>
        </is>
      </c>
      <c r="Y44" t="inlineStr">
        <is>
          <t>near-miss-over-500</t>
        </is>
      </c>
      <c r="Z44" t="inlineStr">
        <is>
          <t>occupied</t>
        </is>
      </c>
      <c r="AA44" t="inlineStr"/>
      <c r="AB44" t="inlineStr">
        <is>
          <t>2026-10-23</t>
        </is>
      </c>
      <c r="AC44" s="3" t="inlineStr"/>
      <c r="AD44" t="inlineStr">
        <is>
          <t>leasing-press</t>
        </is>
      </c>
      <c r="AE44" t="inlineStr">
        <is>
          <t>2025-09-09</t>
        </is>
      </c>
      <c r="AF44" t="inlineStr">
        <is>
          <t>no-coworking-in-building</t>
        </is>
      </c>
      <c r="AG44" t="inlineStr">
        <is>
          <t>1008240015</t>
        </is>
      </c>
      <c r="AH44" t="n">
        <v>0</v>
      </c>
      <c r="AI44" t="inlineStr">
        <is>
          <t>42,210 sf; 11,000 sf</t>
        </is>
      </c>
      <c r="AJ44" t="inlineStr">
        <is>
          <t>S3</t>
        </is>
      </c>
      <c r="AK44" s="3" t="inlineStr">
        <is>
          <t>Over 500 company-wide</t>
        </is>
      </c>
    </row>
    <row r="45">
      <c r="A45" t="inlineStr">
        <is>
          <t>B-C-222</t>
        </is>
      </c>
      <c r="B45" t="inlineStr">
        <is>
          <t>Instacart</t>
        </is>
      </c>
      <c r="C45" s="2" t="inlineStr">
        <is>
          <t>https://www.instacart.com/</t>
        </is>
      </c>
      <c r="D45" t="inlineStr">
        <is>
          <t>Grocery delivery technology</t>
        </is>
      </c>
      <c r="E45" t="inlineStr">
        <is>
          <t>B-B-046</t>
        </is>
      </c>
      <c r="F45" t="inlineStr">
        <is>
          <t>50 West 23rd Street</t>
        </is>
      </c>
      <c r="G45" t="inlineStr">
        <is>
          <t>unknown</t>
        </is>
      </c>
      <c r="H45" t="inlineStr">
        <is>
          <t>10010</t>
        </is>
      </c>
      <c r="I45" t="n">
        <v>40.742075</v>
      </c>
      <c r="J45" t="n">
        <v>-73.991811</v>
      </c>
      <c r="K45" t="inlineStr">
        <is>
          <t>Y</t>
        </is>
      </c>
      <c r="L45" t="inlineStr">
        <is>
          <t>over-500</t>
        </is>
      </c>
      <c r="M45" t="inlineStr">
        <is>
          <t>whole-company</t>
        </is>
      </c>
      <c r="N45" s="2" t="inlineStr">
        <is>
          <t>https://www.builtinnyc.com/company/instacart/offices</t>
        </is>
      </c>
      <c r="O45" s="2" t="inlineStr">
        <is>
          <t>https://nyrej.com/index.php/two-new-leases-signed-at-50-west-23rd-st</t>
        </is>
      </c>
      <c r="P45" t="inlineStr">
        <is>
          <t>2025-10-14</t>
        </is>
      </c>
      <c r="Q45" s="2" t="inlineStr">
        <is>
          <t>https://commercialobserver.com/2026/07/instacart-lease-esrt-111-west-33rd-street/</t>
        </is>
      </c>
      <c r="R45" t="inlineStr">
        <is>
          <t>low</t>
        </is>
      </c>
      <c r="S45" t="inlineStr">
        <is>
          <t>N</t>
        </is>
      </c>
      <c r="T45" t="inlineStr"/>
      <c r="U45" t="inlineStr"/>
      <c r="V45" s="3" t="inlineStr">
        <is>
          <t>Named as an existing tenant at 50 W 23rd St in the Two Trees Oct 2025 release (NYREJ). CO Jul 2026: Instacart (21,000 sf sublease at 50 W 23rd since 2023) signed 26,134 sf at 111 W 33rd St; unclear whether it will leave 50 W 23rd. Downgraded to low until confirmed. Built In: 3,000 total employees. HQ San Francisco. Near-miss (over-500). | Assembly 2026-10-24: Conflict carried: CO 2026-07-20 reports a new 26,134 sf lease at 111 W 33rd St; whether it leaves 50 W 23rd is not stated. Kept low. Over 500: near-miss.</t>
        </is>
      </c>
      <c r="W45" t="inlineStr">
        <is>
          <t>2026-10-23</t>
        </is>
      </c>
      <c r="X45" t="inlineStr">
        <is>
          <t>security desk</t>
        </is>
      </c>
      <c r="Y45" t="inlineStr">
        <is>
          <t>near-miss-over-500</t>
        </is>
      </c>
      <c r="Z45" t="inlineStr">
        <is>
          <t>moving-out</t>
        </is>
      </c>
      <c r="AA45" t="inlineStr">
        <is>
          <t>unknown</t>
        </is>
      </c>
      <c r="AB45" t="inlineStr">
        <is>
          <t>2026-10-23</t>
        </is>
      </c>
      <c r="AC45" s="3" t="inlineStr"/>
      <c r="AD45" t="inlineStr">
        <is>
          <t>leasing-press</t>
        </is>
      </c>
      <c r="AE45" t="inlineStr">
        <is>
          <t>2026-07-20</t>
        </is>
      </c>
      <c r="AF45" t="inlineStr">
        <is>
          <t>no-coworking-in-building</t>
        </is>
      </c>
      <c r="AG45" t="inlineStr">
        <is>
          <t>1008240015</t>
        </is>
      </c>
      <c r="AH45" t="n">
        <v>0</v>
      </c>
      <c r="AI45" t="inlineStr">
        <is>
          <t>21,000 sf; 26,134 sf</t>
        </is>
      </c>
      <c r="AJ45" t="inlineStr">
        <is>
          <t>S3</t>
        </is>
      </c>
      <c r="AK45" s="3" t="inlineStr">
        <is>
          <t>Over 500 company-wide</t>
        </is>
      </c>
    </row>
    <row r="46">
      <c r="A46" t="inlineStr">
        <is>
          <t>B-C-223</t>
        </is>
      </c>
      <c r="B46" t="inlineStr">
        <is>
          <t>MSQ Partners</t>
        </is>
      </c>
      <c r="C46" s="2" t="inlineStr">
        <is>
          <t>https://www.msqpartners.com/</t>
        </is>
      </c>
      <c r="D46" t="inlineStr">
        <is>
          <t>Marketing / creative agency</t>
        </is>
      </c>
      <c r="E46" t="inlineStr">
        <is>
          <t>B-B-046</t>
        </is>
      </c>
      <c r="F46" t="inlineStr">
        <is>
          <t>50 West 23rd Street</t>
        </is>
      </c>
      <c r="G46" t="inlineStr">
        <is>
          <t>8 and part of 7</t>
        </is>
      </c>
      <c r="H46" t="inlineStr">
        <is>
          <t>10010</t>
        </is>
      </c>
      <c r="I46" t="n">
        <v>40.742075</v>
      </c>
      <c r="J46" t="n">
        <v>-73.991811</v>
      </c>
      <c r="K46" t="inlineStr">
        <is>
          <t>Y</t>
        </is>
      </c>
      <c r="L46" t="inlineStr">
        <is>
          <t>over-500</t>
        </is>
      </c>
      <c r="M46" t="inlineStr">
        <is>
          <t>whole-company</t>
        </is>
      </c>
      <c r="N46" s="2" t="inlineStr">
        <is>
          <t>https://www.msqpartners.com/about</t>
        </is>
      </c>
      <c r="O46" s="2" t="inlineStr">
        <is>
          <t>https://commercialobserver.com/?p=544473</t>
        </is>
      </c>
      <c r="P46" t="inlineStr">
        <is>
          <t>2025-09-09</t>
        </is>
      </c>
      <c r="Q46" s="2" t="inlineStr">
        <is>
          <t>https://nyrej.com/index.php/two-new-leases-signed-at-50-west-23rd-st</t>
        </is>
      </c>
      <c r="R46" t="inlineStr">
        <is>
          <t>medium</t>
        </is>
      </c>
      <c r="S46" t="inlineStr">
        <is>
          <t>N</t>
        </is>
      </c>
      <c r="T46" t="inlineStr"/>
      <c r="U46" t="inlineStr"/>
      <c r="V46" s="3" t="inlineStr">
        <is>
          <t>CO Sep 2025: 10-yr lease, 38,273 sf, entire 8th floor and part of the 7th; MSQ North America's president calls it the North American headquarters. NYREJ repeats the same landlord release. London-based group; its About page (live) gives '1850+' people across 24 global offices, so the company is over 500 (near-miss). New York headcount not stated.</t>
        </is>
      </c>
      <c r="W46" t="inlineStr">
        <is>
          <t>2026-10-23</t>
        </is>
      </c>
      <c r="X46" t="inlineStr">
        <is>
          <t>security desk</t>
        </is>
      </c>
      <c r="Y46" t="inlineStr">
        <is>
          <t>near-miss-over-500</t>
        </is>
      </c>
      <c r="Z46" t="inlineStr">
        <is>
          <t>occupancy-unconfirmed</t>
        </is>
      </c>
      <c r="AA46" t="inlineStr"/>
      <c r="AB46" t="inlineStr">
        <is>
          <t>2026-10-24</t>
        </is>
      </c>
      <c r="AC46" s="3" t="inlineStr"/>
      <c r="AD46" t="inlineStr">
        <is>
          <t>leasing-press</t>
        </is>
      </c>
      <c r="AE46" t="inlineStr">
        <is>
          <t>2025-10-14</t>
        </is>
      </c>
      <c r="AF46" t="inlineStr">
        <is>
          <t>no-coworking-in-building</t>
        </is>
      </c>
      <c r="AG46" t="inlineStr">
        <is>
          <t>1008240015</t>
        </is>
      </c>
      <c r="AH46" t="n">
        <v>0</v>
      </c>
      <c r="AI46" t="inlineStr">
        <is>
          <t>38,273 sf</t>
        </is>
      </c>
      <c r="AJ46" t="inlineStr">
        <is>
          <t>S3</t>
        </is>
      </c>
      <c r="AK46" s="3" t="inlineStr">
        <is>
          <t>Over 500 company-wide; the NYC office alone may fit the 40-250 band, founder to confirm</t>
        </is>
      </c>
    </row>
    <row r="47">
      <c r="A47" t="inlineStr">
        <is>
          <t>B-C-224</t>
        </is>
      </c>
      <c r="B47" t="inlineStr">
        <is>
          <t>Trustpilot</t>
        </is>
      </c>
      <c r="C47" s="2" t="inlineStr">
        <is>
          <t>https://www.trustpilot.com/</t>
        </is>
      </c>
      <c r="D47" t="inlineStr">
        <is>
          <t>Consumer review platform</t>
        </is>
      </c>
      <c r="E47" t="inlineStr">
        <is>
          <t>B-B-046</t>
        </is>
      </c>
      <c r="F47" t="inlineStr">
        <is>
          <t>50 West 23rd Street</t>
        </is>
      </c>
      <c r="G47" t="inlineStr">
        <is>
          <t>unknown</t>
        </is>
      </c>
      <c r="H47" t="inlineStr">
        <is>
          <t>10010</t>
        </is>
      </c>
      <c r="I47" t="n">
        <v>40.742075</v>
      </c>
      <c r="J47" t="n">
        <v>-73.991811</v>
      </c>
      <c r="K47" t="inlineStr">
        <is>
          <t>Y</t>
        </is>
      </c>
      <c r="L47" t="inlineStr">
        <is>
          <t>over-500</t>
        </is>
      </c>
      <c r="M47" t="inlineStr">
        <is>
          <t>whole-company</t>
        </is>
      </c>
      <c r="N47" s="2" t="inlineStr">
        <is>
          <t>https://www.builtinnyc.com/company/trustpilot/offices</t>
        </is>
      </c>
      <c r="O47" s="2" t="inlineStr">
        <is>
          <t>https://nyrej.com/index.php/two-new-leases-signed-at-50-west-23rd-st</t>
        </is>
      </c>
      <c r="P47" t="inlineStr">
        <is>
          <t>2025-10-14</t>
        </is>
      </c>
      <c r="Q47" s="2" t="inlineStr">
        <is>
          <t>https://www.builtinnyc.com/company/trustpilot/offices</t>
        </is>
      </c>
      <c r="R47" t="inlineStr">
        <is>
          <t>medium</t>
        </is>
      </c>
      <c r="S47" t="inlineStr">
        <is>
          <t>N</t>
        </is>
      </c>
      <c r="T47" t="inlineStr"/>
      <c r="U47" t="inlineStr"/>
      <c r="V47" s="3" t="inlineStr">
        <is>
          <t>NYREJ Oct 2025 lists Trustpilot as an existing tenant at 50 W 23rd (Two Trees release). Built In describes its New York office as near Madison Square Park (no street). Built In: 950 total employees; Wikipedia: c. 1,000 (2025). Near-miss (over-500).</t>
        </is>
      </c>
      <c r="W47" t="inlineStr">
        <is>
          <t>2026-10-23</t>
        </is>
      </c>
      <c r="X47" t="inlineStr">
        <is>
          <t>security desk</t>
        </is>
      </c>
      <c r="Y47" t="inlineStr">
        <is>
          <t>near-miss-over-500</t>
        </is>
      </c>
      <c r="Z47" t="inlineStr">
        <is>
          <t>occupied</t>
        </is>
      </c>
      <c r="AA47" t="inlineStr"/>
      <c r="AB47" t="inlineStr">
        <is>
          <t>2026-10-23</t>
        </is>
      </c>
      <c r="AC47" s="3" t="inlineStr"/>
      <c r="AD47" t="inlineStr">
        <is>
          <t>leasing-press</t>
        </is>
      </c>
      <c r="AE47" t="inlineStr">
        <is>
          <t>2026-10-23</t>
        </is>
      </c>
      <c r="AF47" t="inlineStr">
        <is>
          <t>no-coworking-in-building</t>
        </is>
      </c>
      <c r="AG47" t="inlineStr">
        <is>
          <t>1008240015</t>
        </is>
      </c>
      <c r="AH47" t="n">
        <v>0</v>
      </c>
      <c r="AI47" t="inlineStr"/>
      <c r="AJ47" t="inlineStr">
        <is>
          <t>S3</t>
        </is>
      </c>
      <c r="AK47" s="3" t="inlineStr">
        <is>
          <t>Over 500 company-wide</t>
        </is>
      </c>
    </row>
    <row r="48">
      <c r="A48" t="inlineStr">
        <is>
          <t>B-C-225</t>
        </is>
      </c>
      <c r="B48" t="inlineStr">
        <is>
          <t>Ramp</t>
        </is>
      </c>
      <c r="C48" s="2" t="inlineStr">
        <is>
          <t>https://ramp.com/</t>
        </is>
      </c>
      <c r="D48" t="inlineStr">
        <is>
          <t>Fintech (corporate cards and spend)</t>
        </is>
      </c>
      <c r="E48" t="inlineStr"/>
      <c r="F48" t="inlineStr">
        <is>
          <t>28 West 23rd Street</t>
        </is>
      </c>
      <c r="G48" t="inlineStr">
        <is>
          <t>multiple (285,300 sf)</t>
        </is>
      </c>
      <c r="H48" t="inlineStr">
        <is>
          <t>10010</t>
        </is>
      </c>
      <c r="I48" t="n">
        <v>40.741817</v>
      </c>
      <c r="J48" t="n">
        <v>-73.990988</v>
      </c>
      <c r="K48" t="inlineStr">
        <is>
          <t>Y</t>
        </is>
      </c>
      <c r="L48" t="inlineStr">
        <is>
          <t>over-500</t>
        </is>
      </c>
      <c r="M48" t="inlineStr">
        <is>
          <t>whole-company</t>
        </is>
      </c>
      <c r="N48" s="2" t="inlineStr">
        <is>
          <t>https://en.wikipedia.org/wiki/Ramp_(company)</t>
        </is>
      </c>
      <c r="O48" s="2" t="inlineStr">
        <is>
          <t>https://commercialobserver.com/2026/04/manhattan-office-leasing-2026-class-a/</t>
        </is>
      </c>
      <c r="P48" t="inlineStr">
        <is>
          <t>2026-04</t>
        </is>
      </c>
      <c r="Q48" s="2" t="inlineStr">
        <is>
          <t>https://www.metro-manhattan.com/neighborhoods/midtown-south/flatiron/</t>
        </is>
      </c>
      <c r="R48" t="inlineStr">
        <is>
          <t>high</t>
        </is>
      </c>
      <c r="S48" t="inlineStr">
        <is>
          <t>N</t>
        </is>
      </c>
      <c r="T48" t="inlineStr"/>
      <c r="U48" t="inlineStr"/>
      <c r="V48" s="3" t="inlineStr">
        <is>
          <t>CO Apr 2026 (Colliers Q1 data): Ramp's 285,303 sf lease at Williams Equities' 28 and 40 West 23rd Street was among the quarter's largest. Metro Manhattan broker page (Jun 2026) independently reports the same expansion. Ramp's site showed no street address. Wikipedia: 1,200 employees (2025), HQ New York City. Near-miss (over-500).</t>
        </is>
      </c>
      <c r="W48" t="inlineStr">
        <is>
          <t>2026-10-23</t>
        </is>
      </c>
      <c r="X48" t="inlineStr">
        <is>
          <t>security desk</t>
        </is>
      </c>
      <c r="Y48" t="inlineStr">
        <is>
          <t>near-miss-over-500</t>
        </is>
      </c>
      <c r="Z48" t="inlineStr">
        <is>
          <t>occupied</t>
        </is>
      </c>
      <c r="AA48" t="inlineStr"/>
      <c r="AB48" t="inlineStr">
        <is>
          <t>2026-10-23</t>
        </is>
      </c>
      <c r="AC48" s="3" t="inlineStr"/>
      <c r="AD48" t="inlineStr">
        <is>
          <t>leasing-press</t>
        </is>
      </c>
      <c r="AE48" t="inlineStr">
        <is>
          <t>2026-06</t>
        </is>
      </c>
      <c r="AF48" t="inlineStr">
        <is>
          <t>no-coworking-in-building</t>
        </is>
      </c>
      <c r="AG48" t="inlineStr">
        <is>
          <t>1008240028</t>
        </is>
      </c>
      <c r="AH48" t="n">
        <v>0</v>
      </c>
      <c r="AI48" t="inlineStr">
        <is>
          <t>285,303 sf</t>
        </is>
      </c>
      <c r="AJ48" t="inlineStr">
        <is>
          <t>S3</t>
        </is>
      </c>
      <c r="AK48" s="3" t="inlineStr">
        <is>
          <t>Over 500 company-wide</t>
        </is>
      </c>
    </row>
    <row r="49">
      <c r="A49" t="inlineStr">
        <is>
          <t>B-C-226</t>
        </is>
      </c>
      <c r="B49" t="inlineStr">
        <is>
          <t>IMG Worldwide (WME Group)</t>
        </is>
      </c>
      <c r="C49" s="2" t="inlineStr">
        <is>
          <t>https://www.img.com</t>
        </is>
      </c>
      <c r="D49" t="inlineStr">
        <is>
          <t>talent and modeling agency</t>
        </is>
      </c>
      <c r="E49" t="inlineStr"/>
      <c r="F49" t="inlineStr">
        <is>
          <t>304 Park Avenue South</t>
        </is>
      </c>
      <c r="G49" t="inlineStr">
        <is>
          <t>part 2, 8-12, PH</t>
        </is>
      </c>
      <c r="H49" t="inlineStr"/>
      <c r="I49" t="n">
        <v>40.740159</v>
      </c>
      <c r="J49" t="n">
        <v>-73.98697900000001</v>
      </c>
      <c r="K49" t="inlineStr">
        <is>
          <t>Y</t>
        </is>
      </c>
      <c r="L49" t="inlineStr">
        <is>
          <t>over-500</t>
        </is>
      </c>
      <c r="M49" t="inlineStr">
        <is>
          <t>whole-company</t>
        </is>
      </c>
      <c r="N49" s="2" t="inlineStr">
        <is>
          <t>https://en.wikipedia.org/wiki/IMG_(company)</t>
        </is>
      </c>
      <c r="O49" s="2" t="inlineStr">
        <is>
          <t>https://commercialobserver.com/2026/09/img-worldwide-lease-renewal-304-park-avenue-south/</t>
        </is>
      </c>
      <c r="P49" t="inlineStr">
        <is>
          <t>2026-09-16</t>
        </is>
      </c>
      <c r="Q49" s="2" t="inlineStr">
        <is>
          <t>https://therealdeal.com/new-york/2026/10/07/new-york-citys-top-office-leases-in-september/</t>
        </is>
      </c>
      <c r="R49" t="inlineStr">
        <is>
          <t>medium</t>
        </is>
      </c>
      <c r="S49" t="inlineStr">
        <is>
          <t>N</t>
        </is>
      </c>
      <c r="T49" t="inlineStr"/>
      <c r="U49" t="inlineStr"/>
      <c r="V49" s="3" t="inlineStr">
        <is>
          <t>Five-year renewal of 90,202 sf (Sept 2026); occupies part of floor 2, floors 8-12 and a penthouse in this building between E 22nd and E 23rd St (margin). Part of WME Group; likely large but headcount not sourced. | Assembly 2026-10-24: Band set at assembly to over-500 from Wikipedia infobox: '3,000+' employees (no year given). The NYC office size is unknown; the NYC office alone may fit, founder to confirm.</t>
        </is>
      </c>
      <c r="W49" t="inlineStr">
        <is>
          <t>2026-10-23</t>
        </is>
      </c>
      <c r="X49" t="inlineStr">
        <is>
          <t>unknown</t>
        </is>
      </c>
      <c r="Y49" t="inlineStr">
        <is>
          <t>near-miss-over-500</t>
        </is>
      </c>
      <c r="Z49" t="inlineStr">
        <is>
          <t>occupied</t>
        </is>
      </c>
      <c r="AA49" t="inlineStr"/>
      <c r="AB49" t="inlineStr">
        <is>
          <t>2026-10-24</t>
        </is>
      </c>
      <c r="AC49" s="3" t="inlineStr"/>
      <c r="AD49" t="inlineStr">
        <is>
          <t>leasing-press</t>
        </is>
      </c>
      <c r="AE49" t="inlineStr">
        <is>
          <t>2026-10-07</t>
        </is>
      </c>
      <c r="AF49" t="inlineStr">
        <is>
          <t>no-coworking-in-building</t>
        </is>
      </c>
      <c r="AG49" t="inlineStr">
        <is>
          <t>1008510041</t>
        </is>
      </c>
      <c r="AH49" t="n">
        <v>0</v>
      </c>
      <c r="AI49" t="inlineStr">
        <is>
          <t>90,202 sf</t>
        </is>
      </c>
      <c r="AJ49" t="inlineStr">
        <is>
          <t>S2</t>
        </is>
      </c>
      <c r="AK49" s="3" t="inlineStr">
        <is>
          <t>Over 500 company-wide</t>
        </is>
      </c>
    </row>
    <row r="50">
      <c r="A50" t="inlineStr">
        <is>
          <t>B-C-227</t>
        </is>
      </c>
      <c r="B50" t="inlineStr">
        <is>
          <t>Huge</t>
        </is>
      </c>
      <c r="C50" s="2" t="inlineStr">
        <is>
          <t>https://www.hugeinc.com/</t>
        </is>
      </c>
      <c r="D50" t="inlineStr">
        <is>
          <t>Design and technology agency</t>
        </is>
      </c>
      <c r="E50" t="inlineStr">
        <is>
          <t>B-B-050</t>
        </is>
      </c>
      <c r="F50" t="inlineStr">
        <is>
          <t>53 West 23rd Street</t>
        </is>
      </c>
      <c r="G50" t="inlineStr">
        <is>
          <t>8</t>
        </is>
      </c>
      <c r="H50" t="inlineStr">
        <is>
          <t>10010</t>
        </is>
      </c>
      <c r="I50" t="n">
        <v>40.742807</v>
      </c>
      <c r="J50" t="n">
        <v>-73.99144699999999</v>
      </c>
      <c r="K50" t="inlineStr">
        <is>
          <t>Y</t>
        </is>
      </c>
      <c r="L50" t="inlineStr">
        <is>
          <t>over-500</t>
        </is>
      </c>
      <c r="M50" t="inlineStr">
        <is>
          <t>whole-company</t>
        </is>
      </c>
      <c r="N50" s="2" t="inlineStr">
        <is>
          <t>https://www.builtinnyc.com/company/huge/offices</t>
        </is>
      </c>
      <c r="O50" s="2" t="inlineStr">
        <is>
          <t>https://commercialobserver.com/2025/10/huge-lease-adams-53-west-23rd-street/</t>
        </is>
      </c>
      <c r="P50" t="inlineStr">
        <is>
          <t>2025-10-02</t>
        </is>
      </c>
      <c r="Q50" s="2" t="inlineStr">
        <is>
          <t>https://flatironnomad.nyc/2025/11/05/october-news-roundup-6/</t>
        </is>
      </c>
      <c r="R50" t="inlineStr">
        <is>
          <t>medium</t>
        </is>
      </c>
      <c r="S50" t="inlineStr">
        <is>
          <t>N</t>
        </is>
      </c>
      <c r="T50" t="inlineStr"/>
      <c r="U50" t="inlineStr"/>
      <c r="V50" s="3" t="inlineStr">
        <is>
          <t>CO Oct 2025: 10-yr lease, entire 8th floor (16,909 sf), consolidating Huge (from 77 Sands St, Dumbo) and Hero Digital (from 500 Park Ave). Move-in date not stated. Built In still shows Dumbo HQ and 1,430 total employees. Near-miss (over-500).</t>
        </is>
      </c>
      <c r="W50" t="inlineStr">
        <is>
          <t>2026-10-23</t>
        </is>
      </c>
      <c r="X50" t="inlineStr">
        <is>
          <t>security desk</t>
        </is>
      </c>
      <c r="Y50" t="inlineStr">
        <is>
          <t>near-miss-over-500</t>
        </is>
      </c>
      <c r="Z50" t="inlineStr">
        <is>
          <t>signed-not-occupied</t>
        </is>
      </c>
      <c r="AA50" t="inlineStr">
        <is>
          <t>unknown</t>
        </is>
      </c>
      <c r="AB50" t="inlineStr">
        <is>
          <t>2026-10-23</t>
        </is>
      </c>
      <c r="AC50" s="3" t="inlineStr"/>
      <c r="AD50" t="inlineStr">
        <is>
          <t>leasing-press</t>
        </is>
      </c>
      <c r="AE50" t="inlineStr">
        <is>
          <t>2025-11-05</t>
        </is>
      </c>
      <c r="AF50" t="inlineStr">
        <is>
          <t>no-coworking-in-building</t>
        </is>
      </c>
      <c r="AG50" t="inlineStr">
        <is>
          <t>1008250012</t>
        </is>
      </c>
      <c r="AH50" t="n">
        <v>0</v>
      </c>
      <c r="AI50" t="inlineStr">
        <is>
          <t>16,909 sf</t>
        </is>
      </c>
      <c r="AJ50" t="inlineStr">
        <is>
          <t>S3</t>
        </is>
      </c>
      <c r="AK50" s="3" t="inlineStr">
        <is>
          <t>Over 500 company-wide</t>
        </is>
      </c>
    </row>
    <row r="51">
      <c r="A51" t="inlineStr">
        <is>
          <t>B-C-228</t>
        </is>
      </c>
      <c r="B51" t="inlineStr">
        <is>
          <t>TileBar</t>
        </is>
      </c>
      <c r="C51" s="2" t="inlineStr">
        <is>
          <t>https://www.tilebar.com/</t>
        </is>
      </c>
      <c r="D51" t="inlineStr">
        <is>
          <t>Consumer brand (tile and surfaces) / showroom</t>
        </is>
      </c>
      <c r="E51" t="inlineStr">
        <is>
          <t>B-B-050</t>
        </is>
      </c>
      <c r="F51" t="inlineStr">
        <is>
          <t>53 West 23rd Street</t>
        </is>
      </c>
      <c r="G51" t="inlineStr">
        <is>
          <t>3 and 4</t>
        </is>
      </c>
      <c r="H51" t="inlineStr">
        <is>
          <t>10010</t>
        </is>
      </c>
      <c r="I51" t="n">
        <v>40.742807</v>
      </c>
      <c r="J51" t="n">
        <v>-73.99144699999999</v>
      </c>
      <c r="K51" t="inlineStr">
        <is>
          <t>Y</t>
        </is>
      </c>
      <c r="L51" t="inlineStr">
        <is>
          <t>over-500</t>
        </is>
      </c>
      <c r="M51" t="inlineStr">
        <is>
          <t>whole-company</t>
        </is>
      </c>
      <c r="N51" s="2" t="inlineStr">
        <is>
          <t>https://www.builtinnyc.com/company/tilebar/offices</t>
        </is>
      </c>
      <c r="O51" s="2" t="inlineStr">
        <is>
          <t>https://rebusinessonline.com/tilebar-signs-34000-sf-office-lease-in-manhattans-flatiron-district/</t>
        </is>
      </c>
      <c r="P51" t="inlineStr">
        <is>
          <t>2025-04-18</t>
        </is>
      </c>
      <c r="Q51" s="2" t="inlineStr">
        <is>
          <t>https://commercialobserver.com/2025/10/huge-lease-adams-53-west-23rd-street/</t>
        </is>
      </c>
      <c r="R51" t="inlineStr">
        <is>
          <t>high</t>
        </is>
      </c>
      <c r="S51" t="inlineStr">
        <is>
          <t>N</t>
        </is>
      </c>
      <c r="T51" t="inlineStr"/>
      <c r="U51" t="inlineStr"/>
      <c r="V51" s="3" t="inlineStr">
        <is>
          <t>REBusiness Apr 2025: 34,000 sf office lease, entire 3rd and 4th floors. CO Oct 2025 names TileBar as a current tenant. Built In: 575 total employees, HQ Inwood NY (NYC office still shown as 45 W 21st St). Near-miss (over-500).</t>
        </is>
      </c>
      <c r="W51" t="inlineStr">
        <is>
          <t>2026-10-23</t>
        </is>
      </c>
      <c r="X51" t="inlineStr">
        <is>
          <t>security desk</t>
        </is>
      </c>
      <c r="Y51" t="inlineStr">
        <is>
          <t>near-miss-over-500</t>
        </is>
      </c>
      <c r="Z51" t="inlineStr">
        <is>
          <t>occupied</t>
        </is>
      </c>
      <c r="AA51" t="inlineStr"/>
      <c r="AB51" t="inlineStr">
        <is>
          <t>2026-10-23</t>
        </is>
      </c>
      <c r="AC51" s="3" t="inlineStr"/>
      <c r="AD51" t="inlineStr">
        <is>
          <t>leasing-press</t>
        </is>
      </c>
      <c r="AE51" t="inlineStr">
        <is>
          <t>2025-10-02</t>
        </is>
      </c>
      <c r="AF51" t="inlineStr">
        <is>
          <t>no-coworking-in-building</t>
        </is>
      </c>
      <c r="AG51" t="inlineStr">
        <is>
          <t>1008250012</t>
        </is>
      </c>
      <c r="AH51" t="n">
        <v>0</v>
      </c>
      <c r="AI51" t="inlineStr">
        <is>
          <t>34,000 sf</t>
        </is>
      </c>
      <c r="AJ51" t="inlineStr">
        <is>
          <t>S3</t>
        </is>
      </c>
      <c r="AK51" s="3" t="inlineStr">
        <is>
          <t>Over 500 company-wide (Built In shows 575, just over 500)</t>
        </is>
      </c>
    </row>
    <row r="52">
      <c r="A52" t="inlineStr">
        <is>
          <t>B-C-229</t>
        </is>
      </c>
      <c r="B52" t="inlineStr">
        <is>
          <t>DoorDash</t>
        </is>
      </c>
      <c r="C52" s="2" t="inlineStr">
        <is>
          <t>https://www.doordash.com/</t>
        </is>
      </c>
      <c r="D52" t="inlineStr">
        <is>
          <t>Delivery technology</t>
        </is>
      </c>
      <c r="E52" t="inlineStr"/>
      <c r="F52" t="inlineStr">
        <is>
          <t>200 Fifth Avenue</t>
        </is>
      </c>
      <c r="G52" t="inlineStr">
        <is>
          <t>unknown</t>
        </is>
      </c>
      <c r="H52" t="inlineStr">
        <is>
          <t>10010</t>
        </is>
      </c>
      <c r="I52" t="n">
        <v>40.742166</v>
      </c>
      <c r="J52" t="n">
        <v>-73.989863</v>
      </c>
      <c r="K52" t="inlineStr">
        <is>
          <t>Y</t>
        </is>
      </c>
      <c r="L52" t="inlineStr">
        <is>
          <t>over-500</t>
        </is>
      </c>
      <c r="M52" t="inlineStr">
        <is>
          <t>whole-company</t>
        </is>
      </c>
      <c r="N52" s="2" t="inlineStr">
        <is>
          <t>https://en.wikipedia.org/wiki/DoorDash</t>
        </is>
      </c>
      <c r="O52" s="2" t="inlineStr">
        <is>
          <t>https://therealdeal.com/new-york/2025/04/03/bxps-200-fifth-avenue-lands-law-firm-tenant</t>
        </is>
      </c>
      <c r="P52" t="inlineStr">
        <is>
          <t>2025-04-03</t>
        </is>
      </c>
      <c r="Q52" t="inlineStr"/>
      <c r="R52" t="inlineStr">
        <is>
          <t>medium</t>
        </is>
      </c>
      <c r="S52" t="inlineStr">
        <is>
          <t>N</t>
        </is>
      </c>
      <c r="T52" t="inlineStr"/>
      <c r="U52" t="inlineStr"/>
      <c r="V52" s="3" t="inlineStr">
        <is>
          <t>TRD Apr 2025 lists DoorDash as a tenant at 200 Fifth Ave (FNP Feb 2024 roundup, citing TRD: doubled to 115,000 sf). Wikipedia infobox: 31,400 employees (2025). Near-miss (over-500).</t>
        </is>
      </c>
      <c r="W52" t="inlineStr">
        <is>
          <t>2026-10-23</t>
        </is>
      </c>
      <c r="X52" t="inlineStr">
        <is>
          <t>unknown</t>
        </is>
      </c>
      <c r="Y52" t="inlineStr">
        <is>
          <t>near-miss-over-500</t>
        </is>
      </c>
      <c r="Z52" t="inlineStr">
        <is>
          <t>occupied</t>
        </is>
      </c>
      <c r="AA52" t="inlineStr"/>
      <c r="AB52" t="inlineStr">
        <is>
          <t>2026-10-23</t>
        </is>
      </c>
      <c r="AC52" s="3" t="inlineStr"/>
      <c r="AD52" t="inlineStr">
        <is>
          <t>leasing-press</t>
        </is>
      </c>
      <c r="AE52" t="inlineStr"/>
      <c r="AF52" t="inlineStr">
        <is>
          <t>no-coworking-in-building</t>
        </is>
      </c>
      <c r="AG52" t="inlineStr">
        <is>
          <t>1008250031</t>
        </is>
      </c>
      <c r="AH52" t="n">
        <v>0</v>
      </c>
      <c r="AI52" t="inlineStr">
        <is>
          <t>115,000 sf</t>
        </is>
      </c>
      <c r="AJ52" t="inlineStr">
        <is>
          <t>S3</t>
        </is>
      </c>
      <c r="AK52" s="3" t="inlineStr">
        <is>
          <t>Over 500 company-wide</t>
        </is>
      </c>
    </row>
    <row r="53">
      <c r="A53" t="inlineStr">
        <is>
          <t>B-C-230</t>
        </is>
      </c>
      <c r="B53" t="inlineStr">
        <is>
          <t>Goodwin Procter</t>
        </is>
      </c>
      <c r="C53" s="2" t="inlineStr">
        <is>
          <t>https://www.goodwinlaw.com/</t>
        </is>
      </c>
      <c r="D53" t="inlineStr">
        <is>
          <t>Law firm</t>
        </is>
      </c>
      <c r="E53" t="inlineStr"/>
      <c r="F53" t="inlineStr">
        <is>
          <t>200 Fifth Avenue</t>
        </is>
      </c>
      <c r="G53" t="inlineStr">
        <is>
          <t>2-5</t>
        </is>
      </c>
      <c r="H53" t="inlineStr">
        <is>
          <t>10010</t>
        </is>
      </c>
      <c r="I53" t="n">
        <v>40.742166</v>
      </c>
      <c r="J53" t="n">
        <v>-73.989863</v>
      </c>
      <c r="K53" t="inlineStr">
        <is>
          <t>Y</t>
        </is>
      </c>
      <c r="L53" t="inlineStr">
        <is>
          <t>over-500</t>
        </is>
      </c>
      <c r="M53" t="inlineStr">
        <is>
          <t>whole-company</t>
        </is>
      </c>
      <c r="N53" s="2" t="inlineStr">
        <is>
          <t>https://en.wikipedia.org/wiki/Goodwin_Procter</t>
        </is>
      </c>
      <c r="O53" s="2" t="inlineStr">
        <is>
          <t>https://therealdeal.com/new-york/2025/04/03/bxps-200-fifth-avenue-lands-law-firm-tenant</t>
        </is>
      </c>
      <c r="P53" t="inlineStr">
        <is>
          <t>2025-04-03</t>
        </is>
      </c>
      <c r="Q53" s="2" t="inlineStr">
        <is>
          <t>https://flatironnomad.nyc/2025/05/07/april-news-roundup-6/</t>
        </is>
      </c>
      <c r="R53" t="inlineStr">
        <is>
          <t>medium</t>
        </is>
      </c>
      <c r="S53" t="inlineStr">
        <is>
          <t>N</t>
        </is>
      </c>
      <c r="T53" t="inlineStr"/>
      <c r="U53" t="inlineStr"/>
      <c r="V53" s="3" t="inlineStr">
        <is>
          <t>TRD Apr 2025: 20-yr, 250,000 sf lease, full floors 2-5; relocating from 620 Eighth Ave in late 2026, so may not be in occupancy yet. Wikipedia infobox: about 2,800 employees. Near-miss (over-500).</t>
        </is>
      </c>
      <c r="W53" t="inlineStr">
        <is>
          <t>2026-10-23</t>
        </is>
      </c>
      <c r="X53" t="inlineStr">
        <is>
          <t>unknown</t>
        </is>
      </c>
      <c r="Y53" t="inlineStr">
        <is>
          <t>near-miss-over-500</t>
        </is>
      </c>
      <c r="Z53" t="inlineStr">
        <is>
          <t>signed-not-occupied</t>
        </is>
      </c>
      <c r="AA53" t="inlineStr">
        <is>
          <t>2026 late (planned)</t>
        </is>
      </c>
      <c r="AB53" t="inlineStr">
        <is>
          <t>2026-10-23</t>
        </is>
      </c>
      <c r="AC53" s="3" t="inlineStr"/>
      <c r="AD53" t="inlineStr">
        <is>
          <t>leasing-press</t>
        </is>
      </c>
      <c r="AE53" t="inlineStr">
        <is>
          <t>2025-05-07</t>
        </is>
      </c>
      <c r="AF53" t="inlineStr">
        <is>
          <t>no-coworking-in-building</t>
        </is>
      </c>
      <c r="AG53" t="inlineStr">
        <is>
          <t>1008250031</t>
        </is>
      </c>
      <c r="AH53" t="n">
        <v>0</v>
      </c>
      <c r="AI53" t="inlineStr">
        <is>
          <t>250,000 sf</t>
        </is>
      </c>
      <c r="AJ53" t="inlineStr">
        <is>
          <t>S3</t>
        </is>
      </c>
      <c r="AK53" s="3" t="inlineStr">
        <is>
          <t>Over 500 company-wide</t>
        </is>
      </c>
    </row>
    <row r="54">
      <c r="A54" t="inlineStr">
        <is>
          <t>B-C-231</t>
        </is>
      </c>
      <c r="B54" t="inlineStr">
        <is>
          <t>Grey Group</t>
        </is>
      </c>
      <c r="C54" s="2" t="inlineStr">
        <is>
          <t>https://www.grey.com/</t>
        </is>
      </c>
      <c r="D54" t="inlineStr">
        <is>
          <t>Advertising agency</t>
        </is>
      </c>
      <c r="E54" t="inlineStr"/>
      <c r="F54" t="inlineStr">
        <is>
          <t>200 Fifth Avenue</t>
        </is>
      </c>
      <c r="G54" t="inlineStr">
        <is>
          <t>unknown</t>
        </is>
      </c>
      <c r="H54" t="inlineStr">
        <is>
          <t>10010</t>
        </is>
      </c>
      <c r="I54" t="n">
        <v>40.742166</v>
      </c>
      <c r="J54" t="n">
        <v>-73.989863</v>
      </c>
      <c r="K54" t="inlineStr">
        <is>
          <t>Y</t>
        </is>
      </c>
      <c r="L54" t="inlineStr">
        <is>
          <t>over-500</t>
        </is>
      </c>
      <c r="M54" t="inlineStr">
        <is>
          <t>whole-company</t>
        </is>
      </c>
      <c r="N54" s="2" t="inlineStr">
        <is>
          <t>https://www.builtinnyc.com/company/grey-group/offices</t>
        </is>
      </c>
      <c r="O54" s="2" t="inlineStr">
        <is>
          <t>https://therealdeal.com/new-york/2025/04/03/bxps-200-fifth-avenue-lands-law-firm-tenant</t>
        </is>
      </c>
      <c r="P54" t="inlineStr">
        <is>
          <t>2025-04-03</t>
        </is>
      </c>
      <c r="Q54" t="inlineStr"/>
      <c r="R54" t="inlineStr">
        <is>
          <t>medium</t>
        </is>
      </c>
      <c r="S54" t="inlineStr">
        <is>
          <t>N</t>
        </is>
      </c>
      <c r="T54" t="inlineStr"/>
      <c r="U54" t="inlineStr"/>
      <c r="V54" s="3" t="inlineStr">
        <is>
          <t>TRD Apr 2025 lists 'Grey Advertising' as a tenant at 200 Fifth. Built In (grey-group profile): HQ New York (no street), 3,137 total employees. Near-miss (over-500).</t>
        </is>
      </c>
      <c r="W54" t="inlineStr">
        <is>
          <t>2026-10-23</t>
        </is>
      </c>
      <c r="X54" t="inlineStr">
        <is>
          <t>unknown</t>
        </is>
      </c>
      <c r="Y54" t="inlineStr">
        <is>
          <t>near-miss-over-500</t>
        </is>
      </c>
      <c r="Z54" t="inlineStr">
        <is>
          <t>occupied</t>
        </is>
      </c>
      <c r="AA54" t="inlineStr"/>
      <c r="AB54" t="inlineStr">
        <is>
          <t>2026-10-23</t>
        </is>
      </c>
      <c r="AC54" s="3" t="inlineStr"/>
      <c r="AD54" t="inlineStr">
        <is>
          <t>leasing-press</t>
        </is>
      </c>
      <c r="AE54" t="inlineStr"/>
      <c r="AF54" t="inlineStr">
        <is>
          <t>no-coworking-in-building</t>
        </is>
      </c>
      <c r="AG54" t="inlineStr">
        <is>
          <t>1008250031</t>
        </is>
      </c>
      <c r="AH54" t="n">
        <v>0</v>
      </c>
      <c r="AI54" t="inlineStr"/>
      <c r="AJ54" t="inlineStr">
        <is>
          <t>S3</t>
        </is>
      </c>
      <c r="AK54" s="3" t="inlineStr">
        <is>
          <t>Over 500 company-wide</t>
        </is>
      </c>
    </row>
    <row r="55">
      <c r="A55" t="inlineStr">
        <is>
          <t>B-C-232</t>
        </is>
      </c>
      <c r="B55" t="inlineStr">
        <is>
          <t>TKO Group Holdings</t>
        </is>
      </c>
      <c r="C55" s="2" t="inlineStr">
        <is>
          <t>https://tkogrp.com/</t>
        </is>
      </c>
      <c r="D55" t="inlineStr">
        <is>
          <t>Sports entertainment (WWE, UFC parent)</t>
        </is>
      </c>
      <c r="E55" t="inlineStr"/>
      <c r="F55" t="inlineStr">
        <is>
          <t>200 Fifth Avenue</t>
        </is>
      </c>
      <c r="G55" t="inlineStr">
        <is>
          <t>unknown</t>
        </is>
      </c>
      <c r="H55" t="inlineStr">
        <is>
          <t>10010</t>
        </is>
      </c>
      <c r="I55" t="n">
        <v>40.742166</v>
      </c>
      <c r="J55" t="n">
        <v>-73.989863</v>
      </c>
      <c r="K55" t="inlineStr">
        <is>
          <t>Y</t>
        </is>
      </c>
      <c r="L55" t="inlineStr">
        <is>
          <t>over-500</t>
        </is>
      </c>
      <c r="M55" t="inlineStr">
        <is>
          <t>whole-company</t>
        </is>
      </c>
      <c r="N55" s="2" t="inlineStr">
        <is>
          <t>https://en.wikipedia.org/wiki/TKO_Group_Holdings</t>
        </is>
      </c>
      <c r="O55" s="2" t="inlineStr">
        <is>
          <t>https://tkogrp.com/privacy-policy/</t>
        </is>
      </c>
      <c r="P55" t="inlineStr">
        <is>
          <t>2026-10-24</t>
        </is>
      </c>
      <c r="Q55" s="2" t="inlineStr">
        <is>
          <t>https://en.wikipedia.org/wiki/200_Fifth_Avenue</t>
        </is>
      </c>
      <c r="R55" t="inlineStr">
        <is>
          <t>high</t>
        </is>
      </c>
      <c r="S55" t="inlineStr">
        <is>
          <t>N</t>
        </is>
      </c>
      <c r="T55" t="inlineStr"/>
      <c r="U55" t="inlineStr"/>
      <c r="V55" s="3" t="inlineStr">
        <is>
          <t>Company privacy policy and terms (live) give '200 5th Ave, New York, NY 10010'. Wikipedia's 200 Fifth Avenue article lists TKO as a tenant; TKO's own Wikipedia infobox gives HQ 200 Fifth Avenue and c. 4,000 employees (2025). Near-miss (over-500).</t>
        </is>
      </c>
      <c r="W55" t="inlineStr">
        <is>
          <t>2026-10-23</t>
        </is>
      </c>
      <c r="X55" t="inlineStr">
        <is>
          <t>unknown</t>
        </is>
      </c>
      <c r="Y55" t="inlineStr">
        <is>
          <t>near-miss-over-500</t>
        </is>
      </c>
      <c r="Z55" t="inlineStr">
        <is>
          <t>occupied</t>
        </is>
      </c>
      <c r="AA55" t="inlineStr"/>
      <c r="AB55" t="inlineStr">
        <is>
          <t>2026-10-24</t>
        </is>
      </c>
      <c r="AC55" s="3" t="inlineStr"/>
      <c r="AD55" t="inlineStr">
        <is>
          <t>company-site</t>
        </is>
      </c>
      <c r="AE55" t="inlineStr">
        <is>
          <t>2026-10-24</t>
        </is>
      </c>
      <c r="AF55" t="inlineStr">
        <is>
          <t>no-coworking-in-building</t>
        </is>
      </c>
      <c r="AG55" t="inlineStr">
        <is>
          <t>1008250031</t>
        </is>
      </c>
      <c r="AH55" t="n">
        <v>0</v>
      </c>
      <c r="AI55" t="inlineStr"/>
      <c r="AJ55" t="inlineStr">
        <is>
          <t>S3</t>
        </is>
      </c>
      <c r="AK55" s="3" t="inlineStr">
        <is>
          <t>Over 500 company-wide</t>
        </is>
      </c>
    </row>
    <row r="56">
      <c r="A56" t="inlineStr">
        <is>
          <t>B-C-233</t>
        </is>
      </c>
      <c r="B56" t="inlineStr">
        <is>
          <t>Tiffany &amp; Co.</t>
        </is>
      </c>
      <c r="C56" s="2" t="inlineStr">
        <is>
          <t>https://www.tiffany.com/</t>
        </is>
      </c>
      <c r="D56" t="inlineStr">
        <is>
          <t>Luxury jewelry (consumer brand)</t>
        </is>
      </c>
      <c r="E56" t="inlineStr"/>
      <c r="F56" t="inlineStr">
        <is>
          <t>200 Fifth Avenue</t>
        </is>
      </c>
      <c r="G56" t="inlineStr">
        <is>
          <t>unknown</t>
        </is>
      </c>
      <c r="H56" t="inlineStr">
        <is>
          <t>10010</t>
        </is>
      </c>
      <c r="I56" t="n">
        <v>40.742166</v>
      </c>
      <c r="J56" t="n">
        <v>-73.989863</v>
      </c>
      <c r="K56" t="inlineStr">
        <is>
          <t>Y</t>
        </is>
      </c>
      <c r="L56" t="inlineStr">
        <is>
          <t>over-500</t>
        </is>
      </c>
      <c r="M56" t="inlineStr">
        <is>
          <t>whole-company</t>
        </is>
      </c>
      <c r="N56" s="2" t="inlineStr">
        <is>
          <t>https://www.builtinnyc.com/company/tiffany-co/offices</t>
        </is>
      </c>
      <c r="O56" s="2" t="inlineStr">
        <is>
          <t>https://therealdeal.com/new-york/2025/04/03/bxps-200-fifth-avenue-lands-law-firm-tenant</t>
        </is>
      </c>
      <c r="P56" t="inlineStr">
        <is>
          <t>2025-04-03</t>
        </is>
      </c>
      <c r="Q56" s="2" t="inlineStr">
        <is>
          <t>https://www.builtinnyc.com/company/tiffany-co/offices</t>
        </is>
      </c>
      <c r="R56" t="inlineStr">
        <is>
          <t>high</t>
        </is>
      </c>
      <c r="S56" t="inlineStr">
        <is>
          <t>N</t>
        </is>
      </c>
      <c r="T56" t="inlineStr"/>
      <c r="U56" t="inlineStr"/>
      <c r="V56" s="3" t="inlineStr">
        <is>
          <t>TRD Apr 2025 lists Tiffany as a tenant (10-yr extension in 2022 while shedding about a third of its space). Built In lists HQ 200 Fifth Avenue; 9,305 total employees. Near-miss (over-500).</t>
        </is>
      </c>
      <c r="W56" t="inlineStr">
        <is>
          <t>2026-10-23</t>
        </is>
      </c>
      <c r="X56" t="inlineStr">
        <is>
          <t>unknown</t>
        </is>
      </c>
      <c r="Y56" t="inlineStr">
        <is>
          <t>near-miss-over-500</t>
        </is>
      </c>
      <c r="Z56" t="inlineStr">
        <is>
          <t>occupied</t>
        </is>
      </c>
      <c r="AA56" t="inlineStr"/>
      <c r="AB56" t="inlineStr">
        <is>
          <t>2026-10-23</t>
        </is>
      </c>
      <c r="AC56" s="3" t="inlineStr"/>
      <c r="AD56" t="inlineStr">
        <is>
          <t>leasing-press</t>
        </is>
      </c>
      <c r="AE56" t="inlineStr">
        <is>
          <t>2026-10-23</t>
        </is>
      </c>
      <c r="AF56" t="inlineStr">
        <is>
          <t>no-coworking-in-building</t>
        </is>
      </c>
      <c r="AG56" t="inlineStr">
        <is>
          <t>1008250031</t>
        </is>
      </c>
      <c r="AH56" t="n">
        <v>0</v>
      </c>
      <c r="AI56" t="inlineStr"/>
      <c r="AJ56" t="inlineStr">
        <is>
          <t>S3</t>
        </is>
      </c>
      <c r="AK56" s="3" t="inlineStr">
        <is>
          <t>Over 500 company-wide</t>
        </is>
      </c>
    </row>
    <row r="57">
      <c r="A57" t="inlineStr">
        <is>
          <t>B-C-234</t>
        </is>
      </c>
      <c r="B57" t="inlineStr">
        <is>
          <t>Coinbase</t>
        </is>
      </c>
      <c r="C57" s="2" t="inlineStr">
        <is>
          <t>https://www.coinbase.com/</t>
        </is>
      </c>
      <c r="D57" t="inlineStr">
        <is>
          <t>Crypto exchange / fintech</t>
        </is>
      </c>
      <c r="E57" t="inlineStr">
        <is>
          <t>B-B-051</t>
        </is>
      </c>
      <c r="F57" t="inlineStr">
        <is>
          <t>1 Madison Avenue</t>
        </is>
      </c>
      <c r="G57" t="inlineStr">
        <is>
          <t>unknown</t>
        </is>
      </c>
      <c r="H57" t="inlineStr">
        <is>
          <t>10010</t>
        </is>
      </c>
      <c r="I57" t="n">
        <v>40.740847</v>
      </c>
      <c r="J57" t="n">
        <v>-73.986756</v>
      </c>
      <c r="K57" t="inlineStr">
        <is>
          <t>Y</t>
        </is>
      </c>
      <c r="L57" t="inlineStr">
        <is>
          <t>over-500</t>
        </is>
      </c>
      <c r="M57" t="inlineStr">
        <is>
          <t>whole-company</t>
        </is>
      </c>
      <c r="N57" s="2" t="inlineStr">
        <is>
          <t>https://en.wikipedia.org/wiki/Coinbase</t>
        </is>
      </c>
      <c r="O57" s="2" t="inlineStr">
        <is>
          <t>https://slgreen.com/sl-green-signs-new-64000-square-foot-lease-with-sigma-computing-at-one-madison-avenue/</t>
        </is>
      </c>
      <c r="P57" t="inlineStr">
        <is>
          <t>2025-07-16</t>
        </is>
      </c>
      <c r="Q57" t="inlineStr"/>
      <c r="R57" t="inlineStr">
        <is>
          <t>medium</t>
        </is>
      </c>
      <c r="S57" t="inlineStr">
        <is>
          <t>N</t>
        </is>
      </c>
      <c r="T57" t="inlineStr"/>
      <c r="U57" t="inlineStr"/>
      <c r="V57" s="3" t="inlineStr">
        <is>
          <t>SL Green Jul 2025 release names Coinbase on the One Madison roster. Built In lists a New York office without street. Wikipedia: 3,772 employees (2024). Near-miss (over-500).</t>
        </is>
      </c>
      <c r="W57" t="inlineStr">
        <is>
          <t>2026-10-23</t>
        </is>
      </c>
      <c r="X57" t="inlineStr">
        <is>
          <t>unknown</t>
        </is>
      </c>
      <c r="Y57" t="inlineStr">
        <is>
          <t>near-miss-over-500</t>
        </is>
      </c>
      <c r="Z57" t="inlineStr">
        <is>
          <t>occupied</t>
        </is>
      </c>
      <c r="AA57" t="inlineStr"/>
      <c r="AB57" t="inlineStr">
        <is>
          <t>2026-10-23</t>
        </is>
      </c>
      <c r="AC57" s="3" t="inlineStr"/>
      <c r="AD57" t="inlineStr">
        <is>
          <t>press-release</t>
        </is>
      </c>
      <c r="AE57" t="inlineStr"/>
      <c r="AF57" t="inlineStr">
        <is>
          <t>no-coworking-in-building</t>
        </is>
      </c>
      <c r="AG57" t="inlineStr">
        <is>
          <t>1008530002</t>
        </is>
      </c>
      <c r="AH57" t="n">
        <v>0</v>
      </c>
      <c r="AI57" t="inlineStr"/>
      <c r="AJ57" t="inlineStr">
        <is>
          <t>S3</t>
        </is>
      </c>
      <c r="AK57" s="3" t="inlineStr">
        <is>
          <t>Over 500 company-wide</t>
        </is>
      </c>
    </row>
    <row r="58">
      <c r="A58" t="inlineStr">
        <is>
          <t>B-C-235</t>
        </is>
      </c>
      <c r="B58" t="inlineStr">
        <is>
          <t>Flutter Entertainment</t>
        </is>
      </c>
      <c r="C58" s="2" t="inlineStr">
        <is>
          <t>https://www.flutter.com/</t>
        </is>
      </c>
      <c r="D58" t="inlineStr">
        <is>
          <t>Sports betting / gaming (FanDuel parent)</t>
        </is>
      </c>
      <c r="E58" t="inlineStr">
        <is>
          <t>B-B-051</t>
        </is>
      </c>
      <c r="F58" t="inlineStr">
        <is>
          <t>1 Madison Avenue</t>
        </is>
      </c>
      <c r="G58" t="inlineStr">
        <is>
          <t>unknown</t>
        </is>
      </c>
      <c r="H58" t="inlineStr">
        <is>
          <t>10010</t>
        </is>
      </c>
      <c r="I58" t="n">
        <v>40.740847</v>
      </c>
      <c r="J58" t="n">
        <v>-73.986756</v>
      </c>
      <c r="K58" t="inlineStr">
        <is>
          <t>Y</t>
        </is>
      </c>
      <c r="L58" t="inlineStr">
        <is>
          <t>over-500</t>
        </is>
      </c>
      <c r="M58" t="inlineStr">
        <is>
          <t>whole-company</t>
        </is>
      </c>
      <c r="N58" s="2" t="inlineStr">
        <is>
          <t>https://en.wikipedia.org/wiki/Flutter_Entertainment</t>
        </is>
      </c>
      <c r="O58" s="2" t="inlineStr">
        <is>
          <t>https://slgreen.com/sl-green-signs-new-64000-square-foot-lease-with-sigma-computing-at-one-madison-avenue/</t>
        </is>
      </c>
      <c r="P58" t="inlineStr">
        <is>
          <t>2025-07-16</t>
        </is>
      </c>
      <c r="Q58" t="inlineStr"/>
      <c r="R58" t="inlineStr">
        <is>
          <t>medium</t>
        </is>
      </c>
      <c r="S58" t="inlineStr">
        <is>
          <t>N</t>
        </is>
      </c>
      <c r="T58" t="inlineStr"/>
      <c r="U58" t="inlineStr"/>
      <c r="V58" s="3" t="inlineStr">
        <is>
          <t>SL Green Jul 2025 release names Flutter Entertainment on the One Madison roster. Wikipedia: 27,345 employees (2024). Near-miss (over-500).</t>
        </is>
      </c>
      <c r="W58" t="inlineStr">
        <is>
          <t>2026-10-23</t>
        </is>
      </c>
      <c r="X58" t="inlineStr">
        <is>
          <t>unknown</t>
        </is>
      </c>
      <c r="Y58" t="inlineStr">
        <is>
          <t>near-miss-over-500</t>
        </is>
      </c>
      <c r="Z58" t="inlineStr">
        <is>
          <t>occupied</t>
        </is>
      </c>
      <c r="AA58" t="inlineStr"/>
      <c r="AB58" t="inlineStr">
        <is>
          <t>2026-10-23</t>
        </is>
      </c>
      <c r="AC58" s="3" t="inlineStr"/>
      <c r="AD58" t="inlineStr">
        <is>
          <t>press-release</t>
        </is>
      </c>
      <c r="AE58" t="inlineStr"/>
      <c r="AF58" t="inlineStr">
        <is>
          <t>no-coworking-in-building</t>
        </is>
      </c>
      <c r="AG58" t="inlineStr">
        <is>
          <t>1008530002</t>
        </is>
      </c>
      <c r="AH58" t="n">
        <v>0</v>
      </c>
      <c r="AI58" t="inlineStr"/>
      <c r="AJ58" t="inlineStr">
        <is>
          <t>S3</t>
        </is>
      </c>
      <c r="AK58" s="3" t="inlineStr">
        <is>
          <t>Over 500 company-wide</t>
        </is>
      </c>
    </row>
    <row r="59">
      <c r="A59" t="inlineStr">
        <is>
          <t>B-C-236</t>
        </is>
      </c>
      <c r="B59" t="inlineStr">
        <is>
          <t>Franklin Templeton</t>
        </is>
      </c>
      <c r="C59" s="2" t="inlineStr">
        <is>
          <t>https://www.franklintempleton.com/</t>
        </is>
      </c>
      <c r="D59" t="inlineStr">
        <is>
          <t>Asset management</t>
        </is>
      </c>
      <c r="E59" t="inlineStr">
        <is>
          <t>B-B-051</t>
        </is>
      </c>
      <c r="F59" t="inlineStr">
        <is>
          <t>1 Madison Avenue</t>
        </is>
      </c>
      <c r="G59" t="inlineStr">
        <is>
          <t>unknown</t>
        </is>
      </c>
      <c r="H59" t="inlineStr">
        <is>
          <t>10010</t>
        </is>
      </c>
      <c r="I59" t="n">
        <v>40.740847</v>
      </c>
      <c r="J59" t="n">
        <v>-73.986756</v>
      </c>
      <c r="K59" t="inlineStr">
        <is>
          <t>Y</t>
        </is>
      </c>
      <c r="L59" t="inlineStr">
        <is>
          <t>over-500</t>
        </is>
      </c>
      <c r="M59" t="inlineStr">
        <is>
          <t>whole-company</t>
        </is>
      </c>
      <c r="N59" s="2" t="inlineStr">
        <is>
          <t>https://en.wikipedia.org/wiki/Franklin_Templeton</t>
        </is>
      </c>
      <c r="O59" s="2" t="inlineStr">
        <is>
          <t>https://slgreen.com/sl-green-signs-new-64000-square-foot-lease-with-sigma-computing-at-one-madison-avenue/</t>
        </is>
      </c>
      <c r="P59" t="inlineStr">
        <is>
          <t>2025-07-16</t>
        </is>
      </c>
      <c r="Q59" s="2" t="inlineStr">
        <is>
          <t>https://rebusinessonline.com/franklin-templeton-signs-347474-sf-office-lease-at-one-madison-avenue-in-manhattan/</t>
        </is>
      </c>
      <c r="R59" t="inlineStr">
        <is>
          <t>high</t>
        </is>
      </c>
      <c r="S59" t="inlineStr">
        <is>
          <t>N</t>
        </is>
      </c>
      <c r="T59" t="inlineStr"/>
      <c r="U59" t="inlineStr"/>
      <c r="V59" s="3" t="inlineStr">
        <is>
          <t>SL Green Jul 2025 release names Franklin Templeton on the One Madison roster. REBusiness Oct 2022: signed a 347,474 sf lease at One Madison (older, independent confirmation). Wikipedia: 9,800 employees (2025). Near-miss (over-500).</t>
        </is>
      </c>
      <c r="W59" t="inlineStr">
        <is>
          <t>2026-10-23</t>
        </is>
      </c>
      <c r="X59" t="inlineStr">
        <is>
          <t>unknown</t>
        </is>
      </c>
      <c r="Y59" t="inlineStr">
        <is>
          <t>near-miss-over-500</t>
        </is>
      </c>
      <c r="Z59" t="inlineStr">
        <is>
          <t>occupied</t>
        </is>
      </c>
      <c r="AA59" t="inlineStr"/>
      <c r="AB59" t="inlineStr">
        <is>
          <t>2026-10-23</t>
        </is>
      </c>
      <c r="AC59" s="3" t="inlineStr"/>
      <c r="AD59" t="inlineStr">
        <is>
          <t>press-release</t>
        </is>
      </c>
      <c r="AE59" t="inlineStr">
        <is>
          <t>2022-10-03</t>
        </is>
      </c>
      <c r="AF59" t="inlineStr">
        <is>
          <t>no-coworking-in-building</t>
        </is>
      </c>
      <c r="AG59" t="inlineStr">
        <is>
          <t>1008530002</t>
        </is>
      </c>
      <c r="AH59" t="n">
        <v>0</v>
      </c>
      <c r="AI59" t="inlineStr">
        <is>
          <t>347,474 sf</t>
        </is>
      </c>
      <c r="AJ59" t="inlineStr">
        <is>
          <t>S3</t>
        </is>
      </c>
      <c r="AK59" s="3" t="inlineStr">
        <is>
          <t>Over 500 company-wide</t>
        </is>
      </c>
    </row>
    <row r="60">
      <c r="A60" t="inlineStr">
        <is>
          <t>B-C-237</t>
        </is>
      </c>
      <c r="B60" t="inlineStr">
        <is>
          <t>IBM</t>
        </is>
      </c>
      <c r="C60" s="2" t="inlineStr">
        <is>
          <t>https://www.ibm.com/</t>
        </is>
      </c>
      <c r="D60" t="inlineStr">
        <is>
          <t>Technology</t>
        </is>
      </c>
      <c r="E60" t="inlineStr">
        <is>
          <t>B-B-051</t>
        </is>
      </c>
      <c r="F60" t="inlineStr">
        <is>
          <t>1 Madison Avenue</t>
        </is>
      </c>
      <c r="G60" t="inlineStr">
        <is>
          <t>multiple (362,092 sf)</t>
        </is>
      </c>
      <c r="H60" t="inlineStr">
        <is>
          <t>10010</t>
        </is>
      </c>
      <c r="I60" t="n">
        <v>40.740847</v>
      </c>
      <c r="J60" t="n">
        <v>-73.986756</v>
      </c>
      <c r="K60" t="inlineStr">
        <is>
          <t>Y</t>
        </is>
      </c>
      <c r="L60" t="inlineStr">
        <is>
          <t>over-500</t>
        </is>
      </c>
      <c r="M60" t="inlineStr">
        <is>
          <t>whole-company</t>
        </is>
      </c>
      <c r="N60" s="2" t="inlineStr">
        <is>
          <t>https://en.wikipedia.org/wiki/IBM</t>
        </is>
      </c>
      <c r="O60" s="2" t="inlineStr">
        <is>
          <t>https://commercialobserver.com/2026/03/harvey-ai-expansion-lease-sl-green-one-madison-avenue/</t>
        </is>
      </c>
      <c r="P60" t="inlineStr">
        <is>
          <t>2026-03-09</t>
        </is>
      </c>
      <c r="Q60" s="2" t="inlineStr">
        <is>
          <t>https://slgreen.com/sl-green-signs-new-64000-square-foot-lease-with-sigma-computing-at-one-madison-avenue/</t>
        </is>
      </c>
      <c r="R60" t="inlineStr">
        <is>
          <t>high</t>
        </is>
      </c>
      <c r="S60" t="inlineStr">
        <is>
          <t>N</t>
        </is>
      </c>
      <c r="T60" t="inlineStr"/>
      <c r="U60" t="inlineStr"/>
      <c r="V60" s="3" t="inlineStr">
        <is>
          <t>CO Mar 2026: IBM has 362,092 sf at One Madison. SL Green Jul 2025 release names IBM on the roster. Wikipedia: 264,300 employees (2025). Near-miss (over-500).</t>
        </is>
      </c>
      <c r="W60" t="inlineStr">
        <is>
          <t>2026-10-23</t>
        </is>
      </c>
      <c r="X60" t="inlineStr">
        <is>
          <t>unknown</t>
        </is>
      </c>
      <c r="Y60" t="inlineStr">
        <is>
          <t>near-miss-over-500</t>
        </is>
      </c>
      <c r="Z60" t="inlineStr">
        <is>
          <t>occupied</t>
        </is>
      </c>
      <c r="AA60" t="inlineStr"/>
      <c r="AB60" t="inlineStr">
        <is>
          <t>2026-10-23</t>
        </is>
      </c>
      <c r="AC60" s="3" t="inlineStr"/>
      <c r="AD60" t="inlineStr">
        <is>
          <t>leasing-press</t>
        </is>
      </c>
      <c r="AE60" t="inlineStr">
        <is>
          <t>2025-07-16</t>
        </is>
      </c>
      <c r="AF60" t="inlineStr">
        <is>
          <t>no-coworking-in-building</t>
        </is>
      </c>
      <c r="AG60" t="inlineStr">
        <is>
          <t>1008530002</t>
        </is>
      </c>
      <c r="AH60" t="n">
        <v>0</v>
      </c>
      <c r="AI60" t="inlineStr">
        <is>
          <t>362,092 sf</t>
        </is>
      </c>
      <c r="AJ60" t="inlineStr">
        <is>
          <t>S3</t>
        </is>
      </c>
      <c r="AK60" s="3" t="inlineStr">
        <is>
          <t>Over 500 company-wide</t>
        </is>
      </c>
    </row>
    <row r="61">
      <c r="A61" t="inlineStr">
        <is>
          <t>B-C-238</t>
        </is>
      </c>
      <c r="B61" t="inlineStr">
        <is>
          <t>Palo Alto Networks</t>
        </is>
      </c>
      <c r="C61" s="2" t="inlineStr">
        <is>
          <t>https://www.paloaltonetworks.com/</t>
        </is>
      </c>
      <c r="D61" t="inlineStr">
        <is>
          <t>Cybersecurity</t>
        </is>
      </c>
      <c r="E61" t="inlineStr">
        <is>
          <t>B-B-051</t>
        </is>
      </c>
      <c r="F61" t="inlineStr">
        <is>
          <t>1 Madison Avenue</t>
        </is>
      </c>
      <c r="G61" t="inlineStr">
        <is>
          <t>unknown</t>
        </is>
      </c>
      <c r="H61" t="inlineStr">
        <is>
          <t>10010</t>
        </is>
      </c>
      <c r="I61" t="n">
        <v>40.740847</v>
      </c>
      <c r="J61" t="n">
        <v>-73.986756</v>
      </c>
      <c r="K61" t="inlineStr">
        <is>
          <t>Y</t>
        </is>
      </c>
      <c r="L61" t="inlineStr">
        <is>
          <t>over-500</t>
        </is>
      </c>
      <c r="M61" t="inlineStr">
        <is>
          <t>whole-company</t>
        </is>
      </c>
      <c r="N61" s="2" t="inlineStr">
        <is>
          <t>https://en.wikipedia.org/wiki/Palo_Alto_Networks</t>
        </is>
      </c>
      <c r="O61" s="2" t="inlineStr">
        <is>
          <t>https://slgreen.com/sl-green-signs-new-64000-square-foot-lease-with-sigma-computing-at-one-madison-avenue/</t>
        </is>
      </c>
      <c r="P61" t="inlineStr">
        <is>
          <t>2025-07-16</t>
        </is>
      </c>
      <c r="Q61" t="inlineStr"/>
      <c r="R61" t="inlineStr">
        <is>
          <t>medium</t>
        </is>
      </c>
      <c r="S61" t="inlineStr">
        <is>
          <t>N</t>
        </is>
      </c>
      <c r="T61" t="inlineStr"/>
      <c r="U61" t="inlineStr"/>
      <c r="V61" s="3" t="inlineStr">
        <is>
          <t>SL Green Jul 2025 release names Palo Alto Networks on the One Madison roster. Wikipedia: 16,068 employees (2025). Near-miss (over-500).</t>
        </is>
      </c>
      <c r="W61" t="inlineStr">
        <is>
          <t>2026-10-23</t>
        </is>
      </c>
      <c r="X61" t="inlineStr">
        <is>
          <t>unknown</t>
        </is>
      </c>
      <c r="Y61" t="inlineStr">
        <is>
          <t>near-miss-over-500</t>
        </is>
      </c>
      <c r="Z61" t="inlineStr">
        <is>
          <t>occupied</t>
        </is>
      </c>
      <c r="AA61" t="inlineStr"/>
      <c r="AB61" t="inlineStr">
        <is>
          <t>2026-10-23</t>
        </is>
      </c>
      <c r="AC61" s="3" t="inlineStr"/>
      <c r="AD61" t="inlineStr">
        <is>
          <t>press-release</t>
        </is>
      </c>
      <c r="AE61" t="inlineStr"/>
      <c r="AF61" t="inlineStr">
        <is>
          <t>no-coworking-in-building</t>
        </is>
      </c>
      <c r="AG61" t="inlineStr">
        <is>
          <t>1008530002</t>
        </is>
      </c>
      <c r="AH61" t="n">
        <v>0</v>
      </c>
      <c r="AI61" t="inlineStr"/>
      <c r="AJ61" t="inlineStr">
        <is>
          <t>S3</t>
        </is>
      </c>
      <c r="AK61" s="3" t="inlineStr">
        <is>
          <t>Over 500 company-wide</t>
        </is>
      </c>
    </row>
    <row r="62">
      <c r="A62" t="inlineStr">
        <is>
          <t>B-C-239</t>
        </is>
      </c>
      <c r="B62" t="inlineStr">
        <is>
          <t>Amazon</t>
        </is>
      </c>
      <c r="C62" s="2" t="inlineStr">
        <is>
          <t>https://www.amazon.com/</t>
        </is>
      </c>
      <c r="D62" t="inlineStr">
        <is>
          <t>Technology / e-commerce</t>
        </is>
      </c>
      <c r="E62" t="inlineStr"/>
      <c r="F62" t="inlineStr">
        <is>
          <t>315 Park Avenue South</t>
        </is>
      </c>
      <c r="G62" t="inlineStr">
        <is>
          <t>unknown</t>
        </is>
      </c>
      <c r="H62" t="inlineStr">
        <is>
          <t>10010</t>
        </is>
      </c>
      <c r="I62" t="n">
        <v>40.740537</v>
      </c>
      <c r="J62" t="n">
        <v>-73.985615</v>
      </c>
      <c r="K62" t="inlineStr">
        <is>
          <t>Y</t>
        </is>
      </c>
      <c r="L62" t="inlineStr">
        <is>
          <t>over-500</t>
        </is>
      </c>
      <c r="M62" t="inlineStr">
        <is>
          <t>whole-company</t>
        </is>
      </c>
      <c r="N62" s="2" t="inlineStr">
        <is>
          <t>https://en.wikipedia.org/wiki/Amazon_(company)</t>
        </is>
      </c>
      <c r="O62" s="2" t="inlineStr">
        <is>
          <t>https://commercialobserver.com/2026/02/bluefish-lease-315-park-avenue-south/</t>
        </is>
      </c>
      <c r="P62" t="inlineStr">
        <is>
          <t>2026-02</t>
        </is>
      </c>
      <c r="Q62" t="inlineStr"/>
      <c r="R62" t="inlineStr">
        <is>
          <t>medium</t>
        </is>
      </c>
      <c r="S62" t="inlineStr">
        <is>
          <t>N</t>
        </is>
      </c>
      <c r="T62" t="inlineStr"/>
      <c r="U62" t="inlineStr"/>
      <c r="V62" s="3" t="inlineStr">
        <is>
          <t>CO Feb 2026 lists 'tech giant Amazon' among office tenants at 315 PAS; which Amazon unit and how large the space is were not stated. Amazon is far over 500 employees (Wikipedia). Near-miss (over-500).</t>
        </is>
      </c>
      <c r="W62" t="inlineStr">
        <is>
          <t>2026-10-23</t>
        </is>
      </c>
      <c r="X62" t="inlineStr">
        <is>
          <t>security desk</t>
        </is>
      </c>
      <c r="Y62" t="inlineStr">
        <is>
          <t>near-miss-over-500</t>
        </is>
      </c>
      <c r="Z62" t="inlineStr">
        <is>
          <t>occupancy-unconfirmed</t>
        </is>
      </c>
      <c r="AA62" t="inlineStr"/>
      <c r="AB62" t="inlineStr">
        <is>
          <t>2026-10-24</t>
        </is>
      </c>
      <c r="AC62" s="3" t="inlineStr"/>
      <c r="AD62" t="inlineStr">
        <is>
          <t>leasing-press</t>
        </is>
      </c>
      <c r="AE62" t="inlineStr"/>
      <c r="AF62" t="inlineStr">
        <is>
          <t>no-coworking-in-building</t>
        </is>
      </c>
      <c r="AG62" t="inlineStr">
        <is>
          <t>1008790081</t>
        </is>
      </c>
      <c r="AH62" t="n">
        <v>0</v>
      </c>
      <c r="AI62" t="inlineStr"/>
      <c r="AJ62" t="inlineStr">
        <is>
          <t>S3</t>
        </is>
      </c>
      <c r="AK62" s="3" t="inlineStr">
        <is>
          <t>Over 500 company-wide</t>
        </is>
      </c>
    </row>
    <row r="63">
      <c r="A63" t="inlineStr">
        <is>
          <t>B-C-240</t>
        </is>
      </c>
      <c r="B63" t="inlineStr">
        <is>
          <t>PitchBook</t>
        </is>
      </c>
      <c r="C63" s="2" t="inlineStr">
        <is>
          <t>https://pitchbook.com/</t>
        </is>
      </c>
      <c r="D63" t="inlineStr">
        <is>
          <t>Financial data / software</t>
        </is>
      </c>
      <c r="E63" t="inlineStr"/>
      <c r="F63" t="inlineStr">
        <is>
          <t>315 Park Avenue South</t>
        </is>
      </c>
      <c r="G63" t="inlineStr">
        <is>
          <t>unknown</t>
        </is>
      </c>
      <c r="H63" t="inlineStr">
        <is>
          <t>10010</t>
        </is>
      </c>
      <c r="I63" t="n">
        <v>40.740537</v>
      </c>
      <c r="J63" t="n">
        <v>-73.985615</v>
      </c>
      <c r="K63" t="inlineStr">
        <is>
          <t>Y</t>
        </is>
      </c>
      <c r="L63" t="inlineStr">
        <is>
          <t>over-500</t>
        </is>
      </c>
      <c r="M63" t="inlineStr">
        <is>
          <t>whole-company</t>
        </is>
      </c>
      <c r="N63" s="2" t="inlineStr">
        <is>
          <t>https://www.builtinnyc.com/company/pitchbook/offices</t>
        </is>
      </c>
      <c r="O63" s="2" t="inlineStr">
        <is>
          <t>https://commercialobserver.com/2026/02/bluefish-lease-315-park-avenue-south/</t>
        </is>
      </c>
      <c r="P63" t="inlineStr">
        <is>
          <t>2026-02</t>
        </is>
      </c>
      <c r="Q63" s="2" t="inlineStr">
        <is>
          <t>https://www.builtinnyc.com/company/pitchbook/offices</t>
        </is>
      </c>
      <c r="R63" t="inlineStr">
        <is>
          <t>high</t>
        </is>
      </c>
      <c r="S63" t="inlineStr">
        <is>
          <t>N</t>
        </is>
      </c>
      <c r="T63" t="inlineStr"/>
      <c r="U63" t="inlineStr"/>
      <c r="V63" s="3" t="inlineStr">
        <is>
          <t>CO Feb 2026 names PitchBook as an office tenant at 315 PAS. Built In lists New York office at 315 Park Avenue South; 2,203 total employees; HQ Seattle. Near-miss (over-500).</t>
        </is>
      </c>
      <c r="W63" t="inlineStr">
        <is>
          <t>2026-10-23</t>
        </is>
      </c>
      <c r="X63" t="inlineStr">
        <is>
          <t>security desk</t>
        </is>
      </c>
      <c r="Y63" t="inlineStr">
        <is>
          <t>near-miss-over-500</t>
        </is>
      </c>
      <c r="Z63" t="inlineStr">
        <is>
          <t>occupied</t>
        </is>
      </c>
      <c r="AA63" t="inlineStr"/>
      <c r="AB63" t="inlineStr">
        <is>
          <t>2026-10-23</t>
        </is>
      </c>
      <c r="AC63" s="3" t="inlineStr"/>
      <c r="AD63" t="inlineStr">
        <is>
          <t>leasing-press</t>
        </is>
      </c>
      <c r="AE63" t="inlineStr">
        <is>
          <t>2026-10-23</t>
        </is>
      </c>
      <c r="AF63" t="inlineStr">
        <is>
          <t>no-coworking-in-building</t>
        </is>
      </c>
      <c r="AG63" t="inlineStr">
        <is>
          <t>1008790081</t>
        </is>
      </c>
      <c r="AH63" t="n">
        <v>0</v>
      </c>
      <c r="AI63" t="inlineStr"/>
      <c r="AJ63" t="inlineStr">
        <is>
          <t>S3</t>
        </is>
      </c>
      <c r="AK63" s="3" t="inlineStr">
        <is>
          <t>Over 500 company-wide</t>
        </is>
      </c>
    </row>
    <row r="64">
      <c r="A64" t="inlineStr">
        <is>
          <t>B-C-241</t>
        </is>
      </c>
      <c r="B64" t="inlineStr">
        <is>
          <t>United Talent Agency (UTA)</t>
        </is>
      </c>
      <c r="C64" s="2" t="inlineStr">
        <is>
          <t>https://www.unitedtalent.com/</t>
        </is>
      </c>
      <c r="D64" t="inlineStr">
        <is>
          <t>Talent agency / entertainment</t>
        </is>
      </c>
      <c r="E64" t="inlineStr"/>
      <c r="F64" t="inlineStr">
        <is>
          <t>27 West 24th Street</t>
        </is>
      </c>
      <c r="G64" t="inlineStr">
        <is>
          <t>unknown</t>
        </is>
      </c>
      <c r="H64" t="inlineStr">
        <is>
          <t>10010</t>
        </is>
      </c>
      <c r="I64" t="n">
        <v>40.743196</v>
      </c>
      <c r="J64" t="n">
        <v>-73.99084000000001</v>
      </c>
      <c r="K64" t="inlineStr">
        <is>
          <t>Y</t>
        </is>
      </c>
      <c r="L64" t="inlineStr">
        <is>
          <t>over-500</t>
        </is>
      </c>
      <c r="M64" t="inlineStr">
        <is>
          <t>whole-company</t>
        </is>
      </c>
      <c r="N64" s="2" t="inlineStr">
        <is>
          <t>https://en.wikipedia.org/wiki/United_Talent_Agency</t>
        </is>
      </c>
      <c r="O64" s="2" t="inlineStr">
        <is>
          <t>https://commercialobserver.com/2026/07/united-talent-agency-lease-esrt-empire-state-building/</t>
        </is>
      </c>
      <c r="P64" t="inlineStr">
        <is>
          <t>2026-07</t>
        </is>
      </c>
      <c r="Q64" t="inlineStr"/>
      <c r="R64" t="inlineStr">
        <is>
          <t>medium</t>
        </is>
      </c>
      <c r="S64" t="inlineStr">
        <is>
          <t>N</t>
        </is>
      </c>
      <c r="T64" t="inlineStr"/>
      <c r="U64" t="inlineStr"/>
      <c r="V64" s="3" t="inlineStr">
        <is>
          <t>CO Jul 2026: UTA's website lists New York offices at 888 Seventh Ave and 27 West 24th St; it will consolidate into the Empire State Building, slated for summer 2027, so this office is likely temporary. UTA site did not render for me. Wikipedia: 2,200 employees (2024). Near-miss (over-500).</t>
        </is>
      </c>
      <c r="W64" t="inlineStr">
        <is>
          <t>2026-10-23</t>
        </is>
      </c>
      <c r="X64" t="inlineStr">
        <is>
          <t>unknown</t>
        </is>
      </c>
      <c r="Y64" t="inlineStr">
        <is>
          <t>near-miss-over-500</t>
        </is>
      </c>
      <c r="Z64" t="inlineStr">
        <is>
          <t>moving-out</t>
        </is>
      </c>
      <c r="AA64" t="inlineStr">
        <is>
          <t>2027 summer (planned move to the Empire State Building)</t>
        </is>
      </c>
      <c r="AB64" t="inlineStr">
        <is>
          <t>2026-10-24</t>
        </is>
      </c>
      <c r="AC64" s="3" t="inlineStr"/>
      <c r="AD64" t="inlineStr">
        <is>
          <t>leasing-press</t>
        </is>
      </c>
      <c r="AE64" t="inlineStr"/>
      <c r="AF64" t="inlineStr">
        <is>
          <t>no-coworking-in-building</t>
        </is>
      </c>
      <c r="AG64" t="inlineStr">
        <is>
          <t>1008260019</t>
        </is>
      </c>
      <c r="AH64" t="n">
        <v>0</v>
      </c>
      <c r="AI64" t="inlineStr"/>
      <c r="AJ64" t="inlineStr">
        <is>
          <t>S3</t>
        </is>
      </c>
      <c r="AK64" s="3" t="inlineStr">
        <is>
          <t>Over 500 company-wide</t>
        </is>
      </c>
    </row>
    <row r="65">
      <c r="A65" t="inlineStr">
        <is>
          <t>B-C-242</t>
        </is>
      </c>
      <c r="B65" t="inlineStr">
        <is>
          <t>Legora</t>
        </is>
      </c>
      <c r="C65" s="2" t="inlineStr">
        <is>
          <t>https://legora.com/</t>
        </is>
      </c>
      <c r="D65" t="inlineStr">
        <is>
          <t>Legal AI software</t>
        </is>
      </c>
      <c r="E65" t="inlineStr">
        <is>
          <t>B-B-052</t>
        </is>
      </c>
      <c r="F65" t="inlineStr">
        <is>
          <t>11 Madison Avenue</t>
        </is>
      </c>
      <c r="G65" t="inlineStr">
        <is>
          <t>11</t>
        </is>
      </c>
      <c r="H65" t="inlineStr">
        <is>
          <t>10010</t>
        </is>
      </c>
      <c r="I65" t="n">
        <v>40.741518</v>
      </c>
      <c r="J65" t="n">
        <v>-73.986485</v>
      </c>
      <c r="K65" t="inlineStr">
        <is>
          <t>Y</t>
        </is>
      </c>
      <c r="L65" t="inlineStr">
        <is>
          <t>over-500</t>
        </is>
      </c>
      <c r="M65" t="inlineStr">
        <is>
          <t>whole-company</t>
        </is>
      </c>
      <c r="N65" s="2" t="inlineStr">
        <is>
          <t>https://www.builtinnyc.com/company/legora/offices</t>
        </is>
      </c>
      <c r="O65" s="2" t="inlineStr">
        <is>
          <t>https://commercialobserver.com/2026/07/ai-firm-legora-takes-98k-sl-greens-11-madison-avenue/</t>
        </is>
      </c>
      <c r="P65" t="inlineStr">
        <is>
          <t>2026-07-23</t>
        </is>
      </c>
      <c r="Q65" s="2" t="inlineStr">
        <is>
          <t>https://flatironnomad.nyc/2026/08/05/july-news-roundup-6/</t>
        </is>
      </c>
      <c r="R65" t="inlineStr">
        <is>
          <t>medium</t>
        </is>
      </c>
      <c r="S65" t="inlineStr">
        <is>
          <t>N</t>
        </is>
      </c>
      <c r="T65" t="inlineStr"/>
      <c r="U65" t="inlineStr"/>
      <c r="V65" s="3" t="inlineStr">
        <is>
          <t>CO Jul 2026: 98,420 sf, entire 11th floor, 10-yr lease (SL Green's release calls it an unnamed 'leading AI tenant'). Built In lists NY HQ at 838 Broadway (current office until the move) and 1,100 total employees. Move-in date unknown. Near-miss (over-500).</t>
        </is>
      </c>
      <c r="W65" t="inlineStr">
        <is>
          <t>2026-10-23</t>
        </is>
      </c>
      <c r="X65" t="inlineStr">
        <is>
          <t>loading dock</t>
        </is>
      </c>
      <c r="Y65" t="inlineStr">
        <is>
          <t>near-miss-over-500</t>
        </is>
      </c>
      <c r="Z65" t="inlineStr">
        <is>
          <t>signed-not-occupied</t>
        </is>
      </c>
      <c r="AA65" t="inlineStr">
        <is>
          <t>unknown</t>
        </is>
      </c>
      <c r="AB65" t="inlineStr">
        <is>
          <t>2026-10-23</t>
        </is>
      </c>
      <c r="AC65" s="3" t="inlineStr"/>
      <c r="AD65" t="inlineStr">
        <is>
          <t>leasing-press</t>
        </is>
      </c>
      <c r="AE65" t="inlineStr">
        <is>
          <t>2026-08-05</t>
        </is>
      </c>
      <c r="AF65" t="inlineStr">
        <is>
          <t>no-coworking-in-building</t>
        </is>
      </c>
      <c r="AG65" t="inlineStr">
        <is>
          <t>1008547501</t>
        </is>
      </c>
      <c r="AH65" t="n">
        <v>0</v>
      </c>
      <c r="AI65" t="inlineStr">
        <is>
          <t>98,420 sf</t>
        </is>
      </c>
      <c r="AJ65" t="inlineStr">
        <is>
          <t>S3</t>
        </is>
      </c>
      <c r="AK65" s="3" t="inlineStr">
        <is>
          <t>Over 500 company-wide</t>
        </is>
      </c>
    </row>
    <row r="66">
      <c r="A66" t="inlineStr">
        <is>
          <t>B-C-243</t>
        </is>
      </c>
      <c r="B66" t="inlineStr">
        <is>
          <t>Pinterest</t>
        </is>
      </c>
      <c r="C66" s="2" t="inlineStr">
        <is>
          <t>https://www.pinterest.com/</t>
        </is>
      </c>
      <c r="D66" t="inlineStr">
        <is>
          <t>Social media / technology</t>
        </is>
      </c>
      <c r="E66" t="inlineStr">
        <is>
          <t>B-B-052</t>
        </is>
      </c>
      <c r="F66" t="inlineStr">
        <is>
          <t>11 Madison Avenue</t>
        </is>
      </c>
      <c r="G66" t="inlineStr">
        <is>
          <t>13</t>
        </is>
      </c>
      <c r="H66" t="inlineStr">
        <is>
          <t>10010</t>
        </is>
      </c>
      <c r="I66" t="n">
        <v>40.741518</v>
      </c>
      <c r="J66" t="n">
        <v>-73.986485</v>
      </c>
      <c r="K66" t="inlineStr">
        <is>
          <t>Y</t>
        </is>
      </c>
      <c r="L66" t="inlineStr">
        <is>
          <t>over-500</t>
        </is>
      </c>
      <c r="M66" t="inlineStr">
        <is>
          <t>whole-company</t>
        </is>
      </c>
      <c r="N66" s="2" t="inlineStr">
        <is>
          <t>https://en.wikipedia.org/wiki/Pinterest</t>
        </is>
      </c>
      <c r="O66" s="2" t="inlineStr">
        <is>
          <t>https://commercialobserver.com/2026/07/ai-firm-legora-takes-98k-sl-greens-11-madison-avenue/</t>
        </is>
      </c>
      <c r="P66" t="inlineStr">
        <is>
          <t>2026-07-23</t>
        </is>
      </c>
      <c r="Q66" s="2" t="inlineStr">
        <is>
          <t>https://slgreen.com/?p=12833</t>
        </is>
      </c>
      <c r="R66" t="inlineStr">
        <is>
          <t>high</t>
        </is>
      </c>
      <c r="S66" t="inlineStr">
        <is>
          <t>N</t>
        </is>
      </c>
      <c r="T66" t="inlineStr"/>
      <c r="U66" t="inlineStr"/>
      <c r="V66" s="3" t="inlineStr">
        <is>
          <t>CO Jul 2026: 83,000 sf, entire 13th floor, 11-yr lease signed June 2025. SL Green Jul 2026 release names Pinterest on the 11 Madison roster. Built In still lists a NY office at 1450 Broadway (stale). Wikipedia infobox: 4,666 employees (2024). Near-miss (over-500).</t>
        </is>
      </c>
      <c r="W66" t="inlineStr">
        <is>
          <t>2026-10-23</t>
        </is>
      </c>
      <c r="X66" t="inlineStr">
        <is>
          <t>loading dock</t>
        </is>
      </c>
      <c r="Y66" t="inlineStr">
        <is>
          <t>near-miss-over-500</t>
        </is>
      </c>
      <c r="Z66" t="inlineStr">
        <is>
          <t>signed-not-occupied</t>
        </is>
      </c>
      <c r="AA66" t="inlineStr">
        <is>
          <t>unknown</t>
        </is>
      </c>
      <c r="AB66" t="inlineStr">
        <is>
          <t>2026-10-23</t>
        </is>
      </c>
      <c r="AC66" s="3" t="inlineStr"/>
      <c r="AD66" t="inlineStr">
        <is>
          <t>leasing-press</t>
        </is>
      </c>
      <c r="AE66" t="inlineStr">
        <is>
          <t>2026-07-22</t>
        </is>
      </c>
      <c r="AF66" t="inlineStr">
        <is>
          <t>no-coworking-in-building</t>
        </is>
      </c>
      <c r="AG66" t="inlineStr">
        <is>
          <t>1008547501</t>
        </is>
      </c>
      <c r="AH66" t="n">
        <v>0</v>
      </c>
      <c r="AI66" t="inlineStr">
        <is>
          <t>83,000 sf</t>
        </is>
      </c>
      <c r="AJ66" t="inlineStr">
        <is>
          <t>S3</t>
        </is>
      </c>
      <c r="AK66" s="3" t="inlineStr">
        <is>
          <t>Over 500 company-wide</t>
        </is>
      </c>
    </row>
    <row r="67">
      <c r="A67" t="inlineStr">
        <is>
          <t>B-C-244</t>
        </is>
      </c>
      <c r="B67" t="inlineStr">
        <is>
          <t>Sony Music Entertainment</t>
        </is>
      </c>
      <c r="C67" s="2" t="inlineStr">
        <is>
          <t>https://www.sonymusic.com/</t>
        </is>
      </c>
      <c r="D67" t="inlineStr">
        <is>
          <t>Music / media</t>
        </is>
      </c>
      <c r="E67" t="inlineStr">
        <is>
          <t>B-B-052</t>
        </is>
      </c>
      <c r="F67" t="inlineStr">
        <is>
          <t>11 Madison Avenue</t>
        </is>
      </c>
      <c r="G67" t="inlineStr">
        <is>
          <t>unknown</t>
        </is>
      </c>
      <c r="H67" t="inlineStr">
        <is>
          <t>10010</t>
        </is>
      </c>
      <c r="I67" t="n">
        <v>40.741518</v>
      </c>
      <c r="J67" t="n">
        <v>-73.986485</v>
      </c>
      <c r="K67" t="inlineStr">
        <is>
          <t>Y</t>
        </is>
      </c>
      <c r="L67" t="inlineStr">
        <is>
          <t>over-500</t>
        </is>
      </c>
      <c r="M67" t="inlineStr">
        <is>
          <t>whole-company</t>
        </is>
      </c>
      <c r="N67" s="2" t="inlineStr">
        <is>
          <t>https://en.wikipedia.org/wiki/Sony_Music</t>
        </is>
      </c>
      <c r="O67" s="2" t="inlineStr">
        <is>
          <t>https://slgreen.com/?p=12833</t>
        </is>
      </c>
      <c r="P67" t="inlineStr">
        <is>
          <t>2026-07-22</t>
        </is>
      </c>
      <c r="Q67" s="2" t="inlineStr">
        <is>
          <t>https://en.wikipedia.org/wiki/Sony_Music</t>
        </is>
      </c>
      <c r="R67" t="inlineStr">
        <is>
          <t>high</t>
        </is>
      </c>
      <c r="S67" t="inlineStr">
        <is>
          <t>N</t>
        </is>
      </c>
      <c r="T67" t="inlineStr"/>
      <c r="U67" t="inlineStr"/>
      <c r="V67" s="3" t="inlineStr">
        <is>
          <t>SL Green Jul 2026 release lists 'SONY' as an 11 Madison tenant; Wikipedia gives Sony Music HQ as 25 Madison Avenue (Metropolitan Life North Building, i.e. the 11 Madison tower). Wikipedia: 11,100 employees (2023). Near-miss (over-500).</t>
        </is>
      </c>
      <c r="W67" t="inlineStr">
        <is>
          <t>2026-10-23</t>
        </is>
      </c>
      <c r="X67" t="inlineStr">
        <is>
          <t>loading dock</t>
        </is>
      </c>
      <c r="Y67" t="inlineStr">
        <is>
          <t>near-miss-over-500</t>
        </is>
      </c>
      <c r="Z67" t="inlineStr">
        <is>
          <t>occupied</t>
        </is>
      </c>
      <c r="AA67" t="inlineStr"/>
      <c r="AB67" t="inlineStr">
        <is>
          <t>2026-10-23</t>
        </is>
      </c>
      <c r="AC67" s="3" t="inlineStr"/>
      <c r="AD67" t="inlineStr">
        <is>
          <t>press-release</t>
        </is>
      </c>
      <c r="AE67" t="inlineStr">
        <is>
          <t>2026-10-23</t>
        </is>
      </c>
      <c r="AF67" t="inlineStr">
        <is>
          <t>no-coworking-in-building</t>
        </is>
      </c>
      <c r="AG67" t="inlineStr">
        <is>
          <t>1008547501</t>
        </is>
      </c>
      <c r="AH67" t="n">
        <v>0</v>
      </c>
      <c r="AI67" t="inlineStr"/>
      <c r="AJ67" t="inlineStr">
        <is>
          <t>S3</t>
        </is>
      </c>
      <c r="AK67" s="3" t="inlineStr">
        <is>
          <t>Over 500 company-wide</t>
        </is>
      </c>
    </row>
    <row r="68">
      <c r="A68" t="inlineStr">
        <is>
          <t>B-C-245</t>
        </is>
      </c>
      <c r="B68" t="inlineStr">
        <is>
          <t>Suntory Global Spirits (Jim Beam Brands)</t>
        </is>
      </c>
      <c r="C68" s="2" t="inlineStr">
        <is>
          <t>https://www.suntoryglobalspirits.com/</t>
        </is>
      </c>
      <c r="D68" t="inlineStr">
        <is>
          <t>Consumer brand (spirits)</t>
        </is>
      </c>
      <c r="E68" t="inlineStr">
        <is>
          <t>B-B-052</t>
        </is>
      </c>
      <c r="F68" t="inlineStr">
        <is>
          <t>11 Madison Avenue</t>
        </is>
      </c>
      <c r="G68" t="inlineStr">
        <is>
          <t>unknown</t>
        </is>
      </c>
      <c r="H68" t="inlineStr">
        <is>
          <t>10010</t>
        </is>
      </c>
      <c r="I68" t="n">
        <v>40.741518</v>
      </c>
      <c r="J68" t="n">
        <v>-73.986485</v>
      </c>
      <c r="K68" t="inlineStr">
        <is>
          <t>Y</t>
        </is>
      </c>
      <c r="L68" t="inlineStr">
        <is>
          <t>over-500</t>
        </is>
      </c>
      <c r="M68" t="inlineStr">
        <is>
          <t>whole-company</t>
        </is>
      </c>
      <c r="N68" s="2" t="inlineStr">
        <is>
          <t>https://en.wikipedia.org/wiki/Suntory_Global_Spirits</t>
        </is>
      </c>
      <c r="O68" s="2" t="inlineStr">
        <is>
          <t>https://slgreen.com/?p=12833</t>
        </is>
      </c>
      <c r="P68" t="inlineStr">
        <is>
          <t>2026-07-22</t>
        </is>
      </c>
      <c r="Q68" s="2" t="inlineStr">
        <is>
          <t>https://commercialobserver.com/2026/07/ai-firm-legora-takes-98k-sl-greens-11-madison-avenue/</t>
        </is>
      </c>
      <c r="R68" t="inlineStr">
        <is>
          <t>high</t>
        </is>
      </c>
      <c r="S68" t="inlineStr">
        <is>
          <t>N</t>
        </is>
      </c>
      <c r="T68" t="inlineStr"/>
      <c r="U68" t="inlineStr"/>
      <c r="V68" s="3" t="inlineStr">
        <is>
          <t>SL Green Jul 2026 release and CO Jul 2026 list 'Jim Beam Brands' at 11 Madison. REBusiness Oct 2022: Suntory signed a 100,000 sf full-floor HQ lease at 11 Madison, relocating from Chicago; 'About 150 employees will work in the full-floor space' (a 2022 planning figure for this office, not a current count). Wikipedia: Suntory Global Spirits, HQ New York City, 6,000 employees. Whole company over 500, so near-miss; the NYC office itself may be in Desk Drop's range, founder to confirm. Alcohol company: fine as an office host, but Desk Drop brands exclude alcohol.</t>
        </is>
      </c>
      <c r="W68" t="inlineStr">
        <is>
          <t>2026-10-23</t>
        </is>
      </c>
      <c r="X68" t="inlineStr">
        <is>
          <t>loading dock</t>
        </is>
      </c>
      <c r="Y68" t="inlineStr">
        <is>
          <t>near-miss-over-500</t>
        </is>
      </c>
      <c r="Z68" t="inlineStr">
        <is>
          <t>occupied</t>
        </is>
      </c>
      <c r="AA68" t="inlineStr"/>
      <c r="AB68" t="inlineStr">
        <is>
          <t>2026-10-23</t>
        </is>
      </c>
      <c r="AC68" s="3" t="inlineStr"/>
      <c r="AD68" t="inlineStr">
        <is>
          <t>press-release</t>
        </is>
      </c>
      <c r="AE68" t="inlineStr">
        <is>
          <t>2026-07-23</t>
        </is>
      </c>
      <c r="AF68" t="inlineStr">
        <is>
          <t>no-coworking-in-building</t>
        </is>
      </c>
      <c r="AG68" t="inlineStr">
        <is>
          <t>1008547501</t>
        </is>
      </c>
      <c r="AH68" t="n">
        <v>0</v>
      </c>
      <c r="AI68" t="inlineStr">
        <is>
          <t>100,000 sf</t>
        </is>
      </c>
      <c r="AJ68" t="inlineStr">
        <is>
          <t>S3</t>
        </is>
      </c>
      <c r="AK68" s="3" t="inlineStr">
        <is>
          <t>Over 500 company-wide; the NYC office alone may fit the 40-250 band, founder to confirm</t>
        </is>
      </c>
    </row>
    <row r="69">
      <c r="A69" t="inlineStr">
        <is>
          <t>B-C-246</t>
        </is>
      </c>
      <c r="B69" t="inlineStr">
        <is>
          <t>Tempus AI</t>
        </is>
      </c>
      <c r="C69" s="2" t="inlineStr">
        <is>
          <t>https://www.tempus.com/</t>
        </is>
      </c>
      <c r="D69" t="inlineStr">
        <is>
          <t>Healthcare technology / AI</t>
        </is>
      </c>
      <c r="E69" t="inlineStr">
        <is>
          <t>B-B-052</t>
        </is>
      </c>
      <c r="F69" t="inlineStr">
        <is>
          <t>11 Madison Avenue</t>
        </is>
      </c>
      <c r="G69" t="inlineStr">
        <is>
          <t>unknown</t>
        </is>
      </c>
      <c r="H69" t="inlineStr">
        <is>
          <t>10010</t>
        </is>
      </c>
      <c r="I69" t="n">
        <v>40.741518</v>
      </c>
      <c r="J69" t="n">
        <v>-73.986485</v>
      </c>
      <c r="K69" t="inlineStr">
        <is>
          <t>Y</t>
        </is>
      </c>
      <c r="L69" t="inlineStr">
        <is>
          <t>over-500</t>
        </is>
      </c>
      <c r="M69" t="inlineStr">
        <is>
          <t>whole-company</t>
        </is>
      </c>
      <c r="N69" s="2" t="inlineStr">
        <is>
          <t>https://en.wikipedia.org/wiki/Tempus_AI</t>
        </is>
      </c>
      <c r="O69" s="2" t="inlineStr">
        <is>
          <t>https://commercialobserver.com/2026/03/clay-ai-lease-sl-green-11-madison-avenue/</t>
        </is>
      </c>
      <c r="P69" t="inlineStr">
        <is>
          <t>2026-03-09</t>
        </is>
      </c>
      <c r="Q69" s="2" t="inlineStr">
        <is>
          <t>https://commercialobserver.com/2026/07/ai-firm-legora-takes-98k-sl-greens-11-madison-avenue/</t>
        </is>
      </c>
      <c r="R69" t="inlineStr">
        <is>
          <t>medium</t>
        </is>
      </c>
      <c r="S69" t="inlineStr">
        <is>
          <t>N</t>
        </is>
      </c>
      <c r="T69" t="inlineStr"/>
      <c r="U69" t="inlineStr"/>
      <c r="V69" s="3" t="inlineStr">
        <is>
          <t>CO Mar 2026 and Jul 2026: 39,565 sf, 10-yr lease signed Aug 2025 (both CO, treated as one publisher). HQ Chicago. Wikipedia: 2,300 employees (2024); Built In: 3,775. Near-miss (over-500).</t>
        </is>
      </c>
      <c r="W69" t="inlineStr">
        <is>
          <t>2026-10-23</t>
        </is>
      </c>
      <c r="X69" t="inlineStr">
        <is>
          <t>loading dock</t>
        </is>
      </c>
      <c r="Y69" t="inlineStr">
        <is>
          <t>near-miss-over-500</t>
        </is>
      </c>
      <c r="Z69" t="inlineStr">
        <is>
          <t>occupancy-unconfirmed</t>
        </is>
      </c>
      <c r="AA69" t="inlineStr"/>
      <c r="AB69" t="inlineStr">
        <is>
          <t>2026-10-23</t>
        </is>
      </c>
      <c r="AC69" s="3" t="inlineStr"/>
      <c r="AD69" t="inlineStr">
        <is>
          <t>leasing-press</t>
        </is>
      </c>
      <c r="AE69" t="inlineStr">
        <is>
          <t>2026-07-23</t>
        </is>
      </c>
      <c r="AF69" t="inlineStr">
        <is>
          <t>no-coworking-in-building</t>
        </is>
      </c>
      <c r="AG69" t="inlineStr">
        <is>
          <t>1008547501</t>
        </is>
      </c>
      <c r="AH69" t="n">
        <v>0</v>
      </c>
      <c r="AI69" t="inlineStr">
        <is>
          <t>39,565 sf</t>
        </is>
      </c>
      <c r="AJ69" t="inlineStr">
        <is>
          <t>S3</t>
        </is>
      </c>
      <c r="AK69" s="3" t="inlineStr">
        <is>
          <t>Over 500 company-wide</t>
        </is>
      </c>
    </row>
    <row r="70">
      <c r="A70" t="inlineStr">
        <is>
          <t>B-C-247</t>
        </is>
      </c>
      <c r="B70" t="inlineStr">
        <is>
          <t>UBS</t>
        </is>
      </c>
      <c r="C70" s="2" t="inlineStr">
        <is>
          <t>https://www.ubs.com/</t>
        </is>
      </c>
      <c r="D70" t="inlineStr">
        <is>
          <t>Banking / financial services</t>
        </is>
      </c>
      <c r="E70" t="inlineStr">
        <is>
          <t>B-B-052</t>
        </is>
      </c>
      <c r="F70" t="inlineStr">
        <is>
          <t>11 Madison Avenue</t>
        </is>
      </c>
      <c r="G70" t="inlineStr">
        <is>
          <t>unknown</t>
        </is>
      </c>
      <c r="H70" t="inlineStr">
        <is>
          <t>10010</t>
        </is>
      </c>
      <c r="I70" t="n">
        <v>40.741518</v>
      </c>
      <c r="J70" t="n">
        <v>-73.986485</v>
      </c>
      <c r="K70" t="inlineStr">
        <is>
          <t>Y</t>
        </is>
      </c>
      <c r="L70" t="inlineStr">
        <is>
          <t>over-500</t>
        </is>
      </c>
      <c r="M70" t="inlineStr">
        <is>
          <t>whole-company</t>
        </is>
      </c>
      <c r="N70" s="2" t="inlineStr">
        <is>
          <t>https://en.wikipedia.org/wiki/UBS</t>
        </is>
      </c>
      <c r="O70" s="2" t="inlineStr">
        <is>
          <t>https://slgreen.com/?p=12833</t>
        </is>
      </c>
      <c r="P70" t="inlineStr">
        <is>
          <t>2026-07-22</t>
        </is>
      </c>
      <c r="Q70" s="2" t="inlineStr">
        <is>
          <t>https://commercialobserver.com/2026/07/ai-firm-legora-takes-98k-sl-greens-11-madison-avenue/</t>
        </is>
      </c>
      <c r="R70" t="inlineStr">
        <is>
          <t>high</t>
        </is>
      </c>
      <c r="S70" t="inlineStr">
        <is>
          <t>N</t>
        </is>
      </c>
      <c r="T70" t="inlineStr"/>
      <c r="U70" t="inlineStr"/>
      <c r="V70" s="3" t="inlineStr">
        <is>
          <t>SL Green Jul 2026 release and CO Jul 2026 list UBS at 11 Madison (former Credit Suisse offices; FNP Oct 2023 roundup reported the move). Wikipedia: 105,236 employees (2025). Near-miss (over-500).</t>
        </is>
      </c>
      <c r="W70" t="inlineStr">
        <is>
          <t>2026-10-23</t>
        </is>
      </c>
      <c r="X70" t="inlineStr">
        <is>
          <t>loading dock</t>
        </is>
      </c>
      <c r="Y70" t="inlineStr">
        <is>
          <t>near-miss-over-500</t>
        </is>
      </c>
      <c r="Z70" t="inlineStr">
        <is>
          <t>occupied</t>
        </is>
      </c>
      <c r="AA70" t="inlineStr"/>
      <c r="AB70" t="inlineStr">
        <is>
          <t>2026-10-23</t>
        </is>
      </c>
      <c r="AC70" s="3" t="inlineStr"/>
      <c r="AD70" t="inlineStr">
        <is>
          <t>press-release</t>
        </is>
      </c>
      <c r="AE70" t="inlineStr">
        <is>
          <t>2026-07-23</t>
        </is>
      </c>
      <c r="AF70" t="inlineStr">
        <is>
          <t>no-coworking-in-building</t>
        </is>
      </c>
      <c r="AG70" t="inlineStr">
        <is>
          <t>1008547501</t>
        </is>
      </c>
      <c r="AH70" t="n">
        <v>0</v>
      </c>
      <c r="AI70" t="inlineStr"/>
      <c r="AJ70" t="inlineStr">
        <is>
          <t>S3</t>
        </is>
      </c>
      <c r="AK70" s="3" t="inlineStr">
        <is>
          <t>Over 500 company-wide</t>
        </is>
      </c>
    </row>
    <row r="71">
      <c r="A71" t="inlineStr">
        <is>
          <t>B-C-248</t>
        </is>
      </c>
      <c r="B71" t="inlineStr">
        <is>
          <t>WME</t>
        </is>
      </c>
      <c r="C71" s="2" t="inlineStr">
        <is>
          <t>https://www.wmeagency.com/</t>
        </is>
      </c>
      <c r="D71" t="inlineStr">
        <is>
          <t>Talent agency / entertainment</t>
        </is>
      </c>
      <c r="E71" t="inlineStr">
        <is>
          <t>B-B-052</t>
        </is>
      </c>
      <c r="F71" t="inlineStr">
        <is>
          <t>11 Madison Avenue</t>
        </is>
      </c>
      <c r="G71" t="inlineStr">
        <is>
          <t>unknown</t>
        </is>
      </c>
      <c r="H71" t="inlineStr">
        <is>
          <t>10010</t>
        </is>
      </c>
      <c r="I71" t="n">
        <v>40.741518</v>
      </c>
      <c r="J71" t="n">
        <v>-73.986485</v>
      </c>
      <c r="K71" t="inlineStr">
        <is>
          <t>Y</t>
        </is>
      </c>
      <c r="L71" t="inlineStr">
        <is>
          <t>over-500</t>
        </is>
      </c>
      <c r="M71" t="inlineStr">
        <is>
          <t>whole-company</t>
        </is>
      </c>
      <c r="N71" s="2" t="inlineStr">
        <is>
          <t>https://en.wikipedia.org/wiki/William_Morris_Endeavor</t>
        </is>
      </c>
      <c r="O71" s="2" t="inlineStr">
        <is>
          <t>https://slgreen.com/?p=12833</t>
        </is>
      </c>
      <c r="P71" t="inlineStr">
        <is>
          <t>2026-07-22</t>
        </is>
      </c>
      <c r="Q71" s="2" t="inlineStr">
        <is>
          <t>https://commercialobserver.com/2026/07/ai-firm-legora-takes-98k-sl-greens-11-madison-avenue/</t>
        </is>
      </c>
      <c r="R71" t="inlineStr">
        <is>
          <t>high</t>
        </is>
      </c>
      <c r="S71" t="inlineStr">
        <is>
          <t>N</t>
        </is>
      </c>
      <c r="T71" t="inlineStr"/>
      <c r="U71" t="inlineStr"/>
      <c r="V71" s="3" t="inlineStr">
        <is>
          <t>SL Green Jul 2026 release and CO Jul 2026 list WME at 11 Madison. 160over90 (WME Group) says its NYC office 'sits right on the beautiful Madison Square Park' near other WME Group businesses (160over90.com/locations/nyc, no street given). Wikipedia: c. 10,000 employees (2024). Near-miss (over-500).</t>
        </is>
      </c>
      <c r="W71" t="inlineStr">
        <is>
          <t>2026-10-23</t>
        </is>
      </c>
      <c r="X71" t="inlineStr">
        <is>
          <t>loading dock</t>
        </is>
      </c>
      <c r="Y71" t="inlineStr">
        <is>
          <t>near-miss-over-500</t>
        </is>
      </c>
      <c r="Z71" t="inlineStr">
        <is>
          <t>occupied</t>
        </is>
      </c>
      <c r="AA71" t="inlineStr"/>
      <c r="AB71" t="inlineStr">
        <is>
          <t>2026-10-23</t>
        </is>
      </c>
      <c r="AC71" s="3" t="inlineStr"/>
      <c r="AD71" t="inlineStr">
        <is>
          <t>press-release</t>
        </is>
      </c>
      <c r="AE71" t="inlineStr">
        <is>
          <t>2026-07-23</t>
        </is>
      </c>
      <c r="AF71" t="inlineStr">
        <is>
          <t>no-coworking-in-building</t>
        </is>
      </c>
      <c r="AG71" t="inlineStr">
        <is>
          <t>1008547501</t>
        </is>
      </c>
      <c r="AH71" t="n">
        <v>0</v>
      </c>
      <c r="AI71" t="inlineStr"/>
      <c r="AJ71" t="inlineStr">
        <is>
          <t>S3</t>
        </is>
      </c>
      <c r="AK71" s="3" t="inlineStr">
        <is>
          <t>Over 500 company-wide</t>
        </is>
      </c>
    </row>
    <row r="72">
      <c r="A72" t="inlineStr">
        <is>
          <t>B-C-249</t>
        </is>
      </c>
      <c r="B72" t="inlineStr">
        <is>
          <t>Persona</t>
        </is>
      </c>
      <c r="C72" s="2" t="inlineStr">
        <is>
          <t>https://withpersona.com/</t>
        </is>
      </c>
      <c r="D72" t="inlineStr">
        <is>
          <t>Software (identity verification)</t>
        </is>
      </c>
      <c r="E72" t="inlineStr"/>
      <c r="F72" t="inlineStr">
        <is>
          <t>41 West 25th Street</t>
        </is>
      </c>
      <c r="G72" t="inlineStr">
        <is>
          <t>2</t>
        </is>
      </c>
      <c r="H72" t="inlineStr">
        <is>
          <t>10010</t>
        </is>
      </c>
      <c r="I72" t="n">
        <v>40.743977</v>
      </c>
      <c r="J72" t="n">
        <v>-73.99079</v>
      </c>
      <c r="K72" t="inlineStr">
        <is>
          <t>Y</t>
        </is>
      </c>
      <c r="L72" t="inlineStr">
        <is>
          <t>over-500</t>
        </is>
      </c>
      <c r="M72" t="inlineStr">
        <is>
          <t>whole-company</t>
        </is>
      </c>
      <c r="N72" s="2" t="inlineStr">
        <is>
          <t>https://www.builtinnyc.com/company/persona/offices</t>
        </is>
      </c>
      <c r="O72" s="2" t="inlineStr">
        <is>
          <t>https://www.builtinnyc.com/company/persona/offices</t>
        </is>
      </c>
      <c r="P72" t="inlineStr">
        <is>
          <t>2026-10-24</t>
        </is>
      </c>
      <c r="Q72" t="inlineStr"/>
      <c r="R72" t="inlineStr">
        <is>
          <t>medium</t>
        </is>
      </c>
      <c r="S72" t="inlineStr">
        <is>
          <t>N</t>
        </is>
      </c>
      <c r="T72" t="inlineStr"/>
      <c r="U72" t="inlineStr"/>
      <c r="V72" s="3" t="inlineStr">
        <is>
          <t>Built In only: New York office '41 W 25th St, 2nd Floor'; HQ San Francisco; 600 total employees. Company site returned 403. Founder to confirm. Near-miss (over-500).</t>
        </is>
      </c>
      <c r="W72" t="inlineStr">
        <is>
          <t>2026-10-23</t>
        </is>
      </c>
      <c r="X72" t="inlineStr">
        <is>
          <t>unknown</t>
        </is>
      </c>
      <c r="Y72" t="inlineStr">
        <is>
          <t>near-miss-over-500</t>
        </is>
      </c>
      <c r="Z72" t="inlineStr">
        <is>
          <t>occupancy-unconfirmed</t>
        </is>
      </c>
      <c r="AA72" t="inlineStr"/>
      <c r="AB72" t="inlineStr">
        <is>
          <t>2026-10-24</t>
        </is>
      </c>
      <c r="AC72" s="3" t="inlineStr"/>
      <c r="AD72" t="inlineStr">
        <is>
          <t>builtin</t>
        </is>
      </c>
      <c r="AE72" t="inlineStr"/>
      <c r="AF72" t="inlineStr">
        <is>
          <t>no-coworking-in-building</t>
        </is>
      </c>
      <c r="AG72" t="inlineStr">
        <is>
          <t>1008270012</t>
        </is>
      </c>
      <c r="AH72" t="n">
        <v>0</v>
      </c>
      <c r="AI72" t="inlineStr"/>
      <c r="AJ72" t="inlineStr">
        <is>
          <t>S3</t>
        </is>
      </c>
      <c r="AK72" s="3" t="inlineStr">
        <is>
          <t>Over 500 company-wide (Built In shows 600, just over 500)</t>
        </is>
      </c>
    </row>
    <row r="73">
      <c r="A73" t="inlineStr">
        <is>
          <t>B-C-250</t>
        </is>
      </c>
      <c r="B73" t="inlineStr">
        <is>
          <t>Mphasis</t>
        </is>
      </c>
      <c r="C73" s="2" t="inlineStr">
        <is>
          <t>https://www.mphasis.com</t>
        </is>
      </c>
      <c r="D73" t="inlineStr">
        <is>
          <t>IT services</t>
        </is>
      </c>
      <c r="E73" t="inlineStr">
        <is>
          <t>B-B-057</t>
        </is>
      </c>
      <c r="F73" t="inlineStr">
        <is>
          <t>41 Madison Avenue</t>
        </is>
      </c>
      <c r="G73" t="inlineStr">
        <is>
          <t>35-36</t>
        </is>
      </c>
      <c r="H73" t="inlineStr">
        <is>
          <t>10010</t>
        </is>
      </c>
      <c r="I73" t="n">
        <v>40.742351</v>
      </c>
      <c r="J73" t="n">
        <v>-73.98630900000001</v>
      </c>
      <c r="K73" t="inlineStr">
        <is>
          <t>Y</t>
        </is>
      </c>
      <c r="L73" t="inlineStr">
        <is>
          <t>over-500</t>
        </is>
      </c>
      <c r="M73" t="inlineStr">
        <is>
          <t>whole-company</t>
        </is>
      </c>
      <c r="N73" s="2" t="inlineStr">
        <is>
          <t>https://www.builtinnyc.com/company/mphasis/offices</t>
        </is>
      </c>
      <c r="O73" s="2" t="inlineStr">
        <is>
          <t>https://commercialobserver.com/2026/10/mphasis-lease-expansion-rudin-41-madison-avenue/</t>
        </is>
      </c>
      <c r="P73" t="inlineStr">
        <is>
          <t>2026-10-22</t>
        </is>
      </c>
      <c r="Q73" t="inlineStr"/>
      <c r="R73" t="inlineStr">
        <is>
          <t>medium</t>
        </is>
      </c>
      <c r="S73" t="inlineStr">
        <is>
          <t>N</t>
        </is>
      </c>
      <c r="T73" t="inlineStr"/>
      <c r="U73" t="inlineStr"/>
      <c r="V73" s="3" t="inlineStr">
        <is>
          <t>Expanding to 27,709 SF (adds full 36th floor, keeps 35th) with a 10-year extension. Built In: 37,500 employees (HQ Bengaluru). Over 500: near-miss.</t>
        </is>
      </c>
      <c r="W73" t="inlineStr">
        <is>
          <t>2026-10-23</t>
        </is>
      </c>
      <c r="X73" t="inlineStr">
        <is>
          <t>security desk</t>
        </is>
      </c>
      <c r="Y73" t="inlineStr">
        <is>
          <t>near-miss-over-500</t>
        </is>
      </c>
      <c r="Z73" t="inlineStr">
        <is>
          <t>occupied</t>
        </is>
      </c>
      <c r="AA73" t="inlineStr"/>
      <c r="AB73" t="inlineStr">
        <is>
          <t>2026-10-23</t>
        </is>
      </c>
      <c r="AC73" s="3" t="inlineStr"/>
      <c r="AD73" t="inlineStr">
        <is>
          <t>leasing-press</t>
        </is>
      </c>
      <c r="AE73" t="inlineStr"/>
      <c r="AF73" t="inlineStr">
        <is>
          <t>different-floor</t>
        </is>
      </c>
      <c r="AG73" t="inlineStr">
        <is>
          <t>1008550037</t>
        </is>
      </c>
      <c r="AH73" t="n">
        <v>0</v>
      </c>
      <c r="AI73" t="inlineStr">
        <is>
          <t>27,709 sf</t>
        </is>
      </c>
      <c r="AJ73" t="inlineStr">
        <is>
          <t>S4</t>
        </is>
      </c>
      <c r="AK73" s="3" t="inlineStr">
        <is>
          <t>Over 500 company-wide</t>
        </is>
      </c>
    </row>
    <row r="74">
      <c r="A74" t="inlineStr">
        <is>
          <t>B-C-251</t>
        </is>
      </c>
      <c r="B74" t="inlineStr">
        <is>
          <t>SharkNinja</t>
        </is>
      </c>
      <c r="C74" s="2" t="inlineStr">
        <is>
          <t>https://www.sharkninja.com</t>
        </is>
      </c>
      <c r="D74" t="inlineStr">
        <is>
          <t>consumer products (home appliances)</t>
        </is>
      </c>
      <c r="E74" t="inlineStr">
        <is>
          <t>B-B-057</t>
        </is>
      </c>
      <c r="F74" t="inlineStr">
        <is>
          <t>41 Madison Avenue</t>
        </is>
      </c>
      <c r="G74" t="inlineStr">
        <is>
          <t>unknown</t>
        </is>
      </c>
      <c r="H74" t="inlineStr">
        <is>
          <t>10010</t>
        </is>
      </c>
      <c r="I74" t="n">
        <v>40.742351</v>
      </c>
      <c r="J74" t="n">
        <v>-73.98630900000001</v>
      </c>
      <c r="K74" t="inlineStr">
        <is>
          <t>Y</t>
        </is>
      </c>
      <c r="L74" t="inlineStr">
        <is>
          <t>over-500</t>
        </is>
      </c>
      <c r="M74" t="inlineStr">
        <is>
          <t>whole-company</t>
        </is>
      </c>
      <c r="N74" s="2" t="inlineStr">
        <is>
          <t>https://www.builtinnyc.com/company/sharkninja/offices</t>
        </is>
      </c>
      <c r="O74" s="2" t="inlineStr">
        <is>
          <t>https://www.builtinnyc.com/articles/sharkninja-opens-nyc-office-20251105</t>
        </is>
      </c>
      <c r="P74" t="inlineStr">
        <is>
          <t>2025-11-05</t>
        </is>
      </c>
      <c r="Q74" s="2" t="inlineStr">
        <is>
          <t>https://commercialobserver.com/2025/01/sharkninja-rudin-41-madison-avenue/</t>
        </is>
      </c>
      <c r="R74" t="inlineStr">
        <is>
          <t>high</t>
        </is>
      </c>
      <c r="S74" t="inlineStr">
        <is>
          <t>N</t>
        </is>
      </c>
      <c r="T74" t="inlineStr"/>
      <c r="U74" t="inlineStr"/>
      <c r="V74" s="3" t="inlineStr">
        <is>
          <t>First NYC office, a Creative Design Hub for creative, design and marketing teams: 10-year 14,296 SF lease (CO 2025-01-30), opened Nov 2025 (Built In article 2025-11-05). Built In: 4,000 total employees, HQ Needham MA; NYC team size not stated. Over 500 company-wide: near-miss, though a consumer brand creative hub is a natural fit.</t>
        </is>
      </c>
      <c r="W74" t="inlineStr">
        <is>
          <t>2026-10-23</t>
        </is>
      </c>
      <c r="X74" t="inlineStr">
        <is>
          <t>security desk</t>
        </is>
      </c>
      <c r="Y74" t="inlineStr">
        <is>
          <t>near-miss-over-500</t>
        </is>
      </c>
      <c r="Z74" t="inlineStr">
        <is>
          <t>occupied</t>
        </is>
      </c>
      <c r="AA74" t="inlineStr"/>
      <c r="AB74" t="inlineStr">
        <is>
          <t>2026-10-23</t>
        </is>
      </c>
      <c r="AC74" s="3" t="inlineStr"/>
      <c r="AD74" t="inlineStr">
        <is>
          <t>builtin</t>
        </is>
      </c>
      <c r="AE74" t="inlineStr">
        <is>
          <t>2025-01-30</t>
        </is>
      </c>
      <c r="AF74" t="inlineStr">
        <is>
          <t>direct-lease-documented</t>
        </is>
      </c>
      <c r="AG74" t="inlineStr">
        <is>
          <t>1008550037</t>
        </is>
      </c>
      <c r="AH74" t="n">
        <v>0</v>
      </c>
      <c r="AI74" t="inlineStr">
        <is>
          <t>14,296 sf</t>
        </is>
      </c>
      <c r="AJ74" t="inlineStr">
        <is>
          <t>S4</t>
        </is>
      </c>
      <c r="AK74" s="3" t="inlineStr">
        <is>
          <t>Over 500 company-wide; the NYC office alone may fit the 40-250 band, founder to confirm</t>
        </is>
      </c>
    </row>
    <row r="75">
      <c r="A75" t="inlineStr">
        <is>
          <t>B-C-252</t>
        </is>
      </c>
      <c r="B75" t="inlineStr">
        <is>
          <t>Marriott International (Luxury Group NYC office)</t>
        </is>
      </c>
      <c r="C75" s="2" t="inlineStr">
        <is>
          <t>https://www.marriott.com/</t>
        </is>
      </c>
      <c r="D75" t="inlineStr">
        <is>
          <t>Hospitality (corporate office)</t>
        </is>
      </c>
      <c r="E75" t="inlineStr">
        <is>
          <t>B-B-059</t>
        </is>
      </c>
      <c r="F75" t="inlineStr">
        <is>
          <t>360 Park Avenue South</t>
        </is>
      </c>
      <c r="G75" t="inlineStr">
        <is>
          <t>14</t>
        </is>
      </c>
      <c r="H75" t="inlineStr">
        <is>
          <t>10010</t>
        </is>
      </c>
      <c r="I75" t="n">
        <v>40.742105</v>
      </c>
      <c r="J75" t="n">
        <v>-73.985534</v>
      </c>
      <c r="K75" t="inlineStr">
        <is>
          <t>Y</t>
        </is>
      </c>
      <c r="L75" t="inlineStr">
        <is>
          <t>over-500</t>
        </is>
      </c>
      <c r="M75" t="inlineStr">
        <is>
          <t>whole-company</t>
        </is>
      </c>
      <c r="N75" s="2" t="inlineStr">
        <is>
          <t>https://en.wikipedia.org/wiki/Marriott_International</t>
        </is>
      </c>
      <c r="O75" s="2" t="inlineStr">
        <is>
          <t>https://www.connectcre.com/stories/bxp-secures-230k-sf-of-leases-at-360-park-ave-south/</t>
        </is>
      </c>
      <c r="P75" t="inlineStr">
        <is>
          <t>2026-03-16</t>
        </is>
      </c>
      <c r="Q75" s="2" t="inlineStr">
        <is>
          <t>https://commercialobserver.com/2026/09/rogo-technologies-360-park-avenue-south-lease-expansion/</t>
        </is>
      </c>
      <c r="R75" t="inlineStr">
        <is>
          <t>high</t>
        </is>
      </c>
      <c r="S75" t="inlineStr">
        <is>
          <t>N</t>
        </is>
      </c>
      <c r="T75" t="inlineStr"/>
      <c r="U75" t="inlineStr"/>
      <c r="V75" s="3" t="inlineStr">
        <is>
          <t>ConnectCRE Mar 2026: about 23,000 sf for NYC-based corporate associates of the Luxury Group, global brand PR and Riott Haus Creative (in-house agency). CO Sep 2026 lists Marriott's Luxury Group as a tenant. Wikipedia: 418,000 employees (2024). NYC office size unknown. Near-miss (over-500).</t>
        </is>
      </c>
      <c r="W75" t="inlineStr">
        <is>
          <t>2026-10-23</t>
        </is>
      </c>
      <c r="X75" t="inlineStr">
        <is>
          <t>unknown</t>
        </is>
      </c>
      <c r="Y75" t="inlineStr">
        <is>
          <t>near-miss-over-500</t>
        </is>
      </c>
      <c r="Z75" t="inlineStr">
        <is>
          <t>occupancy-unconfirmed</t>
        </is>
      </c>
      <c r="AA75" t="inlineStr"/>
      <c r="AB75" t="inlineStr">
        <is>
          <t>2026-10-23</t>
        </is>
      </c>
      <c r="AC75" s="3" t="inlineStr"/>
      <c r="AD75" t="inlineStr">
        <is>
          <t>leasing-press</t>
        </is>
      </c>
      <c r="AE75" t="inlineStr">
        <is>
          <t>2026-09-22</t>
        </is>
      </c>
      <c r="AF75" t="inlineStr">
        <is>
          <t>no-coworking-in-building</t>
        </is>
      </c>
      <c r="AG75" t="inlineStr">
        <is>
          <t>1008550024</t>
        </is>
      </c>
      <c r="AH75" t="n">
        <v>0</v>
      </c>
      <c r="AI75" t="inlineStr">
        <is>
          <t>23,000 sf</t>
        </is>
      </c>
      <c r="AJ75" t="inlineStr">
        <is>
          <t>S3</t>
        </is>
      </c>
      <c r="AK75" s="3" t="inlineStr">
        <is>
          <t>Over 500 company-wide; the NYC office alone may fit the 40-250 band, founder to confirm</t>
        </is>
      </c>
    </row>
    <row r="76">
      <c r="A76" t="inlineStr">
        <is>
          <t>B-C-253</t>
        </is>
      </c>
      <c r="B76" t="inlineStr">
        <is>
          <t>Optiver</t>
        </is>
      </c>
      <c r="C76" s="2" t="inlineStr">
        <is>
          <t>https://optiver.com</t>
        </is>
      </c>
      <c r="D76" t="inlineStr">
        <is>
          <t>proprietary trading</t>
        </is>
      </c>
      <c r="E76" t="inlineStr">
        <is>
          <t>B-B-059</t>
        </is>
      </c>
      <c r="F76" t="inlineStr">
        <is>
          <t>360 Park Avenue South</t>
        </is>
      </c>
      <c r="G76" t="inlineStr">
        <is>
          <t>12 (Suite 1200)</t>
        </is>
      </c>
      <c r="H76" t="inlineStr">
        <is>
          <t>10010</t>
        </is>
      </c>
      <c r="I76" t="n">
        <v>40.742105</v>
      </c>
      <c r="J76" t="n">
        <v>-73.985534</v>
      </c>
      <c r="K76" t="inlineStr">
        <is>
          <t>Y</t>
        </is>
      </c>
      <c r="L76" t="inlineStr">
        <is>
          <t>over-500</t>
        </is>
      </c>
      <c r="M76" t="inlineStr">
        <is>
          <t>whole-company</t>
        </is>
      </c>
      <c r="N76" s="2" t="inlineStr">
        <is>
          <t>https://www.builtinnyc.com/company/optiver/offices</t>
        </is>
      </c>
      <c r="O76" s="2" t="inlineStr">
        <is>
          <t>https://commercialobserver.com/2025/05/optiver-lease-360-park-avenue-south/</t>
        </is>
      </c>
      <c r="P76" t="inlineStr">
        <is>
          <t>2025-05-20</t>
        </is>
      </c>
      <c r="Q76" s="2" t="inlineStr">
        <is>
          <t>https://www.builtinnyc.com/company/optiver/offices</t>
        </is>
      </c>
      <c r="R76" t="inlineStr">
        <is>
          <t>high</t>
        </is>
      </c>
      <c r="S76" t="inlineStr">
        <is>
          <t>N</t>
        </is>
      </c>
      <c r="T76" t="inlineStr"/>
      <c r="U76" t="inlineStr"/>
      <c r="V76" s="3" t="inlineStr">
        <is>
          <t>First NYC office: 23,038 SF prebuilt full 12th floor. Built In lists New York office at 360 Park Avenue South Suite 1200; 1,600 total employees. Over 500: near-miss.</t>
        </is>
      </c>
      <c r="W76" t="inlineStr">
        <is>
          <t>2026-10-23</t>
        </is>
      </c>
      <c r="X76" t="inlineStr">
        <is>
          <t>unknown</t>
        </is>
      </c>
      <c r="Y76" t="inlineStr">
        <is>
          <t>near-miss-over-500</t>
        </is>
      </c>
      <c r="Z76" t="inlineStr">
        <is>
          <t>occupied</t>
        </is>
      </c>
      <c r="AA76" t="inlineStr"/>
      <c r="AB76" t="inlineStr">
        <is>
          <t>2026-10-23</t>
        </is>
      </c>
      <c r="AC76" s="3" t="inlineStr"/>
      <c r="AD76" t="inlineStr">
        <is>
          <t>leasing-press</t>
        </is>
      </c>
      <c r="AE76" t="inlineStr">
        <is>
          <t>2026-10-23</t>
        </is>
      </c>
      <c r="AF76" t="inlineStr">
        <is>
          <t>no-coworking-in-building</t>
        </is>
      </c>
      <c r="AG76" t="inlineStr">
        <is>
          <t>1008550024</t>
        </is>
      </c>
      <c r="AH76" t="n">
        <v>0</v>
      </c>
      <c r="AI76" t="inlineStr">
        <is>
          <t>23,038 sf</t>
        </is>
      </c>
      <c r="AJ76" t="inlineStr">
        <is>
          <t>S4</t>
        </is>
      </c>
      <c r="AK76" s="3" t="inlineStr">
        <is>
          <t>Over 500 company-wide</t>
        </is>
      </c>
    </row>
    <row r="77">
      <c r="A77" t="inlineStr">
        <is>
          <t>B-C-254</t>
        </is>
      </c>
      <c r="B77" t="inlineStr">
        <is>
          <t>Superhuman (formerly Grammarly)</t>
        </is>
      </c>
      <c r="C77" s="2" t="inlineStr">
        <is>
          <t>https://www.grammarly.com/</t>
        </is>
      </c>
      <c r="D77" t="inlineStr">
        <is>
          <t>Software (AI writing assistant)</t>
        </is>
      </c>
      <c r="E77" t="inlineStr">
        <is>
          <t>B-B-059</t>
        </is>
      </c>
      <c r="F77" t="inlineStr">
        <is>
          <t>360 Park Avenue South</t>
        </is>
      </c>
      <c r="G77" t="inlineStr">
        <is>
          <t>one full floor (23,038 sf)</t>
        </is>
      </c>
      <c r="H77" t="inlineStr">
        <is>
          <t>10010</t>
        </is>
      </c>
      <c r="I77" t="n">
        <v>40.742105</v>
      </c>
      <c r="J77" t="n">
        <v>-73.985534</v>
      </c>
      <c r="K77" t="inlineStr">
        <is>
          <t>Y</t>
        </is>
      </c>
      <c r="L77" t="inlineStr">
        <is>
          <t>over-500</t>
        </is>
      </c>
      <c r="M77" t="inlineStr">
        <is>
          <t>whole-company</t>
        </is>
      </c>
      <c r="N77" s="2" t="inlineStr">
        <is>
          <t>https://www.builtinnyc.com/company/superhuman-1/offices</t>
        </is>
      </c>
      <c r="O77" s="2" t="inlineStr">
        <is>
          <t>https://commercialobserver.com/2025/09/grammarly-bxps-360-park-avenue-south/</t>
        </is>
      </c>
      <c r="P77" t="inlineStr">
        <is>
          <t>2025-09-02</t>
        </is>
      </c>
      <c r="Q77" s="2" t="inlineStr">
        <is>
          <t>https://commercialobserver.com/2026/01/betches-coming-360-park-avenue-south/</t>
        </is>
      </c>
      <c r="R77" t="inlineStr">
        <is>
          <t>medium</t>
        </is>
      </c>
      <c r="S77" t="inlineStr">
        <is>
          <t>N</t>
        </is>
      </c>
      <c r="T77" t="inlineStr"/>
      <c r="U77" t="inlineStr"/>
      <c r="V77" s="3" t="inlineStr">
        <is>
          <t>CO Sep 2025: 23,038 sf full floor; NYC address at the time was 29 West 30th St; move date unclear. CO Jan 2026 lists Grammarly as a current 360 PAS tenant (same publisher). HQ San Francisco. Wikipedia infobox has no employee count; headcount unknown. Possible overlap: S4 lists 'Superhuman (formerly Grammarly)' at 450 Park Ave S; the CO sources here place Grammarly's new NYC hub at 360 PAS. Founder to confirm which office is current; do not count twice. | Assembly 2026-10-24: Merged at assembly: S3 (Grammarly, 360 PAS) and S4 (Superhuman, 450 PAS) are one company. CO 2025-09-02 reports a 23,038 sf full-floor lease at 360 Park Ave S (its NYC address then was 29 W 30th St) and CO 2026-01-22 lists Grammarly as a current 360 PAS tenant, so 360 PAS is used. Built In's 450 Park Ave S address is the building of WeWork 450 Park Ave S and looks like a coworking membership or a stale entry. Built In: 1,500 total employees, so over 500 either way: near-miss.</t>
        </is>
      </c>
      <c r="W77" t="inlineStr">
        <is>
          <t>2026-10-23</t>
        </is>
      </c>
      <c r="X77" t="inlineStr">
        <is>
          <t>unknown</t>
        </is>
      </c>
      <c r="Y77" t="inlineStr">
        <is>
          <t>near-miss-over-500</t>
        </is>
      </c>
      <c r="Z77" t="inlineStr">
        <is>
          <t>occupancy-unconfirmed</t>
        </is>
      </c>
      <c r="AA77" t="inlineStr"/>
      <c r="AB77" t="inlineStr">
        <is>
          <t>2026-10-23</t>
        </is>
      </c>
      <c r="AC77" s="3" t="inlineStr"/>
      <c r="AD77" t="inlineStr">
        <is>
          <t>leasing-press</t>
        </is>
      </c>
      <c r="AE77" t="inlineStr">
        <is>
          <t>2026-01-22</t>
        </is>
      </c>
      <c r="AF77" t="inlineStr">
        <is>
          <t>no-coworking-in-building</t>
        </is>
      </c>
      <c r="AG77" t="inlineStr">
        <is>
          <t>1008550024</t>
        </is>
      </c>
      <c r="AH77" t="n">
        <v>0</v>
      </c>
      <c r="AI77" t="inlineStr">
        <is>
          <t>23,038 sf</t>
        </is>
      </c>
      <c r="AJ77" t="inlineStr">
        <is>
          <t>S3;S4</t>
        </is>
      </c>
      <c r="AK77" s="3" t="inlineStr">
        <is>
          <t>Over 500 company-wide</t>
        </is>
      </c>
    </row>
    <row r="78">
      <c r="A78" t="inlineStr">
        <is>
          <t>B-C-255</t>
        </is>
      </c>
      <c r="B78" t="inlineStr">
        <is>
          <t>Vercel</t>
        </is>
      </c>
      <c r="C78" s="2" t="inlineStr">
        <is>
          <t>https://vercel.com/</t>
        </is>
      </c>
      <c r="D78" t="inlineStr">
        <is>
          <t>Software (web development platform)</t>
        </is>
      </c>
      <c r="E78" t="inlineStr">
        <is>
          <t>B-B-059</t>
        </is>
      </c>
      <c r="F78" t="inlineStr">
        <is>
          <t>360 Park Avenue South</t>
        </is>
      </c>
      <c r="G78" t="inlineStr">
        <is>
          <t>9 plus expansion (46,076 sf)</t>
        </is>
      </c>
      <c r="H78" t="inlineStr">
        <is>
          <t>10010</t>
        </is>
      </c>
      <c r="I78" t="n">
        <v>40.742105</v>
      </c>
      <c r="J78" t="n">
        <v>-73.985534</v>
      </c>
      <c r="K78" t="inlineStr">
        <is>
          <t>Y</t>
        </is>
      </c>
      <c r="L78" t="inlineStr">
        <is>
          <t>over-500</t>
        </is>
      </c>
      <c r="M78" t="inlineStr">
        <is>
          <t>whole-company</t>
        </is>
      </c>
      <c r="N78" s="2" t="inlineStr">
        <is>
          <t>https://en.wikipedia.org/wiki/Vercel</t>
        </is>
      </c>
      <c r="O78" s="2" t="inlineStr">
        <is>
          <t>https://www.connectcre.com/stories/bxp-secures-230k-sf-of-leases-at-360-park-ave-south/</t>
        </is>
      </c>
      <c r="P78" t="inlineStr">
        <is>
          <t>2026-03-16</t>
        </is>
      </c>
      <c r="Q78" s="2" t="inlineStr">
        <is>
          <t>https://commercialobserver.com/2026/09/rogo-technologies-360-park-avenue-south-lease-expansion/</t>
        </is>
      </c>
      <c r="R78" t="inlineStr">
        <is>
          <t>high</t>
        </is>
      </c>
      <c r="S78" t="inlineStr">
        <is>
          <t>N</t>
        </is>
      </c>
      <c r="T78" t="inlineStr"/>
      <c r="U78" t="inlineStr"/>
      <c r="V78" s="3" t="inlineStr">
        <is>
          <t>ConnectCRE Mar 2026 (BXP release): about 23,000 sf; CO Sep 2026: apparent expansion to 46,076 sf per a CBRE report. HQ San Francisco; Built In NY office still shows '47th Street' (stale). Wikipedia infobox: 550 employees (2025), just over 500. Near-miss (over-500).</t>
        </is>
      </c>
      <c r="W78" t="inlineStr">
        <is>
          <t>2026-10-23</t>
        </is>
      </c>
      <c r="X78" t="inlineStr">
        <is>
          <t>unknown</t>
        </is>
      </c>
      <c r="Y78" t="inlineStr">
        <is>
          <t>near-miss-over-500</t>
        </is>
      </c>
      <c r="Z78" t="inlineStr">
        <is>
          <t>occupancy-unconfirmed</t>
        </is>
      </c>
      <c r="AA78" t="inlineStr"/>
      <c r="AB78" t="inlineStr">
        <is>
          <t>2026-10-23</t>
        </is>
      </c>
      <c r="AC78" s="3" t="inlineStr"/>
      <c r="AD78" t="inlineStr">
        <is>
          <t>leasing-press</t>
        </is>
      </c>
      <c r="AE78" t="inlineStr">
        <is>
          <t>2026-09-22</t>
        </is>
      </c>
      <c r="AF78" t="inlineStr">
        <is>
          <t>no-coworking-in-building</t>
        </is>
      </c>
      <c r="AG78" t="inlineStr">
        <is>
          <t>1008550024</t>
        </is>
      </c>
      <c r="AH78" t="n">
        <v>0</v>
      </c>
      <c r="AI78" t="inlineStr">
        <is>
          <t>23,000 sf; 46,076 sf</t>
        </is>
      </c>
      <c r="AJ78" t="inlineStr">
        <is>
          <t>S3</t>
        </is>
      </c>
      <c r="AK78" s="3" t="inlineStr">
        <is>
          <t>Over 500 company-wide</t>
        </is>
      </c>
    </row>
    <row r="79">
      <c r="A79" t="inlineStr">
        <is>
          <t>B-C-256</t>
        </is>
      </c>
      <c r="B79" t="inlineStr">
        <is>
          <t>Ziff Davis</t>
        </is>
      </c>
      <c r="C79" s="2" t="inlineStr">
        <is>
          <t>https://www.ziffdavis.com</t>
        </is>
      </c>
      <c r="D79" t="inlineStr">
        <is>
          <t>digital media</t>
        </is>
      </c>
      <c r="E79" t="inlineStr">
        <is>
          <t>B-B-059</t>
        </is>
      </c>
      <c r="F79" t="inlineStr">
        <is>
          <t>360 Park Avenue South</t>
        </is>
      </c>
      <c r="G79" t="inlineStr">
        <is>
          <t>unknown</t>
        </is>
      </c>
      <c r="H79" t="inlineStr">
        <is>
          <t>10010</t>
        </is>
      </c>
      <c r="I79" t="n">
        <v>40.742105</v>
      </c>
      <c r="J79" t="n">
        <v>-73.985534</v>
      </c>
      <c r="K79" t="inlineStr">
        <is>
          <t>Y</t>
        </is>
      </c>
      <c r="L79" t="inlineStr">
        <is>
          <t>over-500</t>
        </is>
      </c>
      <c r="M79" t="inlineStr">
        <is>
          <t>whole-company</t>
        </is>
      </c>
      <c r="N79" s="2" t="inlineStr">
        <is>
          <t>https://www.builtinnyc.com/company/ziff-davis/offices</t>
        </is>
      </c>
      <c r="O79" s="2" t="inlineStr">
        <is>
          <t>https://commercialobserver.com/2025/05/optiver-lease-360-park-avenue-south/</t>
        </is>
      </c>
      <c r="P79" t="inlineStr">
        <is>
          <t>2025-05-20</t>
        </is>
      </c>
      <c r="Q79" s="2" t="inlineStr">
        <is>
          <t>https://www.ziffdavis.com/</t>
        </is>
      </c>
      <c r="R79" t="inlineStr">
        <is>
          <t>high</t>
        </is>
      </c>
      <c r="S79" t="inlineStr">
        <is>
          <t>N</t>
        </is>
      </c>
      <c r="T79" t="inlineStr"/>
      <c r="U79" t="inlineStr"/>
      <c r="V79" s="3" t="inlineStr">
        <is>
          <t>CO lists Ziff Davis as a tenant at 360 PAS (2024 lease reported by NY Business Journal, not opened). Built In shows a New York office at 114 5th Ave, Floors 14 &amp; 15 (outside slice) and 2,138 employees. Conflict: founder to confirm. Over 500: near-miss. | Assembly 2026-10-24: Conflict resolved at assembly: ziffdavis.com's own structured data (opened 2026-10-24) gives streetAddress '360 Park Avenue South', 10010, agreeing with CO 2025-05-20. Built In's 114 Fifth Ave is stale. S3 also found theSkimm's legal pages pointing to Ziff Davis at 360 PAS, 17th floor. Over 500: near-miss.</t>
        </is>
      </c>
      <c r="W79" t="inlineStr">
        <is>
          <t>2026-10-23</t>
        </is>
      </c>
      <c r="X79" t="inlineStr">
        <is>
          <t>unknown</t>
        </is>
      </c>
      <c r="Y79" t="inlineStr">
        <is>
          <t>near-miss-over-500</t>
        </is>
      </c>
      <c r="Z79" t="inlineStr">
        <is>
          <t>occupied</t>
        </is>
      </c>
      <c r="AA79" t="inlineStr"/>
      <c r="AB79" t="inlineStr">
        <is>
          <t>2026-10-23</t>
        </is>
      </c>
      <c r="AC79" s="3" t="inlineStr"/>
      <c r="AD79" t="inlineStr">
        <is>
          <t>leasing-press</t>
        </is>
      </c>
      <c r="AE79" t="inlineStr">
        <is>
          <t>2026-10-24</t>
        </is>
      </c>
      <c r="AF79" t="inlineStr">
        <is>
          <t>no-coworking-in-building</t>
        </is>
      </c>
      <c r="AG79" t="inlineStr">
        <is>
          <t>1008550024</t>
        </is>
      </c>
      <c r="AH79" t="n">
        <v>0</v>
      </c>
      <c r="AI79" t="inlineStr"/>
      <c r="AJ79" t="inlineStr">
        <is>
          <t>S4</t>
        </is>
      </c>
      <c r="AK79" s="3" t="inlineStr">
        <is>
          <t>Over 500 company-wide</t>
        </is>
      </c>
    </row>
    <row r="80">
      <c r="A80" t="inlineStr">
        <is>
          <t>B-C-257</t>
        </is>
      </c>
      <c r="B80" t="inlineStr">
        <is>
          <t>Kohler Co. (NYC office)</t>
        </is>
      </c>
      <c r="C80" s="2" t="inlineStr">
        <is>
          <t>https://www.kohler.com</t>
        </is>
      </c>
      <c r="D80" t="inlineStr">
        <is>
          <t>kitchen and bath manufacturer (office)</t>
        </is>
      </c>
      <c r="E80" t="inlineStr">
        <is>
          <t>B-B-063</t>
        </is>
      </c>
      <c r="F80" t="inlineStr">
        <is>
          <t>1140 Broadway</t>
        </is>
      </c>
      <c r="G80" t="inlineStr">
        <is>
          <t>8</t>
        </is>
      </c>
      <c r="H80" t="inlineStr">
        <is>
          <t>10001</t>
        </is>
      </c>
      <c r="I80" t="n">
        <v>40.743939</v>
      </c>
      <c r="J80" t="n">
        <v>-73.988677</v>
      </c>
      <c r="K80" t="inlineStr">
        <is>
          <t>Y</t>
        </is>
      </c>
      <c r="L80" t="inlineStr">
        <is>
          <t>over-500</t>
        </is>
      </c>
      <c r="M80" t="inlineStr">
        <is>
          <t>whole-company</t>
        </is>
      </c>
      <c r="N80" s="2" t="inlineStr">
        <is>
          <t>https://en.wikipedia.org/wiki/Kohler_Co.</t>
        </is>
      </c>
      <c r="O80" s="2" t="inlineStr">
        <is>
          <t>https://commercialobserver.com/2023/04/kohler-lease-1140-broadway/</t>
        </is>
      </c>
      <c r="P80" t="inlineStr">
        <is>
          <t>2023-04-04</t>
        </is>
      </c>
      <c r="Q80" t="inlineStr"/>
      <c r="R80" t="inlineStr">
        <is>
          <t>low</t>
        </is>
      </c>
      <c r="S80" t="inlineStr">
        <is>
          <t>N</t>
        </is>
      </c>
      <c r="T80" t="inlineStr"/>
      <c r="U80" t="inlineStr"/>
      <c r="V80" s="3" t="inlineStr">
        <is>
          <t>First NYC office: 7.5-year 4,713 SF lease on floor 8 (separate from its Flatiron showroom). Older source, not reconfirmed. Large company, but no headcount source opened; small NYC office. | Assembly 2026-10-24: Band set at assembly to over-500 from Wikipedia infobox: 40,000 employees (2019). The NYC office size is unknown; the NYC office alone may fit, founder to confirm.</t>
        </is>
      </c>
      <c r="W80" t="inlineStr">
        <is>
          <t>2026-10-23</t>
        </is>
      </c>
      <c r="X80" t="inlineStr">
        <is>
          <t>security desk</t>
        </is>
      </c>
      <c r="Y80" t="inlineStr">
        <is>
          <t>near-miss-over-500</t>
        </is>
      </c>
      <c r="Z80" t="inlineStr">
        <is>
          <t>occupancy-unconfirmed</t>
        </is>
      </c>
      <c r="AA80" t="inlineStr"/>
      <c r="AB80" t="inlineStr">
        <is>
          <t>2019</t>
        </is>
      </c>
      <c r="AC80" s="3" t="inlineStr"/>
      <c r="AD80" t="inlineStr">
        <is>
          <t>leasing-press</t>
        </is>
      </c>
      <c r="AE80" t="inlineStr"/>
      <c r="AF80" t="inlineStr">
        <is>
          <t>no-coworking-in-building</t>
        </is>
      </c>
      <c r="AG80" t="inlineStr">
        <is>
          <t>1008280033</t>
        </is>
      </c>
      <c r="AH80" t="n">
        <v>0</v>
      </c>
      <c r="AI80" t="inlineStr">
        <is>
          <t>4,713 sf</t>
        </is>
      </c>
      <c r="AJ80" t="inlineStr">
        <is>
          <t>S4</t>
        </is>
      </c>
      <c r="AK80" s="3" t="inlineStr">
        <is>
          <t>Over 500 company-wide</t>
        </is>
      </c>
    </row>
    <row r="81">
      <c r="A81" t="inlineStr">
        <is>
          <t>B-C-258</t>
        </is>
      </c>
      <c r="B81" t="inlineStr">
        <is>
          <t>Jump Trading</t>
        </is>
      </c>
      <c r="C81" s="2" t="inlineStr">
        <is>
          <t>https://www.jumptrading.com</t>
        </is>
      </c>
      <c r="D81" t="inlineStr">
        <is>
          <t>proprietary trading</t>
        </is>
      </c>
      <c r="E81" t="inlineStr">
        <is>
          <t>B-B-065</t>
        </is>
      </c>
      <c r="F81" t="inlineStr">
        <is>
          <t>11 East 26th Street</t>
        </is>
      </c>
      <c r="G81" t="inlineStr">
        <is>
          <t>unknown</t>
        </is>
      </c>
      <c r="H81" t="inlineStr">
        <is>
          <t>10010</t>
        </is>
      </c>
      <c r="I81" t="n">
        <v>40.743449</v>
      </c>
      <c r="J81" t="n">
        <v>-73.987225</v>
      </c>
      <c r="K81" t="inlineStr">
        <is>
          <t>Y</t>
        </is>
      </c>
      <c r="L81" t="inlineStr">
        <is>
          <t>over-500</t>
        </is>
      </c>
      <c r="M81" t="inlineStr">
        <is>
          <t>whole-company</t>
        </is>
      </c>
      <c r="N81" s="2" t="inlineStr">
        <is>
          <t>https://en.wikipedia.org/wiki/Jump_Trading</t>
        </is>
      </c>
      <c r="O81" s="2" t="inlineStr">
        <is>
          <t>https://commercialobserver.com/2025/10/lutron-electronics-office-lease-11-east-26th-street/</t>
        </is>
      </c>
      <c r="P81" t="inlineStr">
        <is>
          <t>2025-10-22</t>
        </is>
      </c>
      <c r="Q81" s="2" t="inlineStr">
        <is>
          <t>https://commercialobserver.com/2025/03/reckoner-capital-management-lease-11-east-26th-street/</t>
        </is>
      </c>
      <c r="R81" t="inlineStr">
        <is>
          <t>medium</t>
        </is>
      </c>
      <c r="S81" t="inlineStr">
        <is>
          <t>N</t>
        </is>
      </c>
      <c r="T81" t="inlineStr"/>
      <c r="U81" t="inlineStr"/>
      <c r="V81" s="3" t="inlineStr">
        <is>
          <t>Named as a building tenant in two CO articles. HQ Chicago; size of NYC office not found. Likely a large global firm but no headcount source opened, so band unknown. | Assembly 2026-10-24: Band set at assembly to over-500 from Wikipedia infobox: '2000+' employees (no year given). The NYC office size is unknown; the NYC office alone may fit, founder to confirm.</t>
        </is>
      </c>
      <c r="W81" t="inlineStr">
        <is>
          <t>2026-10-23</t>
        </is>
      </c>
      <c r="X81" t="inlineStr">
        <is>
          <t>unknown</t>
        </is>
      </c>
      <c r="Y81" t="inlineStr">
        <is>
          <t>near-miss-over-500</t>
        </is>
      </c>
      <c r="Z81" t="inlineStr">
        <is>
          <t>occupied</t>
        </is>
      </c>
      <c r="AA81" t="inlineStr"/>
      <c r="AB81" t="inlineStr">
        <is>
          <t>2026-10-24</t>
        </is>
      </c>
      <c r="AC81" s="3" t="inlineStr"/>
      <c r="AD81" t="inlineStr">
        <is>
          <t>leasing-press</t>
        </is>
      </c>
      <c r="AE81" t="inlineStr">
        <is>
          <t>2025-03-12</t>
        </is>
      </c>
      <c r="AF81" t="inlineStr">
        <is>
          <t>no-coworking-in-building</t>
        </is>
      </c>
      <c r="AG81" t="inlineStr">
        <is>
          <t>1008560009</t>
        </is>
      </c>
      <c r="AH81" t="n">
        <v>0</v>
      </c>
      <c r="AI81" t="inlineStr"/>
      <c r="AJ81" t="inlineStr">
        <is>
          <t>S4</t>
        </is>
      </c>
      <c r="AK81" s="3" t="inlineStr">
        <is>
          <t>Over 500 company-wide</t>
        </is>
      </c>
    </row>
    <row r="82">
      <c r="A82" t="inlineStr">
        <is>
          <t>B-C-259</t>
        </is>
      </c>
      <c r="B82" t="inlineStr">
        <is>
          <t>Lutron Electronics</t>
        </is>
      </c>
      <c r="C82" s="2" t="inlineStr">
        <is>
          <t>https://www.lutron.com</t>
        </is>
      </c>
      <c r="D82" t="inlineStr">
        <is>
          <t>lighting controls manufacturer</t>
        </is>
      </c>
      <c r="E82" t="inlineStr">
        <is>
          <t>B-B-065</t>
        </is>
      </c>
      <c r="F82" t="inlineStr">
        <is>
          <t>11 East 26th Street</t>
        </is>
      </c>
      <c r="G82" t="inlineStr">
        <is>
          <t>21</t>
        </is>
      </c>
      <c r="H82" t="inlineStr">
        <is>
          <t>10010</t>
        </is>
      </c>
      <c r="I82" t="n">
        <v>40.743449</v>
      </c>
      <c r="J82" t="n">
        <v>-73.987225</v>
      </c>
      <c r="K82" t="inlineStr">
        <is>
          <t>Y</t>
        </is>
      </c>
      <c r="L82" t="inlineStr">
        <is>
          <t>over-500</t>
        </is>
      </c>
      <c r="M82" t="inlineStr">
        <is>
          <t>whole-company</t>
        </is>
      </c>
      <c r="N82" s="2" t="inlineStr">
        <is>
          <t>https://www.builtinnyc.com/company/lutron-electronics/offices</t>
        </is>
      </c>
      <c r="O82" s="2" t="inlineStr">
        <is>
          <t>https://commercialobserver.com/2025/10/lutron-electronics-office-lease-11-east-26th-street/</t>
        </is>
      </c>
      <c r="P82" t="inlineStr">
        <is>
          <t>2025-10-22</t>
        </is>
      </c>
      <c r="Q82" t="inlineStr"/>
      <c r="R82" t="inlineStr">
        <is>
          <t>medium</t>
        </is>
      </c>
      <c r="S82" t="inlineStr">
        <is>
          <t>N</t>
        </is>
      </c>
      <c r="T82" t="inlineStr"/>
      <c r="U82" t="inlineStr"/>
      <c r="V82" s="3" t="inlineStr">
        <is>
          <t>11-year lease, 12,074 SF, full 21st floor; relocation and expansion. CO says Lutron also has NYC offices or showrooms at 3 East 28th Street (in this slice), 979 Third Ave and 1 Penn Plaza. Built In: 2,063 total employees, HQ Coopersburg PA. Over 500: near-miss.</t>
        </is>
      </c>
      <c r="W82" t="inlineStr">
        <is>
          <t>2026-10-23</t>
        </is>
      </c>
      <c r="X82" t="inlineStr">
        <is>
          <t>unknown</t>
        </is>
      </c>
      <c r="Y82" t="inlineStr">
        <is>
          <t>near-miss-over-500</t>
        </is>
      </c>
      <c r="Z82" t="inlineStr">
        <is>
          <t>occupancy-unconfirmed</t>
        </is>
      </c>
      <c r="AA82" t="inlineStr"/>
      <c r="AB82" t="inlineStr">
        <is>
          <t>2026-10-23</t>
        </is>
      </c>
      <c r="AC82" s="3" t="inlineStr"/>
      <c r="AD82" t="inlineStr">
        <is>
          <t>leasing-press</t>
        </is>
      </c>
      <c r="AE82" t="inlineStr"/>
      <c r="AF82" t="inlineStr">
        <is>
          <t>no-coworking-in-building</t>
        </is>
      </c>
      <c r="AG82" t="inlineStr">
        <is>
          <t>1008560009</t>
        </is>
      </c>
      <c r="AH82" t="n">
        <v>0</v>
      </c>
      <c r="AI82" t="inlineStr">
        <is>
          <t>12,074 sf</t>
        </is>
      </c>
      <c r="AJ82" t="inlineStr">
        <is>
          <t>S4</t>
        </is>
      </c>
      <c r="AK82" s="3" t="inlineStr">
        <is>
          <t>Over 500 company-wide</t>
        </is>
      </c>
    </row>
    <row r="83">
      <c r="A83" t="inlineStr">
        <is>
          <t>B-C-260</t>
        </is>
      </c>
      <c r="B83" t="inlineStr">
        <is>
          <t>Grimshaw (New York studio)</t>
        </is>
      </c>
      <c r="C83" s="2" t="inlineStr">
        <is>
          <t>https://grimshaw.global</t>
        </is>
      </c>
      <c r="D83" t="inlineStr">
        <is>
          <t>architecture</t>
        </is>
      </c>
      <c r="E83" t="inlineStr">
        <is>
          <t>B-B-066</t>
        </is>
      </c>
      <c r="F83" t="inlineStr">
        <is>
          <t>60 Madison Avenue</t>
        </is>
      </c>
      <c r="G83" t="inlineStr">
        <is>
          <t>4</t>
        </is>
      </c>
      <c r="H83" t="inlineStr">
        <is>
          <t>10010</t>
        </is>
      </c>
      <c r="I83" t="n">
        <v>40.743288</v>
      </c>
      <c r="J83" t="n">
        <v>-73.986627</v>
      </c>
      <c r="K83" t="inlineStr">
        <is>
          <t>Y</t>
        </is>
      </c>
      <c r="L83" t="inlineStr">
        <is>
          <t>over-500</t>
        </is>
      </c>
      <c r="M83" t="inlineStr">
        <is>
          <t>whole-company</t>
        </is>
      </c>
      <c r="N83" s="2" t="inlineStr">
        <is>
          <t>https://en.wikipedia.org/wiki/Grimshaw_Architects</t>
        </is>
      </c>
      <c r="O83" s="2" t="inlineStr">
        <is>
          <t>https://grimshaw.global/contact/</t>
        </is>
      </c>
      <c r="P83" t="inlineStr">
        <is>
          <t>2026-10-23</t>
        </is>
      </c>
      <c r="Q83" s="2" t="inlineStr">
        <is>
          <t>https://commercialobserver.com/2022/12/grimshaw-architects-takes-19k-sf-offices-by-madison-square-park/</t>
        </is>
      </c>
      <c r="R83" t="inlineStr">
        <is>
          <t>high</t>
        </is>
      </c>
      <c r="S83" t="inlineStr">
        <is>
          <t>N</t>
        </is>
      </c>
      <c r="T83" t="inlineStr"/>
      <c r="U83" t="inlineStr"/>
      <c r="V83" s="3" t="inlineStr">
        <is>
          <t>Company contact page lists New York at 60 Madison Avenue, 4th Floor. CO 2022: 18,800 SF on floor 4. Headcount not sourced (Built In profile shows no count). | Assembly 2026-10-24: Band set at assembly to over-500 from Wikipedia body text: 'employing over 600 staff' (no infobox count). The NYC office size is unknown; the NYC office alone may fit, founder to confirm.</t>
        </is>
      </c>
      <c r="W83" t="inlineStr">
        <is>
          <t>2026-10-23</t>
        </is>
      </c>
      <c r="X83" t="inlineStr">
        <is>
          <t>unknown</t>
        </is>
      </c>
      <c r="Y83" t="inlineStr">
        <is>
          <t>near-miss-over-500</t>
        </is>
      </c>
      <c r="Z83" t="inlineStr">
        <is>
          <t>occupied</t>
        </is>
      </c>
      <c r="AA83" t="inlineStr"/>
      <c r="AB83" t="inlineStr">
        <is>
          <t>2026-10-24</t>
        </is>
      </c>
      <c r="AC83" s="3" t="inlineStr"/>
      <c r="AD83" t="inlineStr">
        <is>
          <t>company-site</t>
        </is>
      </c>
      <c r="AE83" t="inlineStr">
        <is>
          <t>2022-12-01</t>
        </is>
      </c>
      <c r="AF83" t="inlineStr">
        <is>
          <t>no-coworking-in-building</t>
        </is>
      </c>
      <c r="AG83" t="inlineStr">
        <is>
          <t>1008560058</t>
        </is>
      </c>
      <c r="AH83" t="n">
        <v>0</v>
      </c>
      <c r="AI83" t="inlineStr">
        <is>
          <t>18,800 sf</t>
        </is>
      </c>
      <c r="AJ83" t="inlineStr">
        <is>
          <t>S4</t>
        </is>
      </c>
      <c r="AK83" s="3" t="inlineStr">
        <is>
          <t>Over 500 company-wide</t>
        </is>
      </c>
    </row>
    <row r="84">
      <c r="A84" t="inlineStr">
        <is>
          <t>B-C-261</t>
        </is>
      </c>
      <c r="B84" t="inlineStr">
        <is>
          <t>Spring Health</t>
        </is>
      </c>
      <c r="C84" s="2" t="inlineStr">
        <is>
          <t>https://www.springhealth.com</t>
        </is>
      </c>
      <c r="D84" t="inlineStr">
        <is>
          <t>healthtech (mental health benefits)</t>
        </is>
      </c>
      <c r="E84" t="inlineStr">
        <is>
          <t>B-B-066</t>
        </is>
      </c>
      <c r="F84" t="inlineStr">
        <is>
          <t>60 Madison Avenue</t>
        </is>
      </c>
      <c r="G84" t="inlineStr">
        <is>
          <t>2-3</t>
        </is>
      </c>
      <c r="H84" t="inlineStr">
        <is>
          <t>10010</t>
        </is>
      </c>
      <c r="I84" t="n">
        <v>40.743288</v>
      </c>
      <c r="J84" t="n">
        <v>-73.986627</v>
      </c>
      <c r="K84" t="inlineStr">
        <is>
          <t>Y</t>
        </is>
      </c>
      <c r="L84" t="inlineStr">
        <is>
          <t>over-500</t>
        </is>
      </c>
      <c r="M84" t="inlineStr">
        <is>
          <t>whole-company</t>
        </is>
      </c>
      <c r="N84" s="2" t="inlineStr">
        <is>
          <t>https://www.builtinnyc.com/company/spring-health/offices</t>
        </is>
      </c>
      <c r="O84" s="2" t="inlineStr">
        <is>
          <t>https://www.builtinnyc.com/company/spring-health/offices</t>
        </is>
      </c>
      <c r="P84" t="inlineStr">
        <is>
          <t>2026-10-23</t>
        </is>
      </c>
      <c r="Q84" s="2" t="inlineStr">
        <is>
          <t>https://commercialobserver.com/2022/08/spring-health-takes-30k-sf-60-madison-office-vacated-by-knotel/</t>
        </is>
      </c>
      <c r="R84" t="inlineStr">
        <is>
          <t>high</t>
        </is>
      </c>
      <c r="S84" t="inlineStr">
        <is>
          <t>N</t>
        </is>
      </c>
      <c r="T84" t="inlineStr"/>
      <c r="U84" t="inlineStr"/>
      <c r="V84" s="3" t="inlineStr">
        <is>
          <t>Built In lists HQ at '60 Madison'; 1,300 total employees. CO 2022: seven-year 30,000 SF lease on floor 2 and most of floor 3. Over 500: near-miss.</t>
        </is>
      </c>
      <c r="W84" t="inlineStr">
        <is>
          <t>2026-10-23</t>
        </is>
      </c>
      <c r="X84" t="inlineStr">
        <is>
          <t>unknown</t>
        </is>
      </c>
      <c r="Y84" t="inlineStr">
        <is>
          <t>near-miss-over-500</t>
        </is>
      </c>
      <c r="Z84" t="inlineStr">
        <is>
          <t>occupied</t>
        </is>
      </c>
      <c r="AA84" t="inlineStr"/>
      <c r="AB84" t="inlineStr">
        <is>
          <t>2026-10-23</t>
        </is>
      </c>
      <c r="AC84" s="3" t="inlineStr"/>
      <c r="AD84" t="inlineStr">
        <is>
          <t>builtin</t>
        </is>
      </c>
      <c r="AE84" t="inlineStr">
        <is>
          <t>2022-08-04</t>
        </is>
      </c>
      <c r="AF84" t="inlineStr">
        <is>
          <t>no-coworking-in-building</t>
        </is>
      </c>
      <c r="AG84" t="inlineStr">
        <is>
          <t>1008560058</t>
        </is>
      </c>
      <c r="AH84" t="n">
        <v>0</v>
      </c>
      <c r="AI84" t="inlineStr">
        <is>
          <t>30,000 sf</t>
        </is>
      </c>
      <c r="AJ84" t="inlineStr">
        <is>
          <t>S4</t>
        </is>
      </c>
      <c r="AK84" s="3" t="inlineStr">
        <is>
          <t>Over 500 company-wide</t>
        </is>
      </c>
    </row>
    <row r="85">
      <c r="A85" t="inlineStr">
        <is>
          <t>B-C-262</t>
        </is>
      </c>
      <c r="B85" t="inlineStr">
        <is>
          <t>Criteo</t>
        </is>
      </c>
      <c r="C85" s="2" t="inlineStr">
        <is>
          <t>https://www.criteo.com</t>
        </is>
      </c>
      <c r="D85" t="inlineStr">
        <is>
          <t>adtech (commerce media)</t>
        </is>
      </c>
      <c r="E85" t="inlineStr">
        <is>
          <t>B-B-073</t>
        </is>
      </c>
      <c r="F85" t="inlineStr">
        <is>
          <t>387 Park Avenue South</t>
        </is>
      </c>
      <c r="G85" t="inlineStr">
        <is>
          <t>top floor and penthouse</t>
        </is>
      </c>
      <c r="H85" t="inlineStr">
        <is>
          <t>10016</t>
        </is>
      </c>
      <c r="I85" t="n">
        <v>40.742728</v>
      </c>
      <c r="J85" t="n">
        <v>-73.98397</v>
      </c>
      <c r="K85" t="inlineStr">
        <is>
          <t>Y</t>
        </is>
      </c>
      <c r="L85" t="inlineStr">
        <is>
          <t>over-500</t>
        </is>
      </c>
      <c r="M85" t="inlineStr">
        <is>
          <t>whole-company</t>
        </is>
      </c>
      <c r="N85" s="2" t="inlineStr">
        <is>
          <t>https://www.builtinnyc.com/company/criteo/offices</t>
        </is>
      </c>
      <c r="O85" s="2" t="inlineStr">
        <is>
          <t>https://commercialobserver.com/2024/11/criteo-lease-387-park-avenue-south/</t>
        </is>
      </c>
      <c r="P85" t="inlineStr">
        <is>
          <t>2024-11-19</t>
        </is>
      </c>
      <c r="Q85" s="2" t="inlineStr">
        <is>
          <t>https://www.builtinnyc.com/company/criteo/offices</t>
        </is>
      </c>
      <c r="R85" t="inlineStr">
        <is>
          <t>high</t>
        </is>
      </c>
      <c r="S85" t="inlineStr">
        <is>
          <t>N</t>
        </is>
      </c>
      <c r="T85" t="inlineStr"/>
      <c r="U85" t="inlineStr"/>
      <c r="V85" s="3" t="inlineStr">
        <is>
          <t>CO 2024-11-19: 10-year extension on the 21,000 SF penthouse it has leased since 2015 at the top of 387 PAS. Built In lists 387 Park Ave S and 100 Avenue of the Americas; 2,868 total employees. Over 500: near-miss.</t>
        </is>
      </c>
      <c r="W85" t="inlineStr">
        <is>
          <t>2026-10-23</t>
        </is>
      </c>
      <c r="X85" t="inlineStr">
        <is>
          <t>unknown</t>
        </is>
      </c>
      <c r="Y85" t="inlineStr">
        <is>
          <t>near-miss-over-500</t>
        </is>
      </c>
      <c r="Z85" t="inlineStr">
        <is>
          <t>occupied</t>
        </is>
      </c>
      <c r="AA85" t="inlineStr"/>
      <c r="AB85" t="inlineStr">
        <is>
          <t>2026-10-23</t>
        </is>
      </c>
      <c r="AC85" s="3" t="inlineStr"/>
      <c r="AD85" t="inlineStr">
        <is>
          <t>leasing-press</t>
        </is>
      </c>
      <c r="AE85" t="inlineStr">
        <is>
          <t>2026-10-23</t>
        </is>
      </c>
      <c r="AF85" t="inlineStr">
        <is>
          <t>direct-lease-documented</t>
        </is>
      </c>
      <c r="AG85" t="inlineStr">
        <is>
          <t>1008830001</t>
        </is>
      </c>
      <c r="AH85" t="n">
        <v>0</v>
      </c>
      <c r="AI85" t="inlineStr">
        <is>
          <t>21,000 sf</t>
        </is>
      </c>
      <c r="AJ85" t="inlineStr">
        <is>
          <t>S4</t>
        </is>
      </c>
      <c r="AK85" s="3" t="inlineStr">
        <is>
          <t>Over 500 company-wide</t>
        </is>
      </c>
    </row>
    <row r="86">
      <c r="A86" t="inlineStr">
        <is>
          <t>B-C-263</t>
        </is>
      </c>
      <c r="B86" t="inlineStr">
        <is>
          <t>PMG Worldwide</t>
        </is>
      </c>
      <c r="C86" s="2" t="inlineStr">
        <is>
          <t>https://www.pmg.com</t>
        </is>
      </c>
      <c r="D86" t="inlineStr">
        <is>
          <t>marketing agency</t>
        </is>
      </c>
      <c r="E86" t="inlineStr">
        <is>
          <t>B-B-073</t>
        </is>
      </c>
      <c r="F86" t="inlineStr">
        <is>
          <t>387 Park Avenue South</t>
        </is>
      </c>
      <c r="G86" t="inlineStr">
        <is>
          <t>2-3</t>
        </is>
      </c>
      <c r="H86" t="inlineStr">
        <is>
          <t>10016</t>
        </is>
      </c>
      <c r="I86" t="n">
        <v>40.742728</v>
      </c>
      <c r="J86" t="n">
        <v>-73.98397</v>
      </c>
      <c r="K86" t="inlineStr">
        <is>
          <t>Y</t>
        </is>
      </c>
      <c r="L86" t="inlineStr">
        <is>
          <t>over-500</t>
        </is>
      </c>
      <c r="M86" t="inlineStr">
        <is>
          <t>whole-company</t>
        </is>
      </c>
      <c r="N86" s="2" t="inlineStr">
        <is>
          <t>https://www.builtinnyc.com/company/pmg/offices</t>
        </is>
      </c>
      <c r="O86" s="2" t="inlineStr">
        <is>
          <t>https://commercialobserver.com/2026/08/hanover-park-lease-tf-cornerstone-387-park-avenue-south/</t>
        </is>
      </c>
      <c r="P86" t="inlineStr">
        <is>
          <t>2026-08-12</t>
        </is>
      </c>
      <c r="Q86" s="2" t="inlineStr">
        <is>
          <t>https://www.builtinnyc.com/company/pmg/offices</t>
        </is>
      </c>
      <c r="R86" t="inlineStr">
        <is>
          <t>high</t>
        </is>
      </c>
      <c r="S86" t="inlineStr">
        <is>
          <t>N</t>
        </is>
      </c>
      <c r="T86" t="inlineStr"/>
      <c r="U86" t="inlineStr"/>
      <c r="V86" s="3" t="inlineStr">
        <is>
          <t>Renewed floor 2 and expanded into floor 3, 38,744 SF total. Built In lists New York office at 387 Park Avenue South, 2nd Fl; 1,000 total employees (HQ Dallas). Over 500 company-wide: near-miss.</t>
        </is>
      </c>
      <c r="W86" t="inlineStr">
        <is>
          <t>2026-10-23</t>
        </is>
      </c>
      <c r="X86" t="inlineStr">
        <is>
          <t>unknown</t>
        </is>
      </c>
      <c r="Y86" t="inlineStr">
        <is>
          <t>near-miss-over-500</t>
        </is>
      </c>
      <c r="Z86" t="inlineStr">
        <is>
          <t>occupied</t>
        </is>
      </c>
      <c r="AA86" t="inlineStr"/>
      <c r="AB86" t="inlineStr">
        <is>
          <t>2026-10-23</t>
        </is>
      </c>
      <c r="AC86" s="3" t="inlineStr"/>
      <c r="AD86" t="inlineStr">
        <is>
          <t>leasing-press</t>
        </is>
      </c>
      <c r="AE86" t="inlineStr">
        <is>
          <t>2026-10-23</t>
        </is>
      </c>
      <c r="AF86" t="inlineStr">
        <is>
          <t>different-floor</t>
        </is>
      </c>
      <c r="AG86" t="inlineStr">
        <is>
          <t>1008830001</t>
        </is>
      </c>
      <c r="AH86" t="n">
        <v>0</v>
      </c>
      <c r="AI86" t="inlineStr">
        <is>
          <t>38,744 sf</t>
        </is>
      </c>
      <c r="AJ86" t="inlineStr">
        <is>
          <t>S4</t>
        </is>
      </c>
      <c r="AK86" s="3" t="inlineStr">
        <is>
          <t>Over 500 company-wide</t>
        </is>
      </c>
    </row>
    <row r="87">
      <c r="A87" t="inlineStr">
        <is>
          <t>B-C-264</t>
        </is>
      </c>
      <c r="B87" t="inlineStr">
        <is>
          <t>American Eagle Outfitters (NYC headquarters offices)</t>
        </is>
      </c>
      <c r="C87" s="2" t="inlineStr">
        <is>
          <t>https://www.ae.com</t>
        </is>
      </c>
      <c r="D87" t="inlineStr">
        <is>
          <t>apparel retailer (corporate offices)</t>
        </is>
      </c>
      <c r="E87" t="inlineStr"/>
      <c r="F87" t="inlineStr">
        <is>
          <t>63 Madison Avenue</t>
        </is>
      </c>
      <c r="G87" t="inlineStr">
        <is>
          <t>multiple</t>
        </is>
      </c>
      <c r="H87" t="inlineStr">
        <is>
          <t>10016</t>
        </is>
      </c>
      <c r="I87" t="n">
        <v>40.743465</v>
      </c>
      <c r="J87" t="n">
        <v>-73.98534600000001</v>
      </c>
      <c r="K87" t="inlineStr">
        <is>
          <t>Y</t>
        </is>
      </c>
      <c r="L87" t="inlineStr">
        <is>
          <t>over-500</t>
        </is>
      </c>
      <c r="M87" t="inlineStr">
        <is>
          <t>whole-company</t>
        </is>
      </c>
      <c r="N87" s="2" t="inlineStr">
        <is>
          <t>https://www.builtinnyc.com/company/american-eagle-outfitters/offices</t>
        </is>
      </c>
      <c r="O87" s="2" t="inlineStr">
        <is>
          <t>https://commercialobserver.com/2025/08/american-eagle-outfitters-expansion-63-madison-avenue/</t>
        </is>
      </c>
      <c r="P87" t="inlineStr">
        <is>
          <t>2025-08-25</t>
        </is>
      </c>
      <c r="Q87" t="inlineStr"/>
      <c r="R87" t="inlineStr">
        <is>
          <t>medium</t>
        </is>
      </c>
      <c r="S87" t="inlineStr">
        <is>
          <t>N</t>
        </is>
      </c>
      <c r="T87" t="inlineStr"/>
      <c r="U87" t="inlineStr"/>
      <c r="V87" s="3" t="inlineStr">
        <is>
          <t>Expanded to 392,185 SF of office HQ at 63 Madison (same tax lot as 28 E 28th St). Built In: 17,000 employees. Far over 500: near-miss only.</t>
        </is>
      </c>
      <c r="W87" t="inlineStr">
        <is>
          <t>2026-10-23</t>
        </is>
      </c>
      <c r="X87" t="inlineStr">
        <is>
          <t>security desk</t>
        </is>
      </c>
      <c r="Y87" t="inlineStr">
        <is>
          <t>near-miss-over-500</t>
        </is>
      </c>
      <c r="Z87" t="inlineStr">
        <is>
          <t>occupied</t>
        </is>
      </c>
      <c r="AA87" t="inlineStr"/>
      <c r="AB87" t="inlineStr">
        <is>
          <t>2026-10-23</t>
        </is>
      </c>
      <c r="AC87" s="3" t="inlineStr"/>
      <c r="AD87" t="inlineStr">
        <is>
          <t>leasing-press</t>
        </is>
      </c>
      <c r="AE87" t="inlineStr"/>
      <c r="AF87" t="inlineStr">
        <is>
          <t>no-coworking-in-building</t>
        </is>
      </c>
      <c r="AG87" t="inlineStr">
        <is>
          <t>1008570024</t>
        </is>
      </c>
      <c r="AH87" t="n">
        <v>0</v>
      </c>
      <c r="AI87" t="inlineStr">
        <is>
          <t>392,185 sf</t>
        </is>
      </c>
      <c r="AJ87" t="inlineStr">
        <is>
          <t>S4</t>
        </is>
      </c>
      <c r="AK87" s="3" t="inlineStr">
        <is>
          <t>Over 500 company-wide</t>
        </is>
      </c>
    </row>
    <row r="88">
      <c r="A88" t="inlineStr">
        <is>
          <t>B-C-265</t>
        </is>
      </c>
      <c r="B88" t="inlineStr">
        <is>
          <t>Prosek Partners</t>
        </is>
      </c>
      <c r="C88" s="2" t="inlineStr">
        <is>
          <t>https://www.prosek.com</t>
        </is>
      </c>
      <c r="D88" t="inlineStr">
        <is>
          <t>communications and marketing agency</t>
        </is>
      </c>
      <c r="E88" t="inlineStr"/>
      <c r="F88" t="inlineStr">
        <is>
          <t>28 East 28th Street</t>
        </is>
      </c>
      <c r="G88" t="inlineStr">
        <is>
          <t>15</t>
        </is>
      </c>
      <c r="H88" t="inlineStr">
        <is>
          <t>10016</t>
        </is>
      </c>
      <c r="I88" t="n">
        <v>40.743465</v>
      </c>
      <c r="J88" t="n">
        <v>-73.98534600000001</v>
      </c>
      <c r="K88" t="inlineStr">
        <is>
          <t>Y</t>
        </is>
      </c>
      <c r="L88" t="inlineStr">
        <is>
          <t>over-500</t>
        </is>
      </c>
      <c r="M88" t="inlineStr">
        <is>
          <t>whole-company</t>
        </is>
      </c>
      <c r="N88" s="2" t="inlineStr">
        <is>
          <t>https://www.builtinnyc.com/company/prosek-partners/offices</t>
        </is>
      </c>
      <c r="O88" s="2" t="inlineStr">
        <is>
          <t>https://www.prosek.com/contact-us/</t>
        </is>
      </c>
      <c r="P88" t="inlineStr">
        <is>
          <t>2026-10-23</t>
        </is>
      </c>
      <c r="Q88" s="2" t="inlineStr">
        <is>
          <t>https://commercialobserver.com/2022/06/communication-firm-prosek-partners-leases-34k-sf-at-28-east-28th-street/</t>
        </is>
      </c>
      <c r="R88" t="inlineStr">
        <is>
          <t>high</t>
        </is>
      </c>
      <c r="S88" t="inlineStr">
        <is>
          <t>N</t>
        </is>
      </c>
      <c r="T88" t="inlineStr"/>
      <c r="U88" t="inlineStr"/>
      <c r="V88" s="3" t="inlineStr">
        <is>
          <t>Contact page lists New York HQ at 28 E 28th St 15th Floor. CO 2022: 13-year 34,000 SF lease, full 15th floor of the building also known as 63 Madison. Built In: 549 employees, just over 500: near-miss.</t>
        </is>
      </c>
      <c r="W88" t="inlineStr">
        <is>
          <t>2026-10-23</t>
        </is>
      </c>
      <c r="X88" t="inlineStr">
        <is>
          <t>security desk</t>
        </is>
      </c>
      <c r="Y88" t="inlineStr">
        <is>
          <t>near-miss-over-500</t>
        </is>
      </c>
      <c r="Z88" t="inlineStr">
        <is>
          <t>occupied</t>
        </is>
      </c>
      <c r="AA88" t="inlineStr"/>
      <c r="AB88" t="inlineStr">
        <is>
          <t>2026-10-23</t>
        </is>
      </c>
      <c r="AC88" s="3" t="inlineStr"/>
      <c r="AD88" t="inlineStr">
        <is>
          <t>company-site</t>
        </is>
      </c>
      <c r="AE88" t="inlineStr">
        <is>
          <t>2022-06-14</t>
        </is>
      </c>
      <c r="AF88" t="inlineStr">
        <is>
          <t>no-coworking-in-building</t>
        </is>
      </c>
      <c r="AG88" t="inlineStr">
        <is>
          <t>1008570024</t>
        </is>
      </c>
      <c r="AH88" t="n">
        <v>0</v>
      </c>
      <c r="AI88" t="inlineStr">
        <is>
          <t>34,000 sf</t>
        </is>
      </c>
      <c r="AJ88" t="inlineStr">
        <is>
          <t>S4</t>
        </is>
      </c>
      <c r="AK88" s="3" t="inlineStr">
        <is>
          <t>Over 500 company-wide</t>
        </is>
      </c>
    </row>
    <row r="89">
      <c r="A89" t="inlineStr">
        <is>
          <t>B-C-266</t>
        </is>
      </c>
      <c r="B89" t="inlineStr">
        <is>
          <t>Lockton Re</t>
        </is>
      </c>
      <c r="C89" s="2" t="inlineStr">
        <is>
          <t>https://global.lockton.com/re/en</t>
        </is>
      </c>
      <c r="D89" t="inlineStr">
        <is>
          <t>reinsurance brokerage</t>
        </is>
      </c>
      <c r="E89" t="inlineStr">
        <is>
          <t>B-B-077</t>
        </is>
      </c>
      <c r="F89" t="inlineStr">
        <is>
          <t>261 Fifth Avenue</t>
        </is>
      </c>
      <c r="G89" t="inlineStr">
        <is>
          <t>10</t>
        </is>
      </c>
      <c r="H89" t="inlineStr">
        <is>
          <t>10016</t>
        </is>
      </c>
      <c r="I89" t="n">
        <v>40.744952</v>
      </c>
      <c r="J89" t="n">
        <v>-73.986574</v>
      </c>
      <c r="K89" t="inlineStr">
        <is>
          <t>Y</t>
        </is>
      </c>
      <c r="L89" t="inlineStr">
        <is>
          <t>over-500</t>
        </is>
      </c>
      <c r="M89" t="inlineStr">
        <is>
          <t>whole-company</t>
        </is>
      </c>
      <c r="N89" s="2" t="inlineStr">
        <is>
          <t>https://en.wikipedia.org/wiki/Lockton_Companies</t>
        </is>
      </c>
      <c r="O89" s="2" t="inlineStr">
        <is>
          <t>https://commercialobserver.com/2023/07/lockton-re-relocating-to-19k-sf-at-261-fifth-avenue/</t>
        </is>
      </c>
      <c r="P89" t="inlineStr">
        <is>
          <t>2023-07</t>
        </is>
      </c>
      <c r="Q89" s="2" t="inlineStr">
        <is>
          <t>https://rebusinessonline.com/lockton-re-signs-19326-sf-office-lease-in-manhattans-nomad-district/</t>
        </is>
      </c>
      <c r="R89" t="inlineStr">
        <is>
          <t>low</t>
        </is>
      </c>
      <c r="S89" t="inlineStr">
        <is>
          <t>N</t>
        </is>
      </c>
      <c r="T89" t="inlineStr"/>
      <c r="U89" t="inlineStr"/>
      <c r="V89" s="3" t="inlineStr">
        <is>
          <t>10-year 19,326 SF lease for the full 10th floor (NYC offices), moved from 48 W 25th St. Both sources from 2023; not reconfirmed. Part of Lockton, which is very large, but no headcount source opened. | Assembly 2026-10-24: Band set at assembly to over-500 from Wikipedia infobox for Lockton Companies, the parent: '13,100+' employees (no year given). The NYC office size is unknown; the NYC office alone may fit, founder to confirm.</t>
        </is>
      </c>
      <c r="W89" t="inlineStr">
        <is>
          <t>2026-10-23</t>
        </is>
      </c>
      <c r="X89" t="inlineStr">
        <is>
          <t>security desk</t>
        </is>
      </c>
      <c r="Y89" t="inlineStr">
        <is>
          <t>near-miss-over-500</t>
        </is>
      </c>
      <c r="Z89" t="inlineStr">
        <is>
          <t>occupancy-unconfirmed</t>
        </is>
      </c>
      <c r="AA89" t="inlineStr"/>
      <c r="AB89" t="inlineStr">
        <is>
          <t>2026-10-24</t>
        </is>
      </c>
      <c r="AC89" s="3" t="inlineStr"/>
      <c r="AD89" t="inlineStr">
        <is>
          <t>leasing-press</t>
        </is>
      </c>
      <c r="AE89" t="inlineStr">
        <is>
          <t>2023-07-17</t>
        </is>
      </c>
      <c r="AF89" t="inlineStr">
        <is>
          <t>no-coworking-in-building</t>
        </is>
      </c>
      <c r="AG89" t="inlineStr">
        <is>
          <t>1008580078</t>
        </is>
      </c>
      <c r="AH89" t="n">
        <v>0</v>
      </c>
      <c r="AI89" t="inlineStr">
        <is>
          <t>19,326 sf</t>
        </is>
      </c>
      <c r="AJ89" t="inlineStr">
        <is>
          <t>S4</t>
        </is>
      </c>
      <c r="AK89" s="3" t="inlineStr">
        <is>
          <t>Over 500 company-wide</t>
        </is>
      </c>
    </row>
    <row r="90">
      <c r="A90" t="inlineStr">
        <is>
          <t>B-C-267</t>
        </is>
      </c>
      <c r="B90" t="inlineStr">
        <is>
          <t>MiQ Digital USA</t>
        </is>
      </c>
      <c r="C90" s="2" t="inlineStr">
        <is>
          <t>https://www.wearemiq.com</t>
        </is>
      </c>
      <c r="D90" t="inlineStr">
        <is>
          <t>adtech (programmatic media)</t>
        </is>
      </c>
      <c r="E90" t="inlineStr">
        <is>
          <t>B-B-077</t>
        </is>
      </c>
      <c r="F90" t="inlineStr">
        <is>
          <t>261 Fifth Avenue</t>
        </is>
      </c>
      <c r="G90" t="inlineStr">
        <is>
          <t>25-26 now; moving to 19-21</t>
        </is>
      </c>
      <c r="H90" t="inlineStr">
        <is>
          <t>10016</t>
        </is>
      </c>
      <c r="I90" t="n">
        <v>40.744952</v>
      </c>
      <c r="J90" t="n">
        <v>-73.986574</v>
      </c>
      <c r="K90" t="inlineStr">
        <is>
          <t>Y</t>
        </is>
      </c>
      <c r="L90" t="inlineStr">
        <is>
          <t>over-500</t>
        </is>
      </c>
      <c r="M90" t="inlineStr">
        <is>
          <t>whole-company</t>
        </is>
      </c>
      <c r="N90" s="2" t="inlineStr">
        <is>
          <t>https://www.builtinnyc.com/company/miq-digital/offices</t>
        </is>
      </c>
      <c r="O90" s="2" t="inlineStr">
        <is>
          <t>https://nyrej.com/print/57401</t>
        </is>
      </c>
      <c r="P90" t="inlineStr">
        <is>
          <t>2026-04-14</t>
        </is>
      </c>
      <c r="Q90" t="inlineStr"/>
      <c r="R90" t="inlineStr">
        <is>
          <t>medium</t>
        </is>
      </c>
      <c r="S90" t="inlineStr">
        <is>
          <t>N</t>
        </is>
      </c>
      <c r="T90" t="inlineStr"/>
      <c r="U90" t="inlineStr"/>
      <c r="V90" s="3" t="inlineStr">
        <is>
          <t>Tenant since 2018 on floors 25-26 (23,400 SF); 12-year 42,000 SF expansion lease to move to floors 19-21 in the same building. Built In: 1,385 total employees. Over 500: near-miss.</t>
        </is>
      </c>
      <c r="W90" t="inlineStr">
        <is>
          <t>2026-10-23</t>
        </is>
      </c>
      <c r="X90" t="inlineStr">
        <is>
          <t>security desk</t>
        </is>
      </c>
      <c r="Y90" t="inlineStr">
        <is>
          <t>near-miss-over-500</t>
        </is>
      </c>
      <c r="Z90" t="inlineStr">
        <is>
          <t>occupied</t>
        </is>
      </c>
      <c r="AA90" t="inlineStr"/>
      <c r="AB90" t="inlineStr">
        <is>
          <t>2026-10-23</t>
        </is>
      </c>
      <c r="AC90" s="3" t="inlineStr"/>
      <c r="AD90" t="inlineStr">
        <is>
          <t>leasing-press</t>
        </is>
      </c>
      <c r="AE90" t="inlineStr"/>
      <c r="AF90" t="inlineStr">
        <is>
          <t>no-coworking-in-building</t>
        </is>
      </c>
      <c r="AG90" t="inlineStr">
        <is>
          <t>1008580078</t>
        </is>
      </c>
      <c r="AH90" t="n">
        <v>0</v>
      </c>
      <c r="AI90" t="inlineStr">
        <is>
          <t>23,400 sf; 42,000 sf</t>
        </is>
      </c>
      <c r="AJ90" t="inlineStr">
        <is>
          <t>S4</t>
        </is>
      </c>
      <c r="AK90" s="3" t="inlineStr">
        <is>
          <t>Over 500 company-wide</t>
        </is>
      </c>
    </row>
    <row r="91">
      <c r="A91" t="inlineStr">
        <is>
          <t>B-C-268</t>
        </is>
      </c>
      <c r="B91" t="inlineStr">
        <is>
          <t>Bridgewater Associates (first Manhattan office)</t>
        </is>
      </c>
      <c r="C91" t="inlineStr">
        <is>
          <t>unknown</t>
        </is>
      </c>
      <c r="D91" t="inlineStr">
        <is>
          <t>hedge fund</t>
        </is>
      </c>
      <c r="E91" t="inlineStr">
        <is>
          <t>B-B-082</t>
        </is>
      </c>
      <c r="F91" t="inlineStr">
        <is>
          <t>295 Fifth Avenue</t>
        </is>
      </c>
      <c r="G91" t="inlineStr">
        <is>
          <t>unknown</t>
        </is>
      </c>
      <c r="H91" t="inlineStr">
        <is>
          <t>10016</t>
        </is>
      </c>
      <c r="I91" t="n">
        <v>40.746062</v>
      </c>
      <c r="J91" t="n">
        <v>-73.98568400000001</v>
      </c>
      <c r="K91" t="inlineStr">
        <is>
          <t>Y</t>
        </is>
      </c>
      <c r="L91" t="inlineStr">
        <is>
          <t>over-500</t>
        </is>
      </c>
      <c r="M91" t="inlineStr">
        <is>
          <t>whole-company</t>
        </is>
      </c>
      <c r="N91" s="2" t="inlineStr">
        <is>
          <t>https://www.builtinnyc.com/company/bridgewater-associates/offices</t>
        </is>
      </c>
      <c r="O91" s="2" t="inlineStr">
        <is>
          <t>https://commercialobserver.com/2024/09/bridgewater-associates-lease-295-fifth-avenue/</t>
        </is>
      </c>
      <c r="P91" t="inlineStr">
        <is>
          <t>2024-09-30</t>
        </is>
      </c>
      <c r="Q91" t="inlineStr"/>
      <c r="R91" t="inlineStr">
        <is>
          <t>low</t>
        </is>
      </c>
      <c r="S91" t="inlineStr">
        <is>
          <t>N</t>
        </is>
      </c>
      <c r="T91" t="inlineStr"/>
      <c r="U91" t="inlineStr"/>
      <c r="V91" s="3" t="inlineStr">
        <is>
          <t>60,000 SF lease for its first Manhattan office. Source is just over 24 months old; Built In (1,596 employees) lists only Westport CT. Over 500: near-miss. Margin row.</t>
        </is>
      </c>
      <c r="W91" t="inlineStr">
        <is>
          <t>2026-10-23</t>
        </is>
      </c>
      <c r="X91" t="inlineStr">
        <is>
          <t>unknown</t>
        </is>
      </c>
      <c r="Y91" t="inlineStr">
        <is>
          <t>near-miss-over-500</t>
        </is>
      </c>
      <c r="Z91" t="inlineStr">
        <is>
          <t>occupancy-unconfirmed</t>
        </is>
      </c>
      <c r="AA91" t="inlineStr"/>
      <c r="AB91" t="inlineStr">
        <is>
          <t>2026-10-23</t>
        </is>
      </c>
      <c r="AC91" s="3" t="inlineStr"/>
      <c r="AD91" t="inlineStr">
        <is>
          <t>leasing-press</t>
        </is>
      </c>
      <c r="AE91" t="inlineStr"/>
      <c r="AF91" t="inlineStr">
        <is>
          <t>no-coworking-in-building</t>
        </is>
      </c>
      <c r="AG91" t="inlineStr">
        <is>
          <t>1008600001</t>
        </is>
      </c>
      <c r="AH91" t="n">
        <v>0</v>
      </c>
      <c r="AI91" t="inlineStr">
        <is>
          <t>60,000 sf</t>
        </is>
      </c>
      <c r="AJ91" t="inlineStr">
        <is>
          <t>S4</t>
        </is>
      </c>
      <c r="AK91" s="3" t="inlineStr">
        <is>
          <t>Over 500 company-wide</t>
        </is>
      </c>
    </row>
    <row r="92">
      <c r="A92" t="inlineStr">
        <is>
          <t>B-C-269</t>
        </is>
      </c>
      <c r="B92" t="inlineStr">
        <is>
          <t>Octus (formerly Reorg)</t>
        </is>
      </c>
      <c r="C92" s="2" t="inlineStr">
        <is>
          <t>https://octus.com</t>
        </is>
      </c>
      <c r="D92" t="inlineStr">
        <is>
          <t>credit data and intelligence</t>
        </is>
      </c>
      <c r="E92" t="inlineStr">
        <is>
          <t>B-B-082</t>
        </is>
      </c>
      <c r="F92" t="inlineStr">
        <is>
          <t>295 Fifth Avenue</t>
        </is>
      </c>
      <c r="G92" t="inlineStr">
        <is>
          <t>6</t>
        </is>
      </c>
      <c r="H92" t="inlineStr">
        <is>
          <t>10016</t>
        </is>
      </c>
      <c r="I92" t="n">
        <v>40.746062</v>
      </c>
      <c r="J92" t="n">
        <v>-73.98568400000001</v>
      </c>
      <c r="K92" t="inlineStr">
        <is>
          <t>Y</t>
        </is>
      </c>
      <c r="L92" t="inlineStr">
        <is>
          <t>over-500</t>
        </is>
      </c>
      <c r="M92" t="inlineStr">
        <is>
          <t>whole-company</t>
        </is>
      </c>
      <c r="N92" s="2" t="inlineStr">
        <is>
          <t>https://www.builtinnyc.com/company/octus/offices</t>
        </is>
      </c>
      <c r="O92" s="2" t="inlineStr">
        <is>
          <t>https://commercialobserver.com/2025/03/octus-lease-295-fifth-avenue/</t>
        </is>
      </c>
      <c r="P92" t="inlineStr">
        <is>
          <t>2025-03-31</t>
        </is>
      </c>
      <c r="Q92" t="inlineStr"/>
      <c r="R92" t="inlineStr">
        <is>
          <t>medium</t>
        </is>
      </c>
      <c r="S92" t="inlineStr">
        <is>
          <t>N</t>
        </is>
      </c>
      <c r="T92" t="inlineStr"/>
      <c r="U92" t="inlineStr"/>
      <c r="V92" s="3" t="inlineStr">
        <is>
          <t>43,000 SF on floor 6 for its NYC HQ, moving from the 12th floor of 11 E 26th St. Built In (808 employees) still describes an office across from Madison Square Park, so the move date is unclear. Over 500: near-miss. Margin row.</t>
        </is>
      </c>
      <c r="W92" t="inlineStr">
        <is>
          <t>2026-10-23</t>
        </is>
      </c>
      <c r="X92" t="inlineStr">
        <is>
          <t>unknown</t>
        </is>
      </c>
      <c r="Y92" t="inlineStr">
        <is>
          <t>near-miss-over-500</t>
        </is>
      </c>
      <c r="Z92" t="inlineStr">
        <is>
          <t>signed-not-occupied</t>
        </is>
      </c>
      <c r="AA92" t="inlineStr">
        <is>
          <t>unknown</t>
        </is>
      </c>
      <c r="AB92" t="inlineStr">
        <is>
          <t>2026-10-23</t>
        </is>
      </c>
      <c r="AC92" s="3" t="inlineStr"/>
      <c r="AD92" t="inlineStr">
        <is>
          <t>leasing-press</t>
        </is>
      </c>
      <c r="AE92" t="inlineStr"/>
      <c r="AF92" t="inlineStr">
        <is>
          <t>no-coworking-in-building</t>
        </is>
      </c>
      <c r="AG92" t="inlineStr">
        <is>
          <t>1008600001</t>
        </is>
      </c>
      <c r="AH92" t="n">
        <v>0</v>
      </c>
      <c r="AI92" t="inlineStr">
        <is>
          <t>43,000 sf</t>
        </is>
      </c>
      <c r="AJ92" t="inlineStr">
        <is>
          <t>S4</t>
        </is>
      </c>
      <c r="AK92" s="3" t="inlineStr">
        <is>
          <t>Over 500 company-wide</t>
        </is>
      </c>
    </row>
    <row r="93">
      <c r="A93" t="inlineStr">
        <is>
          <t>B-C-270</t>
        </is>
      </c>
      <c r="B93" t="inlineStr">
        <is>
          <t>The Knot Worldwide</t>
        </is>
      </c>
      <c r="C93" t="inlineStr">
        <is>
          <t>unknown</t>
        </is>
      </c>
      <c r="D93" t="inlineStr">
        <is>
          <t>consumer internet (wedding and event planning)</t>
        </is>
      </c>
      <c r="E93" t="inlineStr">
        <is>
          <t>B-B-082</t>
        </is>
      </c>
      <c r="F93" t="inlineStr">
        <is>
          <t>295 Fifth Avenue</t>
        </is>
      </c>
      <c r="G93" t="inlineStr">
        <is>
          <t>unknown</t>
        </is>
      </c>
      <c r="H93" t="inlineStr">
        <is>
          <t>10016</t>
        </is>
      </c>
      <c r="I93" t="n">
        <v>40.746062</v>
      </c>
      <c r="J93" t="n">
        <v>-73.98568400000001</v>
      </c>
      <c r="K93" t="inlineStr">
        <is>
          <t>Y</t>
        </is>
      </c>
      <c r="L93" t="inlineStr">
        <is>
          <t>over-500</t>
        </is>
      </c>
      <c r="M93" t="inlineStr">
        <is>
          <t>whole-company</t>
        </is>
      </c>
      <c r="N93" s="2" t="inlineStr">
        <is>
          <t>https://www.builtinnyc.com/company/the-knot-worldwide/offices</t>
        </is>
      </c>
      <c r="O93" s="2" t="inlineStr">
        <is>
          <t>https://commercialobserver.com/2025/11/the-knot-settle-down-295-fifth-avenue/</t>
        </is>
      </c>
      <c r="P93" t="inlineStr">
        <is>
          <t>2025-11-07</t>
        </is>
      </c>
      <c r="Q93" t="inlineStr"/>
      <c r="R93" t="inlineStr">
        <is>
          <t>medium</t>
        </is>
      </c>
      <c r="S93" t="inlineStr">
        <is>
          <t>N</t>
        </is>
      </c>
      <c r="T93" t="inlineStr"/>
      <c r="U93" t="inlineStr"/>
      <c r="V93" s="3" t="inlineStr">
        <is>
          <t>10-year lease: one year in a 24,000 SF starter office, then a permanent 31,000 SF space; relocating from a temporary office at 220 Fifth Ave. CO says The Knot has 100 employees in New York (NYC band 76-150). Built In: 1,933 total employees, so over 500 company-wide: near-miss. Margin row (30th-31st St).</t>
        </is>
      </c>
      <c r="W93" t="inlineStr">
        <is>
          <t>2026-10-23</t>
        </is>
      </c>
      <c r="X93" t="inlineStr">
        <is>
          <t>unknown</t>
        </is>
      </c>
      <c r="Y93" t="inlineStr">
        <is>
          <t>near-miss-over-500</t>
        </is>
      </c>
      <c r="Z93" t="inlineStr">
        <is>
          <t>signed-not-occupied</t>
        </is>
      </c>
      <c r="AA93" t="inlineStr">
        <is>
          <t>unknown</t>
        </is>
      </c>
      <c r="AB93" t="inlineStr">
        <is>
          <t>2026-10-23</t>
        </is>
      </c>
      <c r="AC93" s="3" t="inlineStr"/>
      <c r="AD93" t="inlineStr">
        <is>
          <t>leasing-press</t>
        </is>
      </c>
      <c r="AE93" t="inlineStr"/>
      <c r="AF93" t="inlineStr">
        <is>
          <t>no-coworking-in-building</t>
        </is>
      </c>
      <c r="AG93" t="inlineStr">
        <is>
          <t>1008600001</t>
        </is>
      </c>
      <c r="AH93" t="n">
        <v>0</v>
      </c>
      <c r="AI93" t="inlineStr">
        <is>
          <t>24,000 sf; 31,000 sf</t>
        </is>
      </c>
      <c r="AJ93" t="inlineStr">
        <is>
          <t>S4</t>
        </is>
      </c>
      <c r="AK93" s="3" t="inlineStr">
        <is>
          <t>Over 500 company-wide; the NYC office alone may fit the 40-250 band, founder to confirm</t>
        </is>
      </c>
    </row>
    <row r="94">
      <c r="A94" t="inlineStr">
        <is>
          <t>B-C-271</t>
        </is>
      </c>
      <c r="B94" t="inlineStr">
        <is>
          <t>RepRally</t>
        </is>
      </c>
      <c r="C94" s="2" t="inlineStr">
        <is>
          <t>https://www.reprally.com/</t>
        </is>
      </c>
      <c r="D94" t="inlineStr">
        <is>
          <t>B2B wholesale platform for independent retailers (snacks, candy, beverages)</t>
        </is>
      </c>
      <c r="E94" t="inlineStr"/>
      <c r="F94" t="inlineStr">
        <is>
          <t>137 East 25th Street</t>
        </is>
      </c>
      <c r="G94" t="inlineStr">
        <is>
          <t>6</t>
        </is>
      </c>
      <c r="H94" t="inlineStr">
        <is>
          <t>10010</t>
        </is>
      </c>
      <c r="I94" t="n">
        <v>40.740857</v>
      </c>
      <c r="J94" t="n">
        <v>-73.983146</v>
      </c>
      <c r="K94" t="inlineStr">
        <is>
          <t>N</t>
        </is>
      </c>
      <c r="L94" t="inlineStr">
        <is>
          <t>76-150</t>
        </is>
      </c>
      <c r="M94" t="inlineStr">
        <is>
          <t>whole-company</t>
        </is>
      </c>
      <c r="N94" s="2" t="inlineStr">
        <is>
          <t>https://www.builtinnyc.com/company/reprally/offices</t>
        </is>
      </c>
      <c r="O94" s="2" t="inlineStr">
        <is>
          <t>https://www.reprally.com/company/msa</t>
        </is>
      </c>
      <c r="P94" t="inlineStr">
        <is>
          <t>2026-10-24</t>
        </is>
      </c>
      <c r="Q94" s="2" t="inlineStr">
        <is>
          <t>https://commercialobserver.com/2025/09/reprally-lease-137-east-25th-street/</t>
        </is>
      </c>
      <c r="R94" t="inlineStr">
        <is>
          <t>high</t>
        </is>
      </c>
      <c r="S94" t="inlineStr">
        <is>
          <t>N</t>
        </is>
      </c>
      <c r="T94" t="inlineStr"/>
      <c r="U94" t="inlineStr"/>
      <c r="V94" s="3" t="inlineStr">
        <is>
          <t>Company MSA and sales-rep terms (live): '137 East 25th Street, Floor 6, New York, NY 10010'. CO Sep 2025: 5-yr, 8,308 sf lease, HQ moved from 22 W 21st St. Built In: 120 total employees. Margin: east of Park Ave S between Lexington and Third. Also relevant to Desk Drop's brand side (connects retailers with 250+ snack and beverage brands).</t>
        </is>
      </c>
      <c r="W94" t="inlineStr">
        <is>
          <t>2026-10-23</t>
        </is>
      </c>
      <c r="X94" t="inlineStr">
        <is>
          <t>unknown</t>
        </is>
      </c>
      <c r="Y94" t="inlineStr">
        <is>
          <t>near-miss-outside</t>
        </is>
      </c>
      <c r="Z94" t="inlineStr">
        <is>
          <t>occupied</t>
        </is>
      </c>
      <c r="AA94" t="inlineStr"/>
      <c r="AB94" t="inlineStr">
        <is>
          <t>2026-10-24</t>
        </is>
      </c>
      <c r="AC94" s="3" t="inlineStr"/>
      <c r="AD94" t="inlineStr">
        <is>
          <t>company-site</t>
        </is>
      </c>
      <c r="AE94" t="inlineStr">
        <is>
          <t>2025-09-30</t>
        </is>
      </c>
      <c r="AF94" t="inlineStr">
        <is>
          <t>no-coworking-in-building</t>
        </is>
      </c>
      <c r="AG94" t="inlineStr">
        <is>
          <t>1008810029</t>
        </is>
      </c>
      <c r="AH94" t="n">
        <v>1.7</v>
      </c>
      <c r="AI94" t="inlineStr">
        <is>
          <t>8,308 sf</t>
        </is>
      </c>
      <c r="AJ94" t="inlineStr">
        <is>
          <t>S3</t>
        </is>
      </c>
      <c r="AK94" s="3" t="inlineStr">
        <is>
          <t>Outside the boundary by 1.7 blocks (east of the Park Ave S frontage)</t>
        </is>
      </c>
    </row>
    <row r="95">
      <c r="A95" t="inlineStr">
        <is>
          <t>B-C-272</t>
        </is>
      </c>
      <c r="B95" t="inlineStr">
        <is>
          <t>Runwise</t>
        </is>
      </c>
      <c r="C95" s="2" t="inlineStr">
        <is>
          <t>https://www.runwise.com</t>
        </is>
      </c>
      <c r="D95" t="inlineStr">
        <is>
          <t>proptech (building heating controls)</t>
        </is>
      </c>
      <c r="E95" t="inlineStr"/>
      <c r="F95" t="inlineStr">
        <is>
          <t>104 West 27th Street</t>
        </is>
      </c>
      <c r="G95" t="inlineStr">
        <is>
          <t>unknown</t>
        </is>
      </c>
      <c r="H95" t="inlineStr">
        <is>
          <t>10001</t>
        </is>
      </c>
      <c r="I95" t="n">
        <v>40.745488</v>
      </c>
      <c r="J95" t="n">
        <v>-73.991668</v>
      </c>
      <c r="K95" t="inlineStr">
        <is>
          <t>N</t>
        </is>
      </c>
      <c r="L95" t="inlineStr">
        <is>
          <t>151-250</t>
        </is>
      </c>
      <c r="M95" t="inlineStr">
        <is>
          <t>whole-company</t>
        </is>
      </c>
      <c r="N95" s="2" t="inlineStr">
        <is>
          <t>https://www.builtinnyc.com/company/runwise-2/offices</t>
        </is>
      </c>
      <c r="O95" s="2" t="inlineStr">
        <is>
          <t>https://www.builtinnyc.com/company/runwise-2/offices</t>
        </is>
      </c>
      <c r="P95" t="inlineStr">
        <is>
          <t>2026-10-23</t>
        </is>
      </c>
      <c r="Q95" t="inlineStr"/>
      <c r="R95" t="inlineStr">
        <is>
          <t>medium</t>
        </is>
      </c>
      <c r="S95" t="inlineStr">
        <is>
          <t>N</t>
        </is>
      </c>
      <c r="T95" t="inlineStr"/>
      <c r="U95" t="inlineStr"/>
      <c r="V95" s="3" t="inlineStr">
        <is>
          <t>Built In lists HQ at 104 W 27th Street; 199 total employees; hybrid, 3 days a week on site. Outside: west of Sixth Avenue (between Sixth and Seventh). Near-miss on boundary.</t>
        </is>
      </c>
      <c r="W95" t="inlineStr">
        <is>
          <t>2026-10-23</t>
        </is>
      </c>
      <c r="X95" t="inlineStr">
        <is>
          <t>unknown</t>
        </is>
      </c>
      <c r="Y95" t="inlineStr">
        <is>
          <t>near-miss-outside</t>
        </is>
      </c>
      <c r="Z95" t="inlineStr">
        <is>
          <t>occupied</t>
        </is>
      </c>
      <c r="AA95" t="inlineStr"/>
      <c r="AB95" t="inlineStr">
        <is>
          <t>2026-10-23</t>
        </is>
      </c>
      <c r="AC95" s="3" t="inlineStr"/>
      <c r="AD95" t="inlineStr">
        <is>
          <t>builtin</t>
        </is>
      </c>
      <c r="AE95" t="inlineStr"/>
      <c r="AF95" t="inlineStr">
        <is>
          <t>no-coworking-in-building</t>
        </is>
      </c>
      <c r="AG95" t="inlineStr">
        <is>
          <t>1008020049</t>
        </is>
      </c>
      <c r="AH95" t="n">
        <v>0.1</v>
      </c>
      <c r="AI95" t="inlineStr"/>
      <c r="AJ95" t="inlineStr">
        <is>
          <t>S4</t>
        </is>
      </c>
      <c r="AK95" s="3" t="inlineStr">
        <is>
          <t>Outside the boundary by 0.1 blocks (side street west of Sixth Ave)</t>
        </is>
      </c>
    </row>
    <row r="96">
      <c r="A96" t="inlineStr">
        <is>
          <t>B-C-273</t>
        </is>
      </c>
      <c r="B96" t="inlineStr">
        <is>
          <t>GumGum (NYC office)</t>
        </is>
      </c>
      <c r="C96" t="inlineStr">
        <is>
          <t>unknown</t>
        </is>
      </c>
      <c r="D96" t="inlineStr">
        <is>
          <t>adtech (contextual AI advertising)</t>
        </is>
      </c>
      <c r="E96" t="inlineStr"/>
      <c r="F96" t="inlineStr">
        <is>
          <t>1245 Broadway</t>
        </is>
      </c>
      <c r="G96" t="inlineStr">
        <is>
          <t>one full tower floor</t>
        </is>
      </c>
      <c r="H96" t="inlineStr">
        <is>
          <t>10001</t>
        </is>
      </c>
      <c r="I96" t="n">
        <v>40.747441</v>
      </c>
      <c r="J96" t="n">
        <v>-73.988713</v>
      </c>
      <c r="K96" t="inlineStr">
        <is>
          <t>N</t>
        </is>
      </c>
      <c r="L96" t="inlineStr">
        <is>
          <t>251-500</t>
        </is>
      </c>
      <c r="M96" t="inlineStr">
        <is>
          <t>whole-company</t>
        </is>
      </c>
      <c r="N96" s="2" t="inlineStr">
        <is>
          <t>https://www.builtinnyc.com/company/gumgum/offices</t>
        </is>
      </c>
      <c r="O96" s="2" t="inlineStr">
        <is>
          <t>https://commercialobserver.com/2022/10/online-advertising-firm-gumgum-heads-to-1245-broadway/</t>
        </is>
      </c>
      <c r="P96" t="inlineStr">
        <is>
          <t>2022-10-05</t>
        </is>
      </c>
      <c r="Q96" t="inlineStr"/>
      <c r="R96" t="inlineStr">
        <is>
          <t>low</t>
        </is>
      </c>
      <c r="S96" t="inlineStr">
        <is>
          <t>N</t>
        </is>
      </c>
      <c r="T96" t="inlineStr"/>
      <c r="U96" t="inlineStr"/>
      <c r="V96" s="3" t="inlineStr">
        <is>
          <t>Five-year 6,500 SF lease with a terrace (2022). Built In (500 employees, HQ Santa Monica) lists a New York office without a street. Older source, not reconfirmed. Margin row.</t>
        </is>
      </c>
      <c r="W96" t="inlineStr">
        <is>
          <t>2026-10-23</t>
        </is>
      </c>
      <c r="X96" t="inlineStr">
        <is>
          <t>unknown</t>
        </is>
      </c>
      <c r="Y96" t="inlineStr">
        <is>
          <t>near-miss-outside</t>
        </is>
      </c>
      <c r="Z96" t="inlineStr">
        <is>
          <t>occupancy-unconfirmed</t>
        </is>
      </c>
      <c r="AA96" t="inlineStr"/>
      <c r="AB96" t="inlineStr">
        <is>
          <t>2026-10-23</t>
        </is>
      </c>
      <c r="AC96" s="3" t="inlineStr"/>
      <c r="AD96" t="inlineStr">
        <is>
          <t>leasing-press</t>
        </is>
      </c>
      <c r="AE96" t="inlineStr"/>
      <c r="AF96" t="inlineStr">
        <is>
          <t>no-coworking-in-building</t>
        </is>
      </c>
      <c r="AG96" t="inlineStr">
        <is>
          <t>1008320017</t>
        </is>
      </c>
      <c r="AH96" t="n">
        <v>0.1</v>
      </c>
      <c r="AI96" t="inlineStr">
        <is>
          <t>6,500 sf</t>
        </is>
      </c>
      <c r="AJ96" t="inlineStr">
        <is>
          <t>S4</t>
        </is>
      </c>
      <c r="AK96" s="3" t="inlineStr">
        <is>
          <t>Outside the boundary by 0.1 blocks (31st St frontage, north of the 30th St line)</t>
        </is>
      </c>
    </row>
    <row r="97">
      <c r="A97" t="inlineStr">
        <is>
          <t>B-C-274</t>
        </is>
      </c>
      <c r="B97" t="inlineStr">
        <is>
          <t>Parloa</t>
        </is>
      </c>
      <c r="C97" s="2" t="inlineStr">
        <is>
          <t>https://www.parloa.com</t>
        </is>
      </c>
      <c r="D97" t="inlineStr">
        <is>
          <t>software (AI customer service agents)</t>
        </is>
      </c>
      <c r="E97" t="inlineStr"/>
      <c r="F97" t="inlineStr">
        <is>
          <t>1245 Broadway</t>
        </is>
      </c>
      <c r="G97" t="inlineStr">
        <is>
          <t>2</t>
        </is>
      </c>
      <c r="H97" t="inlineStr">
        <is>
          <t>10001</t>
        </is>
      </c>
      <c r="I97" t="n">
        <v>40.747441</v>
      </c>
      <c r="J97" t="n">
        <v>-73.988713</v>
      </c>
      <c r="K97" t="inlineStr">
        <is>
          <t>N</t>
        </is>
      </c>
      <c r="L97" t="inlineStr">
        <is>
          <t>151-250</t>
        </is>
      </c>
      <c r="M97" t="inlineStr">
        <is>
          <t>whole-company</t>
        </is>
      </c>
      <c r="N97" s="2" t="inlineStr">
        <is>
          <t>https://www.builtinnyc.com/company/parloa/offices</t>
        </is>
      </c>
      <c r="O97" s="2" t="inlineStr">
        <is>
          <t>https://commercialobserver.com/2026/06/parloa-lease-expansion-gdsny-1245-broadway/</t>
        </is>
      </c>
      <c r="P97" t="inlineStr">
        <is>
          <t>2026-06-11</t>
        </is>
      </c>
      <c r="Q97" s="2" t="inlineStr">
        <is>
          <t>https://www.parloa.com/contact/</t>
        </is>
      </c>
      <c r="R97" t="inlineStr">
        <is>
          <t>high</t>
        </is>
      </c>
      <c r="S97" t="inlineStr">
        <is>
          <t>N</t>
        </is>
      </c>
      <c r="T97" t="inlineStr"/>
      <c r="U97" t="inlineStr"/>
      <c r="V97" s="3" t="inlineStr">
        <is>
          <t>Contact page lists Parloa Inc. at 1245 Broadway, 2FL, New York. CO 2026-06-11: moved in about six months earlier and expanding from 14,731 SF to 23,031 SF. Built In (221 employees, HQ Berlin) still lists 420 Lexington Ave, which is stale. Margin row (31st St).</t>
        </is>
      </c>
      <c r="W97" t="inlineStr">
        <is>
          <t>2026-10-23</t>
        </is>
      </c>
      <c r="X97" t="inlineStr">
        <is>
          <t>unknown</t>
        </is>
      </c>
      <c r="Y97" t="inlineStr">
        <is>
          <t>near-miss-outside</t>
        </is>
      </c>
      <c r="Z97" t="inlineStr">
        <is>
          <t>occupied</t>
        </is>
      </c>
      <c r="AA97" t="inlineStr"/>
      <c r="AB97" t="inlineStr">
        <is>
          <t>2026-10-23</t>
        </is>
      </c>
      <c r="AC97" s="3" t="inlineStr"/>
      <c r="AD97" t="inlineStr">
        <is>
          <t>leasing-press</t>
        </is>
      </c>
      <c r="AE97" t="inlineStr">
        <is>
          <t>2026-10-23</t>
        </is>
      </c>
      <c r="AF97" t="inlineStr">
        <is>
          <t>no-coworking-in-building</t>
        </is>
      </c>
      <c r="AG97" t="inlineStr">
        <is>
          <t>1008320017</t>
        </is>
      </c>
      <c r="AH97" t="n">
        <v>0.1</v>
      </c>
      <c r="AI97" t="inlineStr">
        <is>
          <t>14,731 sf; 23,031 sf</t>
        </is>
      </c>
      <c r="AJ97" t="inlineStr">
        <is>
          <t>S4</t>
        </is>
      </c>
      <c r="AK97" s="3" t="inlineStr">
        <is>
          <t>Outside the boundary by 0.1 blocks (31st St frontage, north of the 30th St line)</t>
        </is>
      </c>
    </row>
    <row r="98">
      <c r="A98" t="inlineStr">
        <is>
          <t>B-C-275</t>
        </is>
      </c>
      <c r="B98" t="inlineStr">
        <is>
          <t>Ford Models</t>
        </is>
      </c>
      <c r="C98" s="2" t="inlineStr">
        <is>
          <t>https://fordmodels.com</t>
        </is>
      </c>
      <c r="D98" t="inlineStr">
        <is>
          <t>talent and modeling agency</t>
        </is>
      </c>
      <c r="E98" t="inlineStr"/>
      <c r="F98" t="inlineStr">
        <is>
          <t>36 East 31st Street</t>
        </is>
      </c>
      <c r="G98" t="inlineStr">
        <is>
          <t>8</t>
        </is>
      </c>
      <c r="H98" t="inlineStr">
        <is>
          <t>10016</t>
        </is>
      </c>
      <c r="I98" t="n">
        <v>40.745308</v>
      </c>
      <c r="J98" t="n">
        <v>-73.98356</v>
      </c>
      <c r="K98" t="inlineStr">
        <is>
          <t>N</t>
        </is>
      </c>
      <c r="L98" t="inlineStr">
        <is>
          <t>unknown</t>
        </is>
      </c>
      <c r="M98" t="inlineStr">
        <is>
          <t>unknown</t>
        </is>
      </c>
      <c r="N98" t="inlineStr"/>
      <c r="O98" s="2" t="inlineStr">
        <is>
          <t>https://fordmodels.com/contact</t>
        </is>
      </c>
      <c r="P98" t="inlineStr">
        <is>
          <t>2026-10-23</t>
        </is>
      </c>
      <c r="Q98" s="2" t="inlineStr">
        <is>
          <t>https://commercialobserver.com/2026/03/ford-models-office-lease-36-east-31st-street/</t>
        </is>
      </c>
      <c r="R98" t="inlineStr">
        <is>
          <t>high</t>
        </is>
      </c>
      <c r="S98" t="inlineStr">
        <is>
          <t>N</t>
        </is>
      </c>
      <c r="T98" t="inlineStr"/>
      <c r="U98" t="inlineStr"/>
      <c r="V98" s="3" t="inlineStr">
        <is>
          <t>Contact page lists Ford New York at 36 East 31st Street 8th Floor; CO 2026: 11,986 SF on floor 8 (temporarily on floor 9 during buildout). Earlier listed as an 11 E 26th St tenant. Margin row (31st St). Headcount not found.</t>
        </is>
      </c>
      <c r="W98" t="inlineStr">
        <is>
          <t>2026-10-23</t>
        </is>
      </c>
      <c r="X98" t="inlineStr">
        <is>
          <t>unknown</t>
        </is>
      </c>
      <c r="Y98" t="inlineStr">
        <is>
          <t>near-miss-outside</t>
        </is>
      </c>
      <c r="Z98" t="inlineStr">
        <is>
          <t>occupied</t>
        </is>
      </c>
      <c r="AA98" t="inlineStr"/>
      <c r="AB98" t="inlineStr"/>
      <c r="AC98" s="3" t="inlineStr">
        <is>
          <t>No opened source gives a count: no Built In profile with a total, the company site publishes none, and LinkedIn was off-limits. Founder to confirm at intake.</t>
        </is>
      </c>
      <c r="AD98" t="inlineStr">
        <is>
          <t>company-site</t>
        </is>
      </c>
      <c r="AE98" t="inlineStr">
        <is>
          <t>2026-03-17</t>
        </is>
      </c>
      <c r="AF98" t="inlineStr">
        <is>
          <t>no-coworking-in-building</t>
        </is>
      </c>
      <c r="AG98" t="inlineStr">
        <is>
          <t>1008600049</t>
        </is>
      </c>
      <c r="AH98" t="n">
        <v>0.2</v>
      </c>
      <c r="AI98" t="inlineStr">
        <is>
          <t>11,986 sf</t>
        </is>
      </c>
      <c r="AJ98" t="inlineStr">
        <is>
          <t>S4</t>
        </is>
      </c>
      <c r="AK98" s="3" t="inlineStr">
        <is>
          <t>Outside the boundary by 0.2 blocks (31st St frontage, north of the 30th St line)</t>
        </is>
      </c>
    </row>
    <row r="99">
      <c r="A99" t="inlineStr">
        <is>
          <t>B-C-276</t>
        </is>
      </c>
      <c r="B99" t="inlineStr">
        <is>
          <t>The Ancillary Project</t>
        </is>
      </c>
      <c r="C99" s="2" t="inlineStr">
        <is>
          <t>https://theancillaryproject.com</t>
        </is>
      </c>
      <c r="D99" t="inlineStr">
        <is>
          <t>creative studio (design and branding)</t>
        </is>
      </c>
      <c r="E99" t="inlineStr"/>
      <c r="F99" t="inlineStr">
        <is>
          <t>36 East 31st Street</t>
        </is>
      </c>
      <c r="G99" t="inlineStr">
        <is>
          <t>4 (part)</t>
        </is>
      </c>
      <c r="H99" t="inlineStr">
        <is>
          <t>10016</t>
        </is>
      </c>
      <c r="I99" t="n">
        <v>40.745308</v>
      </c>
      <c r="J99" t="n">
        <v>-73.98356</v>
      </c>
      <c r="K99" t="inlineStr">
        <is>
          <t>N</t>
        </is>
      </c>
      <c r="L99" t="inlineStr">
        <is>
          <t>unknown</t>
        </is>
      </c>
      <c r="M99" t="inlineStr">
        <is>
          <t>unknown</t>
        </is>
      </c>
      <c r="N99" t="inlineStr"/>
      <c r="O99" s="2" t="inlineStr">
        <is>
          <t>https://commercialobserver.com/2026/01/ancillary-project-lease-36-east-31st-street/</t>
        </is>
      </c>
      <c r="P99" t="inlineStr">
        <is>
          <t>2026-01-12</t>
        </is>
      </c>
      <c r="Q99" s="2" t="inlineStr">
        <is>
          <t>https://theancillaryproject.com/</t>
        </is>
      </c>
      <c r="R99" t="inlineStr">
        <is>
          <t>high</t>
        </is>
      </c>
      <c r="S99" t="inlineStr">
        <is>
          <t>N</t>
        </is>
      </c>
      <c r="T99" t="inlineStr"/>
      <c r="U99" t="inlineStr"/>
      <c r="V99" s="3" t="inlineStr">
        <is>
          <t>CO 2026-01-12: 5,851 SF office and showroom on part of floor 4. Site lists Showroom 36 East 31st Street. Margin row (31st St). Headcount not found; may be under 40.</t>
        </is>
      </c>
      <c r="W99" t="inlineStr">
        <is>
          <t>2026-10-23</t>
        </is>
      </c>
      <c r="X99" t="inlineStr">
        <is>
          <t>unknown</t>
        </is>
      </c>
      <c r="Y99" t="inlineStr">
        <is>
          <t>near-miss-outside</t>
        </is>
      </c>
      <c r="Z99" t="inlineStr">
        <is>
          <t>occupied</t>
        </is>
      </c>
      <c r="AA99" t="inlineStr"/>
      <c r="AB99" t="inlineStr"/>
      <c r="AC99" s="3" t="inlineStr">
        <is>
          <t>No opened source gives a count: no Built In profile with a total, the company site publishes none, and LinkedIn was off-limits. Founder to confirm at intake.</t>
        </is>
      </c>
      <c r="AD99" t="inlineStr">
        <is>
          <t>leasing-press</t>
        </is>
      </c>
      <c r="AE99" t="inlineStr">
        <is>
          <t>2026-10-23</t>
        </is>
      </c>
      <c r="AF99" t="inlineStr">
        <is>
          <t>no-coworking-in-building</t>
        </is>
      </c>
      <c r="AG99" t="inlineStr">
        <is>
          <t>1008600049</t>
        </is>
      </c>
      <c r="AH99" t="n">
        <v>0.2</v>
      </c>
      <c r="AI99" t="inlineStr">
        <is>
          <t>5,851 sf</t>
        </is>
      </c>
      <c r="AJ99" t="inlineStr">
        <is>
          <t>S4</t>
        </is>
      </c>
      <c r="AK99" s="3" t="inlineStr">
        <is>
          <t>Outside the boundary by 0.2 blocks (31st St frontage, north of the 30th St line)</t>
        </is>
      </c>
    </row>
  </sheetData>
  <autoFilter ref="A1:AK99"/>
  <hyperlinks>
    <hyperlink xmlns:r="http://schemas.openxmlformats.org/officeDocument/2006/relationships" ref="C2" r:id="rId1"/>
    <hyperlink xmlns:r="http://schemas.openxmlformats.org/officeDocument/2006/relationships" ref="N2" r:id="rId2"/>
    <hyperlink xmlns:r="http://schemas.openxmlformats.org/officeDocument/2006/relationships" ref="O2" r:id="rId3"/>
    <hyperlink xmlns:r="http://schemas.openxmlformats.org/officeDocument/2006/relationships" ref="C3" r:id="rId4"/>
    <hyperlink xmlns:r="http://schemas.openxmlformats.org/officeDocument/2006/relationships" ref="N3" r:id="rId5"/>
    <hyperlink xmlns:r="http://schemas.openxmlformats.org/officeDocument/2006/relationships" ref="O3" r:id="rId6"/>
    <hyperlink xmlns:r="http://schemas.openxmlformats.org/officeDocument/2006/relationships" ref="Q3" r:id="rId7"/>
    <hyperlink xmlns:r="http://schemas.openxmlformats.org/officeDocument/2006/relationships" ref="C4" r:id="rId8"/>
    <hyperlink xmlns:r="http://schemas.openxmlformats.org/officeDocument/2006/relationships" ref="N4" r:id="rId9"/>
    <hyperlink xmlns:r="http://schemas.openxmlformats.org/officeDocument/2006/relationships" ref="O4" r:id="rId10"/>
    <hyperlink xmlns:r="http://schemas.openxmlformats.org/officeDocument/2006/relationships" ref="C5" r:id="rId11"/>
    <hyperlink xmlns:r="http://schemas.openxmlformats.org/officeDocument/2006/relationships" ref="N5" r:id="rId12"/>
    <hyperlink xmlns:r="http://schemas.openxmlformats.org/officeDocument/2006/relationships" ref="O5" r:id="rId13"/>
    <hyperlink xmlns:r="http://schemas.openxmlformats.org/officeDocument/2006/relationships" ref="Q5" r:id="rId14"/>
    <hyperlink xmlns:r="http://schemas.openxmlformats.org/officeDocument/2006/relationships" ref="C6" r:id="rId15"/>
    <hyperlink xmlns:r="http://schemas.openxmlformats.org/officeDocument/2006/relationships" ref="N6" r:id="rId16"/>
    <hyperlink xmlns:r="http://schemas.openxmlformats.org/officeDocument/2006/relationships" ref="O6" r:id="rId17"/>
    <hyperlink xmlns:r="http://schemas.openxmlformats.org/officeDocument/2006/relationships" ref="C7" r:id="rId18"/>
    <hyperlink xmlns:r="http://schemas.openxmlformats.org/officeDocument/2006/relationships" ref="N7" r:id="rId19"/>
    <hyperlink xmlns:r="http://schemas.openxmlformats.org/officeDocument/2006/relationships" ref="O7" r:id="rId20"/>
    <hyperlink xmlns:r="http://schemas.openxmlformats.org/officeDocument/2006/relationships" ref="C8" r:id="rId21"/>
    <hyperlink xmlns:r="http://schemas.openxmlformats.org/officeDocument/2006/relationships" ref="N8" r:id="rId22"/>
    <hyperlink xmlns:r="http://schemas.openxmlformats.org/officeDocument/2006/relationships" ref="O8" r:id="rId23"/>
    <hyperlink xmlns:r="http://schemas.openxmlformats.org/officeDocument/2006/relationships" ref="C9" r:id="rId24"/>
    <hyperlink xmlns:r="http://schemas.openxmlformats.org/officeDocument/2006/relationships" ref="N9" r:id="rId25"/>
    <hyperlink xmlns:r="http://schemas.openxmlformats.org/officeDocument/2006/relationships" ref="O9" r:id="rId26"/>
    <hyperlink xmlns:r="http://schemas.openxmlformats.org/officeDocument/2006/relationships" ref="C10" r:id="rId27"/>
    <hyperlink xmlns:r="http://schemas.openxmlformats.org/officeDocument/2006/relationships" ref="N10" r:id="rId28"/>
    <hyperlink xmlns:r="http://schemas.openxmlformats.org/officeDocument/2006/relationships" ref="O10" r:id="rId29"/>
    <hyperlink xmlns:r="http://schemas.openxmlformats.org/officeDocument/2006/relationships" ref="C11" r:id="rId30"/>
    <hyperlink xmlns:r="http://schemas.openxmlformats.org/officeDocument/2006/relationships" ref="N11" r:id="rId31"/>
    <hyperlink xmlns:r="http://schemas.openxmlformats.org/officeDocument/2006/relationships" ref="O11" r:id="rId32"/>
    <hyperlink xmlns:r="http://schemas.openxmlformats.org/officeDocument/2006/relationships" ref="C12" r:id="rId33"/>
    <hyperlink xmlns:r="http://schemas.openxmlformats.org/officeDocument/2006/relationships" ref="N12" r:id="rId34"/>
    <hyperlink xmlns:r="http://schemas.openxmlformats.org/officeDocument/2006/relationships" ref="O12" r:id="rId35"/>
    <hyperlink xmlns:r="http://schemas.openxmlformats.org/officeDocument/2006/relationships" ref="N13" r:id="rId36"/>
    <hyperlink xmlns:r="http://schemas.openxmlformats.org/officeDocument/2006/relationships" ref="O13" r:id="rId37"/>
    <hyperlink xmlns:r="http://schemas.openxmlformats.org/officeDocument/2006/relationships" ref="C14" r:id="rId38"/>
    <hyperlink xmlns:r="http://schemas.openxmlformats.org/officeDocument/2006/relationships" ref="N14" r:id="rId39"/>
    <hyperlink xmlns:r="http://schemas.openxmlformats.org/officeDocument/2006/relationships" ref="O14" r:id="rId40"/>
    <hyperlink xmlns:r="http://schemas.openxmlformats.org/officeDocument/2006/relationships" ref="Q14" r:id="rId41"/>
    <hyperlink xmlns:r="http://schemas.openxmlformats.org/officeDocument/2006/relationships" ref="C15" r:id="rId42"/>
    <hyperlink xmlns:r="http://schemas.openxmlformats.org/officeDocument/2006/relationships" ref="N15" r:id="rId43"/>
    <hyperlink xmlns:r="http://schemas.openxmlformats.org/officeDocument/2006/relationships" ref="O15" r:id="rId44"/>
    <hyperlink xmlns:r="http://schemas.openxmlformats.org/officeDocument/2006/relationships" ref="C16" r:id="rId45"/>
    <hyperlink xmlns:r="http://schemas.openxmlformats.org/officeDocument/2006/relationships" ref="N16" r:id="rId46"/>
    <hyperlink xmlns:r="http://schemas.openxmlformats.org/officeDocument/2006/relationships" ref="O16" r:id="rId47"/>
    <hyperlink xmlns:r="http://schemas.openxmlformats.org/officeDocument/2006/relationships" ref="Q16" r:id="rId48"/>
    <hyperlink xmlns:r="http://schemas.openxmlformats.org/officeDocument/2006/relationships" ref="C17" r:id="rId49"/>
    <hyperlink xmlns:r="http://schemas.openxmlformats.org/officeDocument/2006/relationships" ref="N17" r:id="rId50"/>
    <hyperlink xmlns:r="http://schemas.openxmlformats.org/officeDocument/2006/relationships" ref="O17" r:id="rId51"/>
    <hyperlink xmlns:r="http://schemas.openxmlformats.org/officeDocument/2006/relationships" ref="Q17" r:id="rId52"/>
    <hyperlink xmlns:r="http://schemas.openxmlformats.org/officeDocument/2006/relationships" ref="C18" r:id="rId53"/>
    <hyperlink xmlns:r="http://schemas.openxmlformats.org/officeDocument/2006/relationships" ref="N18" r:id="rId54"/>
    <hyperlink xmlns:r="http://schemas.openxmlformats.org/officeDocument/2006/relationships" ref="O18" r:id="rId55"/>
    <hyperlink xmlns:r="http://schemas.openxmlformats.org/officeDocument/2006/relationships" ref="C19" r:id="rId56"/>
    <hyperlink xmlns:r="http://schemas.openxmlformats.org/officeDocument/2006/relationships" ref="N19" r:id="rId57"/>
    <hyperlink xmlns:r="http://schemas.openxmlformats.org/officeDocument/2006/relationships" ref="O19" r:id="rId58"/>
    <hyperlink xmlns:r="http://schemas.openxmlformats.org/officeDocument/2006/relationships" ref="N20" r:id="rId59"/>
    <hyperlink xmlns:r="http://schemas.openxmlformats.org/officeDocument/2006/relationships" ref="O20" r:id="rId60"/>
    <hyperlink xmlns:r="http://schemas.openxmlformats.org/officeDocument/2006/relationships" ref="Q20" r:id="rId61"/>
    <hyperlink xmlns:r="http://schemas.openxmlformats.org/officeDocument/2006/relationships" ref="C21" r:id="rId62"/>
    <hyperlink xmlns:r="http://schemas.openxmlformats.org/officeDocument/2006/relationships" ref="N21" r:id="rId63"/>
    <hyperlink xmlns:r="http://schemas.openxmlformats.org/officeDocument/2006/relationships" ref="O21" r:id="rId64"/>
    <hyperlink xmlns:r="http://schemas.openxmlformats.org/officeDocument/2006/relationships" ref="Q21" r:id="rId65"/>
    <hyperlink xmlns:r="http://schemas.openxmlformats.org/officeDocument/2006/relationships" ref="C22" r:id="rId66"/>
    <hyperlink xmlns:r="http://schemas.openxmlformats.org/officeDocument/2006/relationships" ref="N22" r:id="rId67"/>
    <hyperlink xmlns:r="http://schemas.openxmlformats.org/officeDocument/2006/relationships" ref="O22" r:id="rId68"/>
    <hyperlink xmlns:r="http://schemas.openxmlformats.org/officeDocument/2006/relationships" ref="C23" r:id="rId69"/>
    <hyperlink xmlns:r="http://schemas.openxmlformats.org/officeDocument/2006/relationships" ref="N23" r:id="rId70"/>
    <hyperlink xmlns:r="http://schemas.openxmlformats.org/officeDocument/2006/relationships" ref="O23" r:id="rId71"/>
    <hyperlink xmlns:r="http://schemas.openxmlformats.org/officeDocument/2006/relationships" ref="Q23" r:id="rId72"/>
    <hyperlink xmlns:r="http://schemas.openxmlformats.org/officeDocument/2006/relationships" ref="C24" r:id="rId73"/>
    <hyperlink xmlns:r="http://schemas.openxmlformats.org/officeDocument/2006/relationships" ref="N24" r:id="rId74"/>
    <hyperlink xmlns:r="http://schemas.openxmlformats.org/officeDocument/2006/relationships" ref="O24" r:id="rId75"/>
    <hyperlink xmlns:r="http://schemas.openxmlformats.org/officeDocument/2006/relationships" ref="Q24" r:id="rId76"/>
    <hyperlink xmlns:r="http://schemas.openxmlformats.org/officeDocument/2006/relationships" ref="C25" r:id="rId77"/>
    <hyperlink xmlns:r="http://schemas.openxmlformats.org/officeDocument/2006/relationships" ref="N25" r:id="rId78"/>
    <hyperlink xmlns:r="http://schemas.openxmlformats.org/officeDocument/2006/relationships" ref="O25" r:id="rId79"/>
    <hyperlink xmlns:r="http://schemas.openxmlformats.org/officeDocument/2006/relationships" ref="C26" r:id="rId80"/>
    <hyperlink xmlns:r="http://schemas.openxmlformats.org/officeDocument/2006/relationships" ref="N26" r:id="rId81"/>
    <hyperlink xmlns:r="http://schemas.openxmlformats.org/officeDocument/2006/relationships" ref="O26" r:id="rId82"/>
    <hyperlink xmlns:r="http://schemas.openxmlformats.org/officeDocument/2006/relationships" ref="Q26" r:id="rId83"/>
    <hyperlink xmlns:r="http://schemas.openxmlformats.org/officeDocument/2006/relationships" ref="C27" r:id="rId84"/>
    <hyperlink xmlns:r="http://schemas.openxmlformats.org/officeDocument/2006/relationships" ref="N27" r:id="rId85"/>
    <hyperlink xmlns:r="http://schemas.openxmlformats.org/officeDocument/2006/relationships" ref="O27" r:id="rId86"/>
    <hyperlink xmlns:r="http://schemas.openxmlformats.org/officeDocument/2006/relationships" ref="C28" r:id="rId87"/>
    <hyperlink xmlns:r="http://schemas.openxmlformats.org/officeDocument/2006/relationships" ref="N28" r:id="rId88"/>
    <hyperlink xmlns:r="http://schemas.openxmlformats.org/officeDocument/2006/relationships" ref="O28" r:id="rId89"/>
    <hyperlink xmlns:r="http://schemas.openxmlformats.org/officeDocument/2006/relationships" ref="C29" r:id="rId90"/>
    <hyperlink xmlns:r="http://schemas.openxmlformats.org/officeDocument/2006/relationships" ref="N29" r:id="rId91"/>
    <hyperlink xmlns:r="http://schemas.openxmlformats.org/officeDocument/2006/relationships" ref="O29" r:id="rId92"/>
    <hyperlink xmlns:r="http://schemas.openxmlformats.org/officeDocument/2006/relationships" ref="Q29" r:id="rId93"/>
    <hyperlink xmlns:r="http://schemas.openxmlformats.org/officeDocument/2006/relationships" ref="C30" r:id="rId94"/>
    <hyperlink xmlns:r="http://schemas.openxmlformats.org/officeDocument/2006/relationships" ref="N30" r:id="rId95"/>
    <hyperlink xmlns:r="http://schemas.openxmlformats.org/officeDocument/2006/relationships" ref="O30" r:id="rId96"/>
    <hyperlink xmlns:r="http://schemas.openxmlformats.org/officeDocument/2006/relationships" ref="Q30" r:id="rId97"/>
    <hyperlink xmlns:r="http://schemas.openxmlformats.org/officeDocument/2006/relationships" ref="C31" r:id="rId98"/>
    <hyperlink xmlns:r="http://schemas.openxmlformats.org/officeDocument/2006/relationships" ref="N31" r:id="rId99"/>
    <hyperlink xmlns:r="http://schemas.openxmlformats.org/officeDocument/2006/relationships" ref="O31" r:id="rId100"/>
    <hyperlink xmlns:r="http://schemas.openxmlformats.org/officeDocument/2006/relationships" ref="Q31" r:id="rId101"/>
    <hyperlink xmlns:r="http://schemas.openxmlformats.org/officeDocument/2006/relationships" ref="C32" r:id="rId102"/>
    <hyperlink xmlns:r="http://schemas.openxmlformats.org/officeDocument/2006/relationships" ref="N32" r:id="rId103"/>
    <hyperlink xmlns:r="http://schemas.openxmlformats.org/officeDocument/2006/relationships" ref="O32" r:id="rId104"/>
    <hyperlink xmlns:r="http://schemas.openxmlformats.org/officeDocument/2006/relationships" ref="Q32" r:id="rId105"/>
    <hyperlink xmlns:r="http://schemas.openxmlformats.org/officeDocument/2006/relationships" ref="C33" r:id="rId106"/>
    <hyperlink xmlns:r="http://schemas.openxmlformats.org/officeDocument/2006/relationships" ref="N33" r:id="rId107"/>
    <hyperlink xmlns:r="http://schemas.openxmlformats.org/officeDocument/2006/relationships" ref="O33" r:id="rId108"/>
    <hyperlink xmlns:r="http://schemas.openxmlformats.org/officeDocument/2006/relationships" ref="Q33" r:id="rId109"/>
    <hyperlink xmlns:r="http://schemas.openxmlformats.org/officeDocument/2006/relationships" ref="C34" r:id="rId110"/>
    <hyperlink xmlns:r="http://schemas.openxmlformats.org/officeDocument/2006/relationships" ref="N34" r:id="rId111"/>
    <hyperlink xmlns:r="http://schemas.openxmlformats.org/officeDocument/2006/relationships" ref="O34" r:id="rId112"/>
    <hyperlink xmlns:r="http://schemas.openxmlformats.org/officeDocument/2006/relationships" ref="Q34" r:id="rId113"/>
    <hyperlink xmlns:r="http://schemas.openxmlformats.org/officeDocument/2006/relationships" ref="C35" r:id="rId114"/>
    <hyperlink xmlns:r="http://schemas.openxmlformats.org/officeDocument/2006/relationships" ref="N35" r:id="rId115"/>
    <hyperlink xmlns:r="http://schemas.openxmlformats.org/officeDocument/2006/relationships" ref="O35" r:id="rId116"/>
    <hyperlink xmlns:r="http://schemas.openxmlformats.org/officeDocument/2006/relationships" ref="C36" r:id="rId117"/>
    <hyperlink xmlns:r="http://schemas.openxmlformats.org/officeDocument/2006/relationships" ref="N36" r:id="rId118"/>
    <hyperlink xmlns:r="http://schemas.openxmlformats.org/officeDocument/2006/relationships" ref="O36" r:id="rId119"/>
    <hyperlink xmlns:r="http://schemas.openxmlformats.org/officeDocument/2006/relationships" ref="Q36" r:id="rId120"/>
    <hyperlink xmlns:r="http://schemas.openxmlformats.org/officeDocument/2006/relationships" ref="C37" r:id="rId121"/>
    <hyperlink xmlns:r="http://schemas.openxmlformats.org/officeDocument/2006/relationships" ref="N37" r:id="rId122"/>
    <hyperlink xmlns:r="http://schemas.openxmlformats.org/officeDocument/2006/relationships" ref="O37" r:id="rId123"/>
    <hyperlink xmlns:r="http://schemas.openxmlformats.org/officeDocument/2006/relationships" ref="Q37" r:id="rId124"/>
    <hyperlink xmlns:r="http://schemas.openxmlformats.org/officeDocument/2006/relationships" ref="C38" r:id="rId125"/>
    <hyperlink xmlns:r="http://schemas.openxmlformats.org/officeDocument/2006/relationships" ref="N38" r:id="rId126"/>
    <hyperlink xmlns:r="http://schemas.openxmlformats.org/officeDocument/2006/relationships" ref="O38" r:id="rId127"/>
    <hyperlink xmlns:r="http://schemas.openxmlformats.org/officeDocument/2006/relationships" ref="C39" r:id="rId128"/>
    <hyperlink xmlns:r="http://schemas.openxmlformats.org/officeDocument/2006/relationships" ref="N39" r:id="rId129"/>
    <hyperlink xmlns:r="http://schemas.openxmlformats.org/officeDocument/2006/relationships" ref="O39" r:id="rId130"/>
    <hyperlink xmlns:r="http://schemas.openxmlformats.org/officeDocument/2006/relationships" ref="Q39" r:id="rId131"/>
    <hyperlink xmlns:r="http://schemas.openxmlformats.org/officeDocument/2006/relationships" ref="C40" r:id="rId132"/>
    <hyperlink xmlns:r="http://schemas.openxmlformats.org/officeDocument/2006/relationships" ref="N40" r:id="rId133"/>
    <hyperlink xmlns:r="http://schemas.openxmlformats.org/officeDocument/2006/relationships" ref="O40" r:id="rId134"/>
    <hyperlink xmlns:r="http://schemas.openxmlformats.org/officeDocument/2006/relationships" ref="C41" r:id="rId135"/>
    <hyperlink xmlns:r="http://schemas.openxmlformats.org/officeDocument/2006/relationships" ref="N41" r:id="rId136"/>
    <hyperlink xmlns:r="http://schemas.openxmlformats.org/officeDocument/2006/relationships" ref="O41" r:id="rId137"/>
    <hyperlink xmlns:r="http://schemas.openxmlformats.org/officeDocument/2006/relationships" ref="Q41" r:id="rId138"/>
    <hyperlink xmlns:r="http://schemas.openxmlformats.org/officeDocument/2006/relationships" ref="C42" r:id="rId139"/>
    <hyperlink xmlns:r="http://schemas.openxmlformats.org/officeDocument/2006/relationships" ref="N42" r:id="rId140"/>
    <hyperlink xmlns:r="http://schemas.openxmlformats.org/officeDocument/2006/relationships" ref="O42" r:id="rId141"/>
    <hyperlink xmlns:r="http://schemas.openxmlformats.org/officeDocument/2006/relationships" ref="C43" r:id="rId142"/>
    <hyperlink xmlns:r="http://schemas.openxmlformats.org/officeDocument/2006/relationships" ref="N43" r:id="rId143"/>
    <hyperlink xmlns:r="http://schemas.openxmlformats.org/officeDocument/2006/relationships" ref="O43" r:id="rId144"/>
    <hyperlink xmlns:r="http://schemas.openxmlformats.org/officeDocument/2006/relationships" ref="Q43" r:id="rId145"/>
    <hyperlink xmlns:r="http://schemas.openxmlformats.org/officeDocument/2006/relationships" ref="C44" r:id="rId146"/>
    <hyperlink xmlns:r="http://schemas.openxmlformats.org/officeDocument/2006/relationships" ref="N44" r:id="rId147"/>
    <hyperlink xmlns:r="http://schemas.openxmlformats.org/officeDocument/2006/relationships" ref="O44" r:id="rId148"/>
    <hyperlink xmlns:r="http://schemas.openxmlformats.org/officeDocument/2006/relationships" ref="Q44" r:id="rId149"/>
    <hyperlink xmlns:r="http://schemas.openxmlformats.org/officeDocument/2006/relationships" ref="C45" r:id="rId150"/>
    <hyperlink xmlns:r="http://schemas.openxmlformats.org/officeDocument/2006/relationships" ref="N45" r:id="rId151"/>
    <hyperlink xmlns:r="http://schemas.openxmlformats.org/officeDocument/2006/relationships" ref="O45" r:id="rId152"/>
    <hyperlink xmlns:r="http://schemas.openxmlformats.org/officeDocument/2006/relationships" ref="Q45" r:id="rId153"/>
    <hyperlink xmlns:r="http://schemas.openxmlformats.org/officeDocument/2006/relationships" ref="C46" r:id="rId154"/>
    <hyperlink xmlns:r="http://schemas.openxmlformats.org/officeDocument/2006/relationships" ref="N46" r:id="rId155"/>
    <hyperlink xmlns:r="http://schemas.openxmlformats.org/officeDocument/2006/relationships" ref="O46" r:id="rId156"/>
    <hyperlink xmlns:r="http://schemas.openxmlformats.org/officeDocument/2006/relationships" ref="Q46" r:id="rId157"/>
    <hyperlink xmlns:r="http://schemas.openxmlformats.org/officeDocument/2006/relationships" ref="C47" r:id="rId158"/>
    <hyperlink xmlns:r="http://schemas.openxmlformats.org/officeDocument/2006/relationships" ref="N47" r:id="rId159"/>
    <hyperlink xmlns:r="http://schemas.openxmlformats.org/officeDocument/2006/relationships" ref="O47" r:id="rId160"/>
    <hyperlink xmlns:r="http://schemas.openxmlformats.org/officeDocument/2006/relationships" ref="Q47" r:id="rId161"/>
    <hyperlink xmlns:r="http://schemas.openxmlformats.org/officeDocument/2006/relationships" ref="C48" r:id="rId162"/>
    <hyperlink xmlns:r="http://schemas.openxmlformats.org/officeDocument/2006/relationships" ref="N48" r:id="rId163"/>
    <hyperlink xmlns:r="http://schemas.openxmlformats.org/officeDocument/2006/relationships" ref="O48" r:id="rId164"/>
    <hyperlink xmlns:r="http://schemas.openxmlformats.org/officeDocument/2006/relationships" ref="Q48" r:id="rId165"/>
    <hyperlink xmlns:r="http://schemas.openxmlformats.org/officeDocument/2006/relationships" ref="C49" r:id="rId166"/>
    <hyperlink xmlns:r="http://schemas.openxmlformats.org/officeDocument/2006/relationships" ref="N49" r:id="rId167"/>
    <hyperlink xmlns:r="http://schemas.openxmlformats.org/officeDocument/2006/relationships" ref="O49" r:id="rId168"/>
    <hyperlink xmlns:r="http://schemas.openxmlformats.org/officeDocument/2006/relationships" ref="Q49" r:id="rId169"/>
    <hyperlink xmlns:r="http://schemas.openxmlformats.org/officeDocument/2006/relationships" ref="C50" r:id="rId170"/>
    <hyperlink xmlns:r="http://schemas.openxmlformats.org/officeDocument/2006/relationships" ref="N50" r:id="rId171"/>
    <hyperlink xmlns:r="http://schemas.openxmlformats.org/officeDocument/2006/relationships" ref="O50" r:id="rId172"/>
    <hyperlink xmlns:r="http://schemas.openxmlformats.org/officeDocument/2006/relationships" ref="Q50" r:id="rId173"/>
    <hyperlink xmlns:r="http://schemas.openxmlformats.org/officeDocument/2006/relationships" ref="C51" r:id="rId174"/>
    <hyperlink xmlns:r="http://schemas.openxmlformats.org/officeDocument/2006/relationships" ref="N51" r:id="rId175"/>
    <hyperlink xmlns:r="http://schemas.openxmlformats.org/officeDocument/2006/relationships" ref="O51" r:id="rId176"/>
    <hyperlink xmlns:r="http://schemas.openxmlformats.org/officeDocument/2006/relationships" ref="Q51" r:id="rId177"/>
    <hyperlink xmlns:r="http://schemas.openxmlformats.org/officeDocument/2006/relationships" ref="C52" r:id="rId178"/>
    <hyperlink xmlns:r="http://schemas.openxmlformats.org/officeDocument/2006/relationships" ref="N52" r:id="rId179"/>
    <hyperlink xmlns:r="http://schemas.openxmlformats.org/officeDocument/2006/relationships" ref="O52" r:id="rId180"/>
    <hyperlink xmlns:r="http://schemas.openxmlformats.org/officeDocument/2006/relationships" ref="C53" r:id="rId181"/>
    <hyperlink xmlns:r="http://schemas.openxmlformats.org/officeDocument/2006/relationships" ref="N53" r:id="rId182"/>
    <hyperlink xmlns:r="http://schemas.openxmlformats.org/officeDocument/2006/relationships" ref="O53" r:id="rId183"/>
    <hyperlink xmlns:r="http://schemas.openxmlformats.org/officeDocument/2006/relationships" ref="Q53" r:id="rId184"/>
    <hyperlink xmlns:r="http://schemas.openxmlformats.org/officeDocument/2006/relationships" ref="C54" r:id="rId185"/>
    <hyperlink xmlns:r="http://schemas.openxmlformats.org/officeDocument/2006/relationships" ref="N54" r:id="rId186"/>
    <hyperlink xmlns:r="http://schemas.openxmlformats.org/officeDocument/2006/relationships" ref="O54" r:id="rId187"/>
    <hyperlink xmlns:r="http://schemas.openxmlformats.org/officeDocument/2006/relationships" ref="C55" r:id="rId188"/>
    <hyperlink xmlns:r="http://schemas.openxmlformats.org/officeDocument/2006/relationships" ref="N55" r:id="rId189"/>
    <hyperlink xmlns:r="http://schemas.openxmlformats.org/officeDocument/2006/relationships" ref="O55" r:id="rId190"/>
    <hyperlink xmlns:r="http://schemas.openxmlformats.org/officeDocument/2006/relationships" ref="Q55" r:id="rId191"/>
    <hyperlink xmlns:r="http://schemas.openxmlformats.org/officeDocument/2006/relationships" ref="C56" r:id="rId192"/>
    <hyperlink xmlns:r="http://schemas.openxmlformats.org/officeDocument/2006/relationships" ref="N56" r:id="rId193"/>
    <hyperlink xmlns:r="http://schemas.openxmlformats.org/officeDocument/2006/relationships" ref="O56" r:id="rId194"/>
    <hyperlink xmlns:r="http://schemas.openxmlformats.org/officeDocument/2006/relationships" ref="Q56" r:id="rId195"/>
    <hyperlink xmlns:r="http://schemas.openxmlformats.org/officeDocument/2006/relationships" ref="C57" r:id="rId196"/>
    <hyperlink xmlns:r="http://schemas.openxmlformats.org/officeDocument/2006/relationships" ref="N57" r:id="rId197"/>
    <hyperlink xmlns:r="http://schemas.openxmlformats.org/officeDocument/2006/relationships" ref="O57" r:id="rId198"/>
    <hyperlink xmlns:r="http://schemas.openxmlformats.org/officeDocument/2006/relationships" ref="C58" r:id="rId199"/>
    <hyperlink xmlns:r="http://schemas.openxmlformats.org/officeDocument/2006/relationships" ref="N58" r:id="rId200"/>
    <hyperlink xmlns:r="http://schemas.openxmlformats.org/officeDocument/2006/relationships" ref="O58" r:id="rId201"/>
    <hyperlink xmlns:r="http://schemas.openxmlformats.org/officeDocument/2006/relationships" ref="C59" r:id="rId202"/>
    <hyperlink xmlns:r="http://schemas.openxmlformats.org/officeDocument/2006/relationships" ref="N59" r:id="rId203"/>
    <hyperlink xmlns:r="http://schemas.openxmlformats.org/officeDocument/2006/relationships" ref="O59" r:id="rId204"/>
    <hyperlink xmlns:r="http://schemas.openxmlformats.org/officeDocument/2006/relationships" ref="Q59" r:id="rId205"/>
    <hyperlink xmlns:r="http://schemas.openxmlformats.org/officeDocument/2006/relationships" ref="C60" r:id="rId206"/>
    <hyperlink xmlns:r="http://schemas.openxmlformats.org/officeDocument/2006/relationships" ref="N60" r:id="rId207"/>
    <hyperlink xmlns:r="http://schemas.openxmlformats.org/officeDocument/2006/relationships" ref="O60" r:id="rId208"/>
    <hyperlink xmlns:r="http://schemas.openxmlformats.org/officeDocument/2006/relationships" ref="Q60" r:id="rId209"/>
    <hyperlink xmlns:r="http://schemas.openxmlformats.org/officeDocument/2006/relationships" ref="C61" r:id="rId210"/>
    <hyperlink xmlns:r="http://schemas.openxmlformats.org/officeDocument/2006/relationships" ref="N61" r:id="rId211"/>
    <hyperlink xmlns:r="http://schemas.openxmlformats.org/officeDocument/2006/relationships" ref="O61" r:id="rId212"/>
    <hyperlink xmlns:r="http://schemas.openxmlformats.org/officeDocument/2006/relationships" ref="C62" r:id="rId213"/>
    <hyperlink xmlns:r="http://schemas.openxmlformats.org/officeDocument/2006/relationships" ref="N62" r:id="rId214"/>
    <hyperlink xmlns:r="http://schemas.openxmlformats.org/officeDocument/2006/relationships" ref="O62" r:id="rId215"/>
    <hyperlink xmlns:r="http://schemas.openxmlformats.org/officeDocument/2006/relationships" ref="C63" r:id="rId216"/>
    <hyperlink xmlns:r="http://schemas.openxmlformats.org/officeDocument/2006/relationships" ref="N63" r:id="rId217"/>
    <hyperlink xmlns:r="http://schemas.openxmlformats.org/officeDocument/2006/relationships" ref="O63" r:id="rId218"/>
    <hyperlink xmlns:r="http://schemas.openxmlformats.org/officeDocument/2006/relationships" ref="Q63" r:id="rId219"/>
    <hyperlink xmlns:r="http://schemas.openxmlformats.org/officeDocument/2006/relationships" ref="C64" r:id="rId220"/>
    <hyperlink xmlns:r="http://schemas.openxmlformats.org/officeDocument/2006/relationships" ref="N64" r:id="rId221"/>
    <hyperlink xmlns:r="http://schemas.openxmlformats.org/officeDocument/2006/relationships" ref="O64" r:id="rId222"/>
    <hyperlink xmlns:r="http://schemas.openxmlformats.org/officeDocument/2006/relationships" ref="C65" r:id="rId223"/>
    <hyperlink xmlns:r="http://schemas.openxmlformats.org/officeDocument/2006/relationships" ref="N65" r:id="rId224"/>
    <hyperlink xmlns:r="http://schemas.openxmlformats.org/officeDocument/2006/relationships" ref="O65" r:id="rId225"/>
    <hyperlink xmlns:r="http://schemas.openxmlformats.org/officeDocument/2006/relationships" ref="Q65" r:id="rId226"/>
    <hyperlink xmlns:r="http://schemas.openxmlformats.org/officeDocument/2006/relationships" ref="C66" r:id="rId227"/>
    <hyperlink xmlns:r="http://schemas.openxmlformats.org/officeDocument/2006/relationships" ref="N66" r:id="rId228"/>
    <hyperlink xmlns:r="http://schemas.openxmlformats.org/officeDocument/2006/relationships" ref="O66" r:id="rId229"/>
    <hyperlink xmlns:r="http://schemas.openxmlformats.org/officeDocument/2006/relationships" ref="Q66" r:id="rId230"/>
    <hyperlink xmlns:r="http://schemas.openxmlformats.org/officeDocument/2006/relationships" ref="C67" r:id="rId231"/>
    <hyperlink xmlns:r="http://schemas.openxmlformats.org/officeDocument/2006/relationships" ref="N67" r:id="rId232"/>
    <hyperlink xmlns:r="http://schemas.openxmlformats.org/officeDocument/2006/relationships" ref="O67" r:id="rId233"/>
    <hyperlink xmlns:r="http://schemas.openxmlformats.org/officeDocument/2006/relationships" ref="Q67" r:id="rId234"/>
    <hyperlink xmlns:r="http://schemas.openxmlformats.org/officeDocument/2006/relationships" ref="C68" r:id="rId235"/>
    <hyperlink xmlns:r="http://schemas.openxmlformats.org/officeDocument/2006/relationships" ref="N68" r:id="rId236"/>
    <hyperlink xmlns:r="http://schemas.openxmlformats.org/officeDocument/2006/relationships" ref="O68" r:id="rId237"/>
    <hyperlink xmlns:r="http://schemas.openxmlformats.org/officeDocument/2006/relationships" ref="Q68" r:id="rId238"/>
    <hyperlink xmlns:r="http://schemas.openxmlformats.org/officeDocument/2006/relationships" ref="C69" r:id="rId239"/>
    <hyperlink xmlns:r="http://schemas.openxmlformats.org/officeDocument/2006/relationships" ref="N69" r:id="rId240"/>
    <hyperlink xmlns:r="http://schemas.openxmlformats.org/officeDocument/2006/relationships" ref="O69" r:id="rId241"/>
    <hyperlink xmlns:r="http://schemas.openxmlformats.org/officeDocument/2006/relationships" ref="Q69" r:id="rId242"/>
    <hyperlink xmlns:r="http://schemas.openxmlformats.org/officeDocument/2006/relationships" ref="C70" r:id="rId243"/>
    <hyperlink xmlns:r="http://schemas.openxmlformats.org/officeDocument/2006/relationships" ref="N70" r:id="rId244"/>
    <hyperlink xmlns:r="http://schemas.openxmlformats.org/officeDocument/2006/relationships" ref="O70" r:id="rId245"/>
    <hyperlink xmlns:r="http://schemas.openxmlformats.org/officeDocument/2006/relationships" ref="Q70" r:id="rId246"/>
    <hyperlink xmlns:r="http://schemas.openxmlformats.org/officeDocument/2006/relationships" ref="C71" r:id="rId247"/>
    <hyperlink xmlns:r="http://schemas.openxmlformats.org/officeDocument/2006/relationships" ref="N71" r:id="rId248"/>
    <hyperlink xmlns:r="http://schemas.openxmlformats.org/officeDocument/2006/relationships" ref="O71" r:id="rId249"/>
    <hyperlink xmlns:r="http://schemas.openxmlformats.org/officeDocument/2006/relationships" ref="Q71" r:id="rId250"/>
    <hyperlink xmlns:r="http://schemas.openxmlformats.org/officeDocument/2006/relationships" ref="C72" r:id="rId251"/>
    <hyperlink xmlns:r="http://schemas.openxmlformats.org/officeDocument/2006/relationships" ref="N72" r:id="rId252"/>
    <hyperlink xmlns:r="http://schemas.openxmlformats.org/officeDocument/2006/relationships" ref="O72" r:id="rId253"/>
    <hyperlink xmlns:r="http://schemas.openxmlformats.org/officeDocument/2006/relationships" ref="C73" r:id="rId254"/>
    <hyperlink xmlns:r="http://schemas.openxmlformats.org/officeDocument/2006/relationships" ref="N73" r:id="rId255"/>
    <hyperlink xmlns:r="http://schemas.openxmlformats.org/officeDocument/2006/relationships" ref="O73" r:id="rId256"/>
    <hyperlink xmlns:r="http://schemas.openxmlformats.org/officeDocument/2006/relationships" ref="C74" r:id="rId257"/>
    <hyperlink xmlns:r="http://schemas.openxmlformats.org/officeDocument/2006/relationships" ref="N74" r:id="rId258"/>
    <hyperlink xmlns:r="http://schemas.openxmlformats.org/officeDocument/2006/relationships" ref="O74" r:id="rId259"/>
    <hyperlink xmlns:r="http://schemas.openxmlformats.org/officeDocument/2006/relationships" ref="Q74" r:id="rId260"/>
    <hyperlink xmlns:r="http://schemas.openxmlformats.org/officeDocument/2006/relationships" ref="C75" r:id="rId261"/>
    <hyperlink xmlns:r="http://schemas.openxmlformats.org/officeDocument/2006/relationships" ref="N75" r:id="rId262"/>
    <hyperlink xmlns:r="http://schemas.openxmlformats.org/officeDocument/2006/relationships" ref="O75" r:id="rId263"/>
    <hyperlink xmlns:r="http://schemas.openxmlformats.org/officeDocument/2006/relationships" ref="Q75" r:id="rId264"/>
    <hyperlink xmlns:r="http://schemas.openxmlformats.org/officeDocument/2006/relationships" ref="C76" r:id="rId265"/>
    <hyperlink xmlns:r="http://schemas.openxmlformats.org/officeDocument/2006/relationships" ref="N76" r:id="rId266"/>
    <hyperlink xmlns:r="http://schemas.openxmlformats.org/officeDocument/2006/relationships" ref="O76" r:id="rId267"/>
    <hyperlink xmlns:r="http://schemas.openxmlformats.org/officeDocument/2006/relationships" ref="Q76" r:id="rId268"/>
    <hyperlink xmlns:r="http://schemas.openxmlformats.org/officeDocument/2006/relationships" ref="C77" r:id="rId269"/>
    <hyperlink xmlns:r="http://schemas.openxmlformats.org/officeDocument/2006/relationships" ref="N77" r:id="rId270"/>
    <hyperlink xmlns:r="http://schemas.openxmlformats.org/officeDocument/2006/relationships" ref="O77" r:id="rId271"/>
    <hyperlink xmlns:r="http://schemas.openxmlformats.org/officeDocument/2006/relationships" ref="Q77" r:id="rId272"/>
    <hyperlink xmlns:r="http://schemas.openxmlformats.org/officeDocument/2006/relationships" ref="C78" r:id="rId273"/>
    <hyperlink xmlns:r="http://schemas.openxmlformats.org/officeDocument/2006/relationships" ref="N78" r:id="rId274"/>
    <hyperlink xmlns:r="http://schemas.openxmlformats.org/officeDocument/2006/relationships" ref="O78" r:id="rId275"/>
    <hyperlink xmlns:r="http://schemas.openxmlformats.org/officeDocument/2006/relationships" ref="Q78" r:id="rId276"/>
    <hyperlink xmlns:r="http://schemas.openxmlformats.org/officeDocument/2006/relationships" ref="C79" r:id="rId277"/>
    <hyperlink xmlns:r="http://schemas.openxmlformats.org/officeDocument/2006/relationships" ref="N79" r:id="rId278"/>
    <hyperlink xmlns:r="http://schemas.openxmlformats.org/officeDocument/2006/relationships" ref="O79" r:id="rId279"/>
    <hyperlink xmlns:r="http://schemas.openxmlformats.org/officeDocument/2006/relationships" ref="Q79" r:id="rId280"/>
    <hyperlink xmlns:r="http://schemas.openxmlformats.org/officeDocument/2006/relationships" ref="C80" r:id="rId281"/>
    <hyperlink xmlns:r="http://schemas.openxmlformats.org/officeDocument/2006/relationships" ref="N80" r:id="rId282"/>
    <hyperlink xmlns:r="http://schemas.openxmlformats.org/officeDocument/2006/relationships" ref="O80" r:id="rId283"/>
    <hyperlink xmlns:r="http://schemas.openxmlformats.org/officeDocument/2006/relationships" ref="C81" r:id="rId284"/>
    <hyperlink xmlns:r="http://schemas.openxmlformats.org/officeDocument/2006/relationships" ref="N81" r:id="rId285"/>
    <hyperlink xmlns:r="http://schemas.openxmlformats.org/officeDocument/2006/relationships" ref="O81" r:id="rId286"/>
    <hyperlink xmlns:r="http://schemas.openxmlformats.org/officeDocument/2006/relationships" ref="Q81" r:id="rId287"/>
    <hyperlink xmlns:r="http://schemas.openxmlformats.org/officeDocument/2006/relationships" ref="C82" r:id="rId288"/>
    <hyperlink xmlns:r="http://schemas.openxmlformats.org/officeDocument/2006/relationships" ref="N82" r:id="rId289"/>
    <hyperlink xmlns:r="http://schemas.openxmlformats.org/officeDocument/2006/relationships" ref="O82" r:id="rId290"/>
    <hyperlink xmlns:r="http://schemas.openxmlformats.org/officeDocument/2006/relationships" ref="C83" r:id="rId291"/>
    <hyperlink xmlns:r="http://schemas.openxmlformats.org/officeDocument/2006/relationships" ref="N83" r:id="rId292"/>
    <hyperlink xmlns:r="http://schemas.openxmlformats.org/officeDocument/2006/relationships" ref="O83" r:id="rId293"/>
    <hyperlink xmlns:r="http://schemas.openxmlformats.org/officeDocument/2006/relationships" ref="Q83" r:id="rId294"/>
    <hyperlink xmlns:r="http://schemas.openxmlformats.org/officeDocument/2006/relationships" ref="C84" r:id="rId295"/>
    <hyperlink xmlns:r="http://schemas.openxmlformats.org/officeDocument/2006/relationships" ref="N84" r:id="rId296"/>
    <hyperlink xmlns:r="http://schemas.openxmlformats.org/officeDocument/2006/relationships" ref="O84" r:id="rId297"/>
    <hyperlink xmlns:r="http://schemas.openxmlformats.org/officeDocument/2006/relationships" ref="Q84" r:id="rId298"/>
    <hyperlink xmlns:r="http://schemas.openxmlformats.org/officeDocument/2006/relationships" ref="C85" r:id="rId299"/>
    <hyperlink xmlns:r="http://schemas.openxmlformats.org/officeDocument/2006/relationships" ref="N85" r:id="rId300"/>
    <hyperlink xmlns:r="http://schemas.openxmlformats.org/officeDocument/2006/relationships" ref="O85" r:id="rId301"/>
    <hyperlink xmlns:r="http://schemas.openxmlformats.org/officeDocument/2006/relationships" ref="Q85" r:id="rId302"/>
    <hyperlink xmlns:r="http://schemas.openxmlformats.org/officeDocument/2006/relationships" ref="C86" r:id="rId303"/>
    <hyperlink xmlns:r="http://schemas.openxmlformats.org/officeDocument/2006/relationships" ref="N86" r:id="rId304"/>
    <hyperlink xmlns:r="http://schemas.openxmlformats.org/officeDocument/2006/relationships" ref="O86" r:id="rId305"/>
    <hyperlink xmlns:r="http://schemas.openxmlformats.org/officeDocument/2006/relationships" ref="Q86" r:id="rId306"/>
    <hyperlink xmlns:r="http://schemas.openxmlformats.org/officeDocument/2006/relationships" ref="C87" r:id="rId307"/>
    <hyperlink xmlns:r="http://schemas.openxmlformats.org/officeDocument/2006/relationships" ref="N87" r:id="rId308"/>
    <hyperlink xmlns:r="http://schemas.openxmlformats.org/officeDocument/2006/relationships" ref="O87" r:id="rId309"/>
    <hyperlink xmlns:r="http://schemas.openxmlformats.org/officeDocument/2006/relationships" ref="C88" r:id="rId310"/>
    <hyperlink xmlns:r="http://schemas.openxmlformats.org/officeDocument/2006/relationships" ref="N88" r:id="rId311"/>
    <hyperlink xmlns:r="http://schemas.openxmlformats.org/officeDocument/2006/relationships" ref="O88" r:id="rId312"/>
    <hyperlink xmlns:r="http://schemas.openxmlformats.org/officeDocument/2006/relationships" ref="Q88" r:id="rId313"/>
    <hyperlink xmlns:r="http://schemas.openxmlformats.org/officeDocument/2006/relationships" ref="C89" r:id="rId314"/>
    <hyperlink xmlns:r="http://schemas.openxmlformats.org/officeDocument/2006/relationships" ref="N89" r:id="rId315"/>
    <hyperlink xmlns:r="http://schemas.openxmlformats.org/officeDocument/2006/relationships" ref="O89" r:id="rId316"/>
    <hyperlink xmlns:r="http://schemas.openxmlformats.org/officeDocument/2006/relationships" ref="Q89" r:id="rId317"/>
    <hyperlink xmlns:r="http://schemas.openxmlformats.org/officeDocument/2006/relationships" ref="C90" r:id="rId318"/>
    <hyperlink xmlns:r="http://schemas.openxmlformats.org/officeDocument/2006/relationships" ref="N90" r:id="rId319"/>
    <hyperlink xmlns:r="http://schemas.openxmlformats.org/officeDocument/2006/relationships" ref="O90" r:id="rId320"/>
    <hyperlink xmlns:r="http://schemas.openxmlformats.org/officeDocument/2006/relationships" ref="N91" r:id="rId321"/>
    <hyperlink xmlns:r="http://schemas.openxmlformats.org/officeDocument/2006/relationships" ref="O91" r:id="rId322"/>
    <hyperlink xmlns:r="http://schemas.openxmlformats.org/officeDocument/2006/relationships" ref="C92" r:id="rId323"/>
    <hyperlink xmlns:r="http://schemas.openxmlformats.org/officeDocument/2006/relationships" ref="N92" r:id="rId324"/>
    <hyperlink xmlns:r="http://schemas.openxmlformats.org/officeDocument/2006/relationships" ref="O92" r:id="rId325"/>
    <hyperlink xmlns:r="http://schemas.openxmlformats.org/officeDocument/2006/relationships" ref="N93" r:id="rId326"/>
    <hyperlink xmlns:r="http://schemas.openxmlformats.org/officeDocument/2006/relationships" ref="O93" r:id="rId327"/>
    <hyperlink xmlns:r="http://schemas.openxmlformats.org/officeDocument/2006/relationships" ref="C94" r:id="rId328"/>
    <hyperlink xmlns:r="http://schemas.openxmlformats.org/officeDocument/2006/relationships" ref="N94" r:id="rId329"/>
    <hyperlink xmlns:r="http://schemas.openxmlformats.org/officeDocument/2006/relationships" ref="O94" r:id="rId330"/>
    <hyperlink xmlns:r="http://schemas.openxmlformats.org/officeDocument/2006/relationships" ref="Q94" r:id="rId331"/>
    <hyperlink xmlns:r="http://schemas.openxmlformats.org/officeDocument/2006/relationships" ref="C95" r:id="rId332"/>
    <hyperlink xmlns:r="http://schemas.openxmlformats.org/officeDocument/2006/relationships" ref="N95" r:id="rId333"/>
    <hyperlink xmlns:r="http://schemas.openxmlformats.org/officeDocument/2006/relationships" ref="O95" r:id="rId334"/>
    <hyperlink xmlns:r="http://schemas.openxmlformats.org/officeDocument/2006/relationships" ref="N96" r:id="rId335"/>
    <hyperlink xmlns:r="http://schemas.openxmlformats.org/officeDocument/2006/relationships" ref="O96" r:id="rId336"/>
    <hyperlink xmlns:r="http://schemas.openxmlformats.org/officeDocument/2006/relationships" ref="C97" r:id="rId337"/>
    <hyperlink xmlns:r="http://schemas.openxmlformats.org/officeDocument/2006/relationships" ref="N97" r:id="rId338"/>
    <hyperlink xmlns:r="http://schemas.openxmlformats.org/officeDocument/2006/relationships" ref="O97" r:id="rId339"/>
    <hyperlink xmlns:r="http://schemas.openxmlformats.org/officeDocument/2006/relationships" ref="Q97" r:id="rId340"/>
    <hyperlink xmlns:r="http://schemas.openxmlformats.org/officeDocument/2006/relationships" ref="C98" r:id="rId341"/>
    <hyperlink xmlns:r="http://schemas.openxmlformats.org/officeDocument/2006/relationships" ref="O98" r:id="rId342"/>
    <hyperlink xmlns:r="http://schemas.openxmlformats.org/officeDocument/2006/relationships" ref="Q98" r:id="rId343"/>
    <hyperlink xmlns:r="http://schemas.openxmlformats.org/officeDocument/2006/relationships" ref="C99" r:id="rId344"/>
    <hyperlink xmlns:r="http://schemas.openxmlformats.org/officeDocument/2006/relationships" ref="O99" r:id="rId345"/>
    <hyperlink xmlns:r="http://schemas.openxmlformats.org/officeDocument/2006/relationships" ref="Q99" r:id="rId34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10"/>
  <sheetViews>
    <sheetView workbookViewId="0">
      <selection activeCell="A1" sqref="A1"/>
    </sheetView>
  </sheetViews>
  <sheetFormatPr baseColWidth="8" defaultRowHeight="15"/>
  <cols>
    <col width="34" customWidth="1" min="1" max="1"/>
    <col width="120" customWidth="1" min="2" max="2"/>
    <col width="40" customWidth="1" min="3" max="3"/>
  </cols>
  <sheetData>
    <row r="1">
      <c r="A1" s="4">
        <f>company_name&amp;": cluster 1 (Flatiron, NoMad and Union Square) method, definitions and sources"</f>
        <v/>
      </c>
    </row>
    <row r="2">
      <c r="A2" s="5" t="inlineStr">
        <is>
          <t>Config (rename here once; titles on Route and Method read it)</t>
        </is>
      </c>
    </row>
    <row r="3">
      <c r="A3" t="inlineStr">
        <is>
          <t>company_name</t>
        </is>
      </c>
      <c r="B3" s="6" t="inlineStr">
        <is>
          <t>Desk Drop</t>
        </is>
      </c>
    </row>
    <row r="4">
      <c r="A4" t="inlineStr">
        <is>
          <t>tagline</t>
        </is>
      </c>
      <c r="B4" s="6" t="inlineStr">
        <is>
          <t>Emerging brands. Delivered to your workday.</t>
        </is>
      </c>
    </row>
    <row r="6">
      <c r="A6" s="5" t="inlineStr">
        <is>
          <t>Live counts (formulas)</t>
        </is>
      </c>
    </row>
    <row r="7">
      <c r="A7" s="11" t="inlineStr">
        <is>
          <t>candidate companies</t>
        </is>
      </c>
      <c r="B7" s="12">
        <f>COUNTIF(Companies!Y:Y,"candidate")</f>
        <v/>
      </c>
    </row>
    <row r="8">
      <c r="A8" s="11" t="inlineStr">
        <is>
          <t xml:space="preserve">  of which high confidence</t>
        </is>
      </c>
      <c r="B8" s="12">
        <f>COUNTIFS(Companies!Y:Y,"candidate",Companies!R:R,"high")</f>
        <v/>
      </c>
    </row>
    <row r="9">
      <c r="A9" s="11" t="inlineStr">
        <is>
          <t xml:space="preserve">  of which medium</t>
        </is>
      </c>
      <c r="B9" s="12">
        <f>COUNTIFS(Companies!Y:Y,"candidate",Companies!R:R,"medium")</f>
        <v/>
      </c>
    </row>
    <row r="10">
      <c r="A10" s="11" t="inlineStr">
        <is>
          <t xml:space="preserve">  of which low</t>
        </is>
      </c>
      <c r="B10" s="12">
        <f>COUNTIFS(Companies!Y:Y,"candidate",Companies!R:R,"low")</f>
        <v/>
      </c>
    </row>
    <row r="11">
      <c r="A11" s="11" t="inlineStr">
        <is>
          <t xml:space="preserve">  signed, not yet occupied</t>
        </is>
      </c>
      <c r="B11" s="12">
        <f>COUNTIFS(Companies!Y:Y,"candidate",Companies!Z:Z,"signed-not-occupied")</f>
        <v/>
      </c>
    </row>
    <row r="12">
      <c r="A12" s="11" t="inlineStr">
        <is>
          <t>coworking members (excluded)</t>
        </is>
      </c>
      <c r="B12" s="12">
        <f>COUNTIF(Companies!Y:Y,"excluded-coworking")</f>
        <v/>
      </c>
    </row>
    <row r="13">
      <c r="A13" s="11" t="inlineStr">
        <is>
          <t>near-miss rows</t>
        </is>
      </c>
      <c r="B13" s="12">
        <f>COUNTA('Near-miss'!A:A)-1</f>
        <v/>
      </c>
    </row>
    <row r="14">
      <c r="A14" s="11" t="inlineStr">
        <is>
          <t>buildings</t>
        </is>
      </c>
      <c r="B14" s="12">
        <f>COUNTA(Buildings!A:A)-1</f>
        <v/>
      </c>
    </row>
    <row r="15">
      <c r="A15" s="11" t="inlineStr">
        <is>
          <t>coworking sites</t>
        </is>
      </c>
      <c r="B15" s="12">
        <f>COUNTA(Coworking!A:A)-1</f>
        <v/>
      </c>
    </row>
    <row r="16">
      <c r="A16" s="11" t="inlineStr">
        <is>
          <t>stores</t>
        </is>
      </c>
      <c r="B16" s="12">
        <f>COUNTA(Retailers!A:A)-1</f>
        <v/>
      </c>
    </row>
    <row r="17">
      <c r="A17" s="11" t="inlineStr">
        <is>
          <t>verified on foot so far</t>
        </is>
      </c>
      <c r="B17" s="12">
        <f>COUNTIF(Buildings!K:K,"Y")</f>
        <v/>
      </c>
    </row>
    <row r="19">
      <c r="A19" s="5" t="inlineStr">
        <is>
          <t>What this is</t>
        </is>
      </c>
    </row>
    <row r="20">
      <c r="B20" s="13" t="inlineStr">
        <is>
          <t>Desk research baseline for cluster 1, as of 2026-10-24. Nothing here is verified on foot: verified_on_foot is blank everywhere and no field implies founder action. Company names appear only in the private files; the public map shows the boundary and stores only.</t>
        </is>
      </c>
    </row>
    <row r="21">
      <c r="B21" s="13" t="inlineStr">
        <is>
          <t>Counts: 276 sourced company rows from four research slices (14th to 30th St, Sixth Ave to Park Ave S, plus margins); 172 are candidates inside the boundary in the 40-500 band or with an unknown band and a stated reason. 82 buildings, 32 coworking sites (24 inside), 30 stores (11 inside, the rest within 7 blocks).</t>
        </is>
      </c>
    </row>
    <row r="23">
      <c r="A23" s="5" t="inlineStr">
        <is>
          <t>Boundary</t>
        </is>
      </c>
    </row>
    <row r="24">
      <c r="A24" s="13" t="inlineStr">
        <is>
          <t>Rule</t>
        </is>
      </c>
      <c r="B24" s="13" t="inlineStr">
        <is>
          <t>14th St to 30th St, Sixth Ave to Park Ave S, with both frontages of every edge street and avenue inside (a building facing the line from the far side counts). Plus the Union Square frame: from University Place to Third Ave, everything between the 13th St and 15th St centrelines. File: boundary.geojson (WGS84 polygon).</t>
        </is>
      </c>
    </row>
    <row r="25">
      <c r="A25" s="13" t="inlineStr">
        <is>
          <t>Size</t>
        </is>
      </c>
      <c r="B25" s="13" t="inlineStr">
        <is>
          <t>1.044 km2; 1389 m north to south and 738 m across the main body. Corner to corner is 2372 m on the grid, about 37 minutes at hand-truck pace before signal waits.</t>
        </is>
      </c>
    </row>
    <row r="26">
      <c r="A26" s="13" t="inlineStr">
        <is>
          <t>Why: where sourced candidates are</t>
        </is>
      </c>
      <c r="B26" s="13" t="inlineStr">
        <is>
          <t>270 of 276 sourced company rows fall inside; the other 6 are 0.1 to 1.7 blocks outside and go to Near-miss. Candidates by sub-area: 13th-18th St 39; 18th-23rd St 56; 23rd-26th St 28; 26th-30th St 49. The densest single buildings are 853 Broadway, 215 Park Ave S, 11 E 26th St, 60 Madison Ave and 41 Madison Ave.</t>
        </is>
      </c>
    </row>
    <row r="27">
      <c r="A27" s="13" t="inlineStr">
        <is>
          <t>Why: walkability for an 8 to 11 am hand-truck route</t>
        </is>
      </c>
      <c r="B27" s="13" t="inlineStr">
        <is>
          <t>The main body is one straight avenue spine (Fifth Ave and Broadway) with Sixth Ave and Park Ave S as edges, so any stop is at most about two avenue blocks from the spine. A ten-stop route only fits three hours if the stops sit in about a six-block by two-avenue patch (see Route), and every sub-area above holds enough candidates to fill such a patch. The line stops where research found few offices and walking would grow: east of Park Ave S and north of 30th St.</t>
        </is>
      </c>
    </row>
    <row r="28">
      <c r="A28" s="13" t="inlineStr">
        <is>
          <t>Why: retailers</t>
        </is>
      </c>
      <c r="B28" s="13" t="inlineStr">
        <is>
          <t>The line takes in the plan's three named stores (Whole Foods Union Square, Trader Joe's 14th St, Eataly Flatiron) plus Whole Foods NoMad and Fairway Chelsea. Every candidate building is within 8.3 blocks of a store on the public map (median 4.1), and 35% are within five blocks of a tier A store (median 6.3).</t>
        </is>
      </c>
    </row>
    <row r="29">
      <c r="A29" s="13" t="inlineStr">
        <is>
          <t>Neighbourhood definitions used</t>
        </is>
      </c>
      <c r="B29" s="13" t="inlineStr">
        <is>
          <t>Wikipedia, Flatiron District (opened 2026-10-24): bounded by 14th Street and Union Square to the south, Sixth Avenue to the west, 23rd Street and Madison Square to the north, Park Avenue South to the east. Wikipedia, NoMad (last edited 2026-09-29, opened 2026-10-24): East 25th Street to the south, East 29th or 30th Street to the north, Sixth Avenue to the west, Madison or Lexington Avenue to the east. The line follows these, choosing 30th St for the north and Park Ave S for the east.</t>
        </is>
      </c>
      <c r="C29" s="13" t="inlineStr">
        <is>
          <t>https://en.wikipedia.org/wiki/Flatiron_District ; https://en.wikipedia.org/wiki/NoMad,_Manhattan</t>
        </is>
      </c>
    </row>
    <row r="30">
      <c r="A30" s="13" t="inlineStr">
        <is>
          <t>Left out: west of Sixth Ave (Chelsea)</t>
        </is>
      </c>
      <c r="B30" s="13" t="inlineStr">
        <is>
          <t>A different neighbourhood and outside the plan's cluster. Rows just past the line (Runwise, 104 W 27th St) are in Near-miss; Whole Foods Chelsea and the Seventh and Eighth Ave stores stay on the Retailers tab as buy paths within ten blocks. Coworking left out: WeWork 154 W 14th St, Industrious 119 W 24th St, Hakibbutz 151 W 26th St, Jay Suites 159 W 25th St, The Malin Chelsea 270 Seventh Ave, Resident Chelsea 115 W 18th St (not open).</t>
        </is>
      </c>
    </row>
    <row r="31">
      <c r="A31" s="13" t="inlineStr">
        <is>
          <t>Left out: east of the Park Ave S frontage, 15th to 30th St</t>
        </is>
      </c>
      <c r="B31" s="13" t="inlineStr">
        <is>
          <t>Gramercy, Irving Place, Lexington and Kips Bay are mostly residential, Baruch College and hospitals; research found one candidate there (RepRally, 137 E 25th St, Near-miss) plus coworking (Indy by Industrious 120 E 23rd St, Resident 115 E 23rd St, WeWork 33 Irving Pl), all kept on their tabs with in_boundary = N.</t>
        </is>
      </c>
    </row>
    <row r="32">
      <c r="A32" s="13" t="inlineStr">
        <is>
          <t>Left out: north of 30th St</t>
        </is>
      </c>
      <c r="B32" s="13" t="inlineStr">
        <is>
          <t>Wikipedia puts NoMad's north edge at 29th or 30th St. Rows on the 31st St frontage (Parloa and GumGum at 1245 Broadway; Ford Models and The Ancillary Project at 36 E 31st St) are in Near-miss. Coworking left out: WeWork 135 Madison, Regus 136 Madison and 1250 Broadway, Corporate Suites 2 Park Ave.</t>
        </is>
      </c>
    </row>
    <row r="33">
      <c r="A33" s="13" t="inlineStr">
        <is>
          <t>Left out: south of 14th St west of University Place</t>
        </is>
      </c>
      <c r="B33" s="13" t="inlineStr">
        <is>
          <t>Greenwich Village and The New School: university and residential, no sourced candidate. Merci Market, LifeThyme, Citarella and Wegmans stay on the Retailers tab. Resident Union Square (113 University Pl, 12th to 13th St) is just outside.</t>
        </is>
      </c>
    </row>
    <row r="34">
      <c r="A34" s="13" t="inlineStr">
        <is>
          <t>Left out: stores</t>
        </is>
      </c>
      <c r="B34" s="13" t="inlineStr">
        <is>
          <t>Beyond ten blocks or not a buy path: Whole Foods Stuytown (409 E 14th St, about 11 blocks), Whole Foods Bryant Park and Manhattan West, Brooklyn Fare, Westerly, Agata &amp; Valentina (Upper East Side only), Pop Up Grocer (online store unavailable), Integral Yoga Natural Foods (status unknown), Trader Joe's Murray Hill (dropped by the researcher: private label), pharmacies (no emerging-set evidence), delis and conventional chains (Gristedes, D'Agostino, Lidl and others).</t>
        </is>
      </c>
    </row>
    <row r="36">
      <c r="A36" s="5" t="inlineStr">
        <is>
          <t>'Ten blocks', defined</t>
        </is>
      </c>
    </row>
    <row r="37">
      <c r="B37" s="13" t="inlineStr">
        <is>
          <t>Ten street-block lengths (10 x 79.4 m = 794 m) of walking on the Manhattan grid from the nearest edge of the boundary, about 11 minutes on foot. Crosstown distance counts at its length, so one long avenue block (Sixth to Fifth, about 310 m) counts as about 3.9 blocks. Measured from each store's pin with the grid model below. South of 14th St west of Fifth the streets bend, so readings there are approximate.</t>
        </is>
      </c>
    </row>
    <row r="39">
      <c r="A39" s="5" t="inlineStr">
        <is>
          <t>Confidence scale (CONTRACTS section 4 floor, applied more strictly)</t>
        </is>
      </c>
    </row>
    <row r="40">
      <c r="A40" s="13" t="inlineStr">
        <is>
          <t>high</t>
        </is>
      </c>
      <c r="B40" s="13" t="inlineStr">
        <is>
          <t>A source under 24 months old (dated on or after 2024-10-24, or a live company page opened 2026-10-23/24) plus one independent confirmation from a different publisher. Two outlets repeating one landlord or broker release count as one source.</t>
        </is>
      </c>
    </row>
    <row r="41">
      <c r="A41" s="13" t="inlineStr">
        <is>
          <t>medium</t>
        </is>
      </c>
      <c r="B41" s="13" t="inlineStr">
        <is>
          <t>One source under 24 months old; or recent sources that disagree on move timing (a lease is signed but the company's site still shows the old address).</t>
        </is>
      </c>
    </row>
    <row r="42">
      <c r="A42" s="13" t="inlineStr">
        <is>
          <t>low</t>
        </is>
      </c>
      <c r="B42" s="13" t="inlineStr">
        <is>
          <t>Only sources older than 24 months, or sources that conflict on the address, or a map listing, broker list or legacy page alone.</t>
        </is>
      </c>
    </row>
    <row r="43">
      <c r="A43" s="13" t="inlineStr">
        <is>
          <t>At assembly</t>
        </is>
      </c>
      <c r="B43" s="13" t="inlineStr">
        <is>
          <t>Every 'high' row was re-tested: a row whose second source is missing or on the same domain as the first was lowered to medium, and a row with no source under 24 months was lowered to low. Each change is written into that row's notes.</t>
        </is>
      </c>
    </row>
    <row r="45">
      <c r="A45" s="5" t="inlineStr">
        <is>
          <t>Source weighting (strongest first)</t>
        </is>
      </c>
    </row>
    <row r="46">
      <c r="B46" s="13" t="inlineStr">
        <is>
          <t>1. The company's own current site: contact, terms or privacy pages that print a postal address. 2. A public filing (10-K or 10-Q cover, CMBS rent roll). 3. Dated leasing press (Commercial Observer, The Real Deal, NYREJ, REBusiness, Connect CRE) naming the tenant and floor. 4. The landlord's or building's own site. 5. Built In company pages (useful for 'Total Employees'; addresses are often stale). 6. Broker building pages (Metro Manhattan): lobby wording only, never a tenant alone. 7. Map listings: never used alone. Where sources disagree, the newer and stronger source wins and the row says so.</t>
        </is>
      </c>
    </row>
    <row r="48">
      <c r="A48" s="5" t="inlineStr">
        <is>
          <t>Candidate rules</t>
        </is>
      </c>
    </row>
    <row r="49">
      <c r="A49" s="13" t="inlineStr">
        <is>
          <t>candidate</t>
        </is>
      </c>
      <c r="B49" s="13" t="inlineStr">
        <is>
          <t>Inside the boundary; band 40-75, 76-150, 151-250, 251-500, or unknown with the reason stated; not inside a coworking space. Headcounts are whole-company unless a source counts the NYC office; no onsite or Tuesday estimates are made. Intake collects the Tuesday count.</t>
        </is>
      </c>
    </row>
    <row r="50">
      <c r="A50" s="13" t="inlineStr">
        <is>
          <t>excluded-coworking</t>
        </is>
      </c>
      <c r="B50" s="13" t="inlineStr">
        <is>
          <t>Listed as a coworking resident, or on a floor a coworking operator holds. The operator itself may join as one office if it controls the pantry (Coworking tab).</t>
        </is>
      </c>
    </row>
    <row r="51">
      <c r="A51" s="13" t="inlineStr">
        <is>
          <t>near-miss</t>
        </is>
      </c>
      <c r="B51" s="13" t="inlineStr">
        <is>
          <t>Over 500 company-wide (in the boundary), or outside the line. A near-miss whose NYC office may itself fit is flagged in near_miss_reason.</t>
        </is>
      </c>
    </row>
    <row r="52">
      <c r="A52" s="13" t="inlineStr">
        <is>
          <t>lease_status</t>
        </is>
      </c>
      <c r="B52" s="13" t="inlineStr">
        <is>
          <t>occupied, occupancy-unconfirmed, signed-not-occupied (with move_in_date) or moving-out. Check the lobby directory on the walk before contacting a signed-not-occupied row.</t>
        </is>
      </c>
    </row>
    <row r="54">
      <c r="A54" s="5" t="inlineStr">
        <is>
          <t>Conflicts resolved at assembly (evidence in each row's notes)</t>
        </is>
      </c>
    </row>
    <row r="55">
      <c r="A55" s="13" t="inlineStr">
        <is>
          <t>Kaltura</t>
        </is>
      </c>
      <c r="B55" s="13" t="inlineStr">
        <is>
          <t>Kept at 860 Broadway: CO 2022-01 says it moved there from 250 Park Ave S (the stale SEC registrant address) and CO 2026-08-07 lists it as current. Over 500: Near-miss.</t>
        </is>
      </c>
    </row>
    <row r="56">
      <c r="A56" s="13" t="inlineStr">
        <is>
          <t>Adyen</t>
        </is>
      </c>
      <c r="B56" s="13" t="inlineStr">
        <is>
          <t>Current office 71 Fifth Ave (own page); signed 90,000 sf at 111 and 115 Fifth (CO 2026-04-07), date unknown: moving-out. Over 500.</t>
        </is>
      </c>
    </row>
    <row r="57">
      <c r="A57" s="13" t="inlineStr">
        <is>
          <t>WW International</t>
        </is>
      </c>
      <c r="B57" s="13" t="inlineStr">
        <is>
          <t>18 W 18th St, 7th floor, per its 10-Q (newer than Built In's 675 Sixth Ave). WeWork holds five unnamed floors of that building, so coworking_check = floor-unknown. Over 500.</t>
        </is>
      </c>
    </row>
    <row r="58">
      <c r="A58" s="13" t="inlineStr">
        <is>
          <t>32BJ</t>
        </is>
      </c>
      <c r="B58" s="13" t="inlineStr">
        <is>
          <t>Union HQ and Benefit Funds at 25 W 18th St (one tax lot with 620 Sixth Ave) merged into one row: one pantry until shown otherwise.</t>
        </is>
      </c>
    </row>
    <row r="59">
      <c r="A59" s="13" t="inlineStr">
        <is>
          <t>Instacart</t>
        </is>
      </c>
      <c r="B59" s="13" t="inlineStr">
        <is>
          <t>Carried at low with moving-out: CO 2026-07-20 reports a new lease at 111 W 33rd St. Over 500.</t>
        </is>
      </c>
    </row>
    <row r="60">
      <c r="A60" s="13" t="inlineStr">
        <is>
          <t>K Health</t>
        </is>
      </c>
      <c r="B60" s="13" t="inlineStr">
        <is>
          <t>387 Park Ave S, 9th floor: its own terms of use (opened 2026-10-24) agree with the Connect CRE renewal; Built In's 298 Fifth Ave is stale. Raised to high.</t>
        </is>
      </c>
    </row>
    <row r="61">
      <c r="A61" s="13" t="inlineStr">
        <is>
          <t>Ziff Davis</t>
        </is>
      </c>
      <c r="B61" s="13" t="inlineStr">
        <is>
          <t>360 Park Ave S: its own site's structured data (opened 2026-10-24) agrees with CO 2025-05-20; Built In's 114 Fifth Ave is stale. Over 500.</t>
        </is>
      </c>
    </row>
    <row r="62">
      <c r="A62" s="13" t="inlineStr">
        <is>
          <t>Superhuman / Grammarly</t>
        </is>
      </c>
      <c r="B62" s="13" t="inlineStr">
        <is>
          <t>One company: merged at 360 Park Ave S (CO 2025-09-02 and 2026-01-22). Built In's 450 Park Ave S is the WeWork building. Over 500.</t>
        </is>
      </c>
    </row>
    <row r="63">
      <c r="A63" s="13" t="inlineStr">
        <is>
          <t>The Hudson Companies / Broadway Builders</t>
        </is>
      </c>
      <c r="B63" s="13" t="inlineStr">
        <is>
          <t>Affiliates on one shared floor at 902 Broadway: merged, signed-not-occupied (both sites still list 826 Broadway).</t>
        </is>
      </c>
    </row>
    <row r="64">
      <c r="A64" s="13" t="inlineStr">
        <is>
          <t>Pilot Fiber</t>
        </is>
      </c>
      <c r="B64" s="13" t="inlineStr">
        <is>
          <t>Floor 12 of 1115 Broadway is inside Select Office Suites' floors 9 to 12 (operator page, opened 2026-10-24): excluded until confirmed.</t>
        </is>
      </c>
    </row>
    <row r="65">
      <c r="A65" s="13" t="inlineStr">
        <is>
          <t>Deerfield Management</t>
        </is>
      </c>
      <c r="B65" s="13" t="inlineStr">
        <is>
          <t>Listed on Cure's residents page (opened 2026-10-24): excluded as a coworking member; approach Cure as the one office.</t>
        </is>
      </c>
    </row>
    <row r="66">
      <c r="A66" s="13" t="inlineStr">
        <is>
          <t>Hex Technologies</t>
        </is>
      </c>
      <c r="B66" s="13" t="inlineStr">
        <is>
          <t>Lease at 250 Park Ave S floor 7; Built In still lists 44 W 18th St (also inside): signed-not-occupied.</t>
        </is>
      </c>
    </row>
    <row r="67">
      <c r="A67" s="13" t="inlineStr">
        <is>
          <t>U.S. News</t>
        </is>
      </c>
      <c r="B67" s="13" t="inlineStr">
        <is>
          <t>Carried: CO lists it at 120 Fifth while another CO item reports a move to 31 Penn Plaza. Over 500.</t>
        </is>
      </c>
    </row>
    <row r="68">
      <c r="A68" s="13" t="inlineStr">
        <is>
          <t>841-853 Broadway</t>
        </is>
      </c>
      <c r="B68" s="13" t="inlineStr">
        <is>
          <t>One tax lot (block 565, the same block as Whole Foods Union Square, west side of Broadway): one building row with both entrances to check.</t>
        </is>
      </c>
    </row>
    <row r="70">
      <c r="A70" s="5" t="inlineStr">
        <is>
          <t>Coworking sites added at assembly</t>
        </is>
      </c>
    </row>
    <row r="71">
      <c r="A71" s="13" t="inlineStr">
        <is>
          <t>Cure, 345 Park Ave S</t>
        </is>
      </c>
      <c r="B71" s="13" t="inlineStr">
        <is>
          <t>wewillcure.com residents and residency pages (opened 2026-10-24): hot desks, offices, labs, a cafe; operated by Cure Experience Services, LLC; Deerfield is a resident and investor. High.</t>
        </is>
      </c>
    </row>
    <row r="72">
      <c r="A72" s="13" t="inlineStr">
        <is>
          <t>WeWork, 27 E 28th St</t>
        </is>
      </c>
      <c r="B72" s="13" t="inlineStr">
        <is>
          <t>LiquidSpace says 'Confirmed Open' (opened 2026-10-24) but the site is not on WeWork's NYC index (opened 2026-10-24) and the building was marketed for condos (CO 2025-03-04): low, possibly-closed.</t>
        </is>
      </c>
    </row>
    <row r="73">
      <c r="A73" s="13" t="inlineStr">
        <is>
          <t>Hub Seventeen, 114 Fifth Ave</t>
        </is>
      </c>
      <c r="B73" s="13" t="inlineStr">
        <is>
          <t>Commercial Observer 2025-02-11 (re-opened 2026-10-24) names 'coworking space Hub Seventeen' as a tenant. No operator site found (hubseventeen.com is an unrelated organisation in Nigeria). Medium, unverified.</t>
        </is>
      </c>
    </row>
    <row r="74">
      <c r="A74" s="13" t="inlineStr">
        <is>
          <t>Already listed</t>
        </is>
      </c>
      <c r="B74" s="13" t="inlineStr">
        <is>
          <t>Industrious 386 Park Ave S, WeWork 245 Fifth Ave, The Malin 387 Park Ave S, Regus 41 Madison Ave and WeWork 450 Park Ave S were already in the places file and were kept.</t>
        </is>
      </c>
    </row>
    <row r="76">
      <c r="A76" s="5" t="inlineStr">
        <is>
          <t>Retailer tiers and the public map</t>
        </is>
      </c>
    </row>
    <row r="77">
      <c r="B77" s="13" t="inlineStr">
        <is>
          <t>Tier A: a documented natural, local or emerging set (store or chain page). Tier B: specialty, gourmet or natural format, emerging set not yet checked. Tier C: mass, conventional or private label, kept as a landmark. The public map shows tier A and B stores with high or medium confidence only, so it carries no store that may have closed (Eden Gourmet Union Square, Elm Wellness) and no clutter (Target, Trader Joe's, Morton Williams). No row claims a store carries a named brand; brand-to-store evidence belongs in the Clay brand table (store_selector or brand_claim grades), and seen_on_shelf is the founder's alone.</t>
        </is>
      </c>
    </row>
    <row r="79">
      <c r="A79" s="5" t="inlineStr">
        <is>
          <t>Route method (Route tab)</t>
        </is>
      </c>
    </row>
    <row r="80">
      <c r="B80" s="13" t="inlineStr">
        <is>
          <t>Pool: candidates with high confidence, occupied, band known and a Buildings-tab building. Search: every candidate as a seed, its nearest set of ten (at most two per building, at least three bands, at least two security-desk stops), then swap-based local search; the winner's order inside each lobby class solved exactly. Order rule: walk-up, unknown, loading dock, then security desk last. Leg = grid walking metres (to the corner and across) at 64 m/min plus 25 s per avenue crossing and 15 s per side-street crossing; 3 min for a same-building transfer; 15 min per stop. Car = 8 min overhead + metres x 1.3 / 9.7 mph.</t>
        </is>
      </c>
    </row>
    <row r="81">
      <c r="B81" s="13" t="inlineStr">
        <is>
          <t>Result: 183.2 min (150 at stops + 33.2 walking over 1896 m), finishing about 11:03: over the window by about 3 min. A car is faster on 0 legs (the longest leg is 5.9 min; a car only wins above roughly 750 m). Ten stops fit with 12-minute stops (153.2 min) or nine stops (163.1 min).</t>
        </is>
      </c>
    </row>
    <row r="82">
      <c r="B82" s="13" t="inlineStr">
        <is>
          <t>Other searches run on 2026-10-24 (the search is a heuristic, not a proof of the best route): with no security-desk minimum, the best ten high-confidence stops took 181 min (NoMad, Park Ave S at 26th to 30th St); adding medium-confidence offices and dropping the minimum, 176 min. So ten 15-minute stops sit at the edge of the window under any roster. Plan on nine stops, or on 12-minute stops at repeat offices, or split a ten-office drop over Tuesday and Wednesday.</t>
        </is>
      </c>
    </row>
    <row r="84">
      <c r="A84" s="5" t="inlineStr">
        <is>
          <t>Walk method (Walk tab)</t>
        </is>
      </c>
    </row>
    <row r="85">
      <c r="B85" s="13" t="inlineStr">
        <is>
          <t>Every Buildings-tab building, every coworking site inside the boundary and every store, merged by address. Phase 1 (core) covers everything inside the line; phase 2 covers stores outside. Each phase is one open tour (nearest neighbour plus 2-opt on estimated minutes), cut into sessions of balanced length under 90 minutes. Walking at 73 m/min (MUTCD's 4 ft/s option) plus the same signal waits. Result: 11 sessions, 117 stops, about 865 minutes: 8 core sessions (617 min) and 3 store sessions (248 min). Do the core first; the store sessions can wait until a brand needs the shelf photos.</t>
        </is>
      </c>
    </row>
    <row r="87">
      <c r="A87" s="5" t="inlineStr">
        <is>
          <t>Spot checks (2026-10-24)</t>
        </is>
      </c>
    </row>
    <row r="88">
      <c r="A88" s="13" t="inlineStr">
        <is>
          <t>Ten company rows</t>
        </is>
      </c>
      <c r="B88" s="13" t="inlineStr">
        <is>
          <t>Chosen with random.seed(20261024) from candidates no slice had checked, then re-opened: Institute for Integrative Nutrition (245 Fifth, 7th floor), GTS (625 Sixth, 3rd floor), Delos Capital (120 Fifth), Empathy (56 W 22nd), Nourish (853 Broadway, 15th floor), Extend AI (119 Fifth, 6th floor), EnVogue International (230 Fifth), Fundraise Up (100-104 Fifth, 7th floor), Seedtag (15 W 27th, 3rd floor), Kharon (120 Fifth). 10 of 10 pass on address, and on floor where one is stated.</t>
        </is>
      </c>
    </row>
    <row r="89">
      <c r="A89" s="13" t="inlineStr">
        <is>
          <t>Ten pins</t>
        </is>
      </c>
      <c r="B89" s="13" t="inlineStr">
        <is>
          <t>Chosen with random.seed(20261024) from the Buildings tab and checked on OpenStreetMap at zoom 19 against house numbers: 44 W 28th, 115 Fifth, 120 Fifth, 20 W 22nd, 5 Union Square W, 39 W 19th, 230 Fifth, 26 W 17th, 1165 Broadway, 101 Fifth. 10 of 10 on the right block face; 115 Fifth and 230 Fifth are block-through lots with the pin at the lot's middle. Images: _work/spot_check/.</t>
        </is>
      </c>
    </row>
    <row r="90">
      <c r="A90" s="13" t="inlineStr">
        <is>
          <t>All pins</t>
        </is>
      </c>
      <c r="B90" s="13" t="inlineStr">
        <is>
          <t>An automated check of all 421 located rows (house-number parity for side of street, the avenue side, and distance to the PLUTO lot centroid) found 5 pins on the far side of their lot; they were moved to the addressed block face and noted. 0 issues remain.</t>
        </is>
      </c>
    </row>
    <row r="91">
      <c r="A91" s="13" t="inlineStr">
        <is>
          <t>Earlier slice checks</t>
        </is>
      </c>
      <c r="B91" s="13" t="inlineStr">
        <is>
          <t>Each research slice re-opened five or six rows (21 in all); none failed.</t>
        </is>
      </c>
    </row>
    <row r="93">
      <c r="A93" s="5" t="inlineStr">
        <is>
          <t>Map and grid data</t>
        </is>
      </c>
    </row>
    <row r="94">
      <c r="A94" s="13" t="inlineStr">
        <is>
          <t>Street grid</t>
        </is>
      </c>
      <c r="B94" s="13" t="inlineStr">
        <is>
          <t>NYC Street Centerline (CSCL), data.cityofnewyork.us dataset inkn-q76z, data updated 2026-10-17, fetched 2026-10-24. The grid model (rotation 29.4 degrees, 79.4 m per street, mean residual 0.07 of a block over 285 intersections) converts pins to street and crosstown positions.</t>
        </is>
      </c>
    </row>
    <row r="95">
      <c r="A95" s="13" t="inlineStr">
        <is>
          <t>Tax lots</t>
        </is>
      </c>
      <c r="B95" s="13" t="inlineStr">
        <is>
          <t>NYC PLUTO 26v2, dataset 64uk-42ks (updated 2026-08-24): floors, year built, building class, ZIP, lot centroid.</t>
        </is>
      </c>
    </row>
    <row r="96">
      <c r="A96" s="13" t="inlineStr">
        <is>
          <t>Parks</t>
        </is>
      </c>
      <c r="B96" s="13" t="inlineStr">
        <is>
          <t>NYC Parks Properties, dataset enfh-gkve (updated 2026-10-16), for the public map.</t>
        </is>
      </c>
    </row>
    <row r="97">
      <c r="A97" s="13" t="inlineStr">
        <is>
          <t>Subway</t>
        </is>
      </c>
      <c r="B97" s="13" t="inlineStr">
        <is>
          <t>MTA Subway Stations, data.ny.gov 39hk-dx4f (updated 2026-10-23), for walk session start and end points.</t>
        </is>
      </c>
    </row>
    <row r="98">
      <c r="A98" s="13" t="inlineStr">
        <is>
          <t>Basemap</t>
        </is>
      </c>
      <c r="B98" s="13" t="inlineStr">
        <is>
          <t>OpenStreetMap tiles in map-private.html, (c) OpenStreetMap contributors. The public map draws its own streets from CSCL.</t>
        </is>
      </c>
    </row>
    <row r="99">
      <c r="A99" s="13" t="inlineStr">
        <is>
          <t>Pace and speed</t>
        </is>
      </c>
      <c r="B99" s="13" t="inlineStr">
        <is>
          <t>MUTCD 2009 section 4E.06 (3.5 ft/s design walking speed; up to 4 ft/s option), https://mutcd.fhwa.dot.gov/htm/2009/part4/part4e.htm. NBER Digest 2025-06-01: CBD speeds rose from 8.2 to 9.7 mph after congestion pricing, https://www.nber.org/digest/202506/impact-new-york-citys-congestion-pricing-program.</t>
        </is>
      </c>
    </row>
    <row r="101">
      <c r="A101" s="5" t="inlineStr">
        <is>
          <t>Changelog</t>
        </is>
      </c>
    </row>
    <row r="102">
      <c r="A102" s="13" t="inlineStr">
        <is>
          <t>Round 1 (draft)</t>
        </is>
      </c>
      <c r="B102" s="13" t="inlineStr">
        <is>
          <t>Merged the four slice files and the places file into one table per tab; resolved Kaltura, Adyen, WW International, 32BJ, Instacart, K Health, Ziff Davis and Superhuman/Grammarly with sources opened 2026-10-24; added Cure, WeWork 27 E 28th St and Hub Seventeen (the other five named sites were already listed); cross-checked every company floor against coworking floors; drew the boundary on the street grid; first route, walk, maps and workbook.</t>
        </is>
      </c>
    </row>
    <row r="103">
      <c r="A103" s="13" t="inlineStr">
        <is>
          <t>Round 2 (critique as broker, courier and brand founder)</t>
        </is>
      </c>
      <c r="B103" s="13" t="inlineStr">
        <is>
          <t>Broker: seven firms sourced as over 500 company-wide from Wikipedia (Palantir, Kohler, Lockton, Jump Trading, IMG, ZGF, Grimshaw) moved to Near-miss; Selldorf lowered to medium (one broker release); Pilot Fiber and Deerfield flagged as inside coworking; a lease status on every row. Courier: route search rebuilt (corner crossings, 3-minute same-building transfer, best-improvement search from every seed), the honest result recorded (3h03m, three minutes over), load and 8 am checks, a receiving-window column and a printable route sheet. Brand founder: the public map cut to 16 stores (tier A and B, no niche or deli formats, nothing that may have closed), the legend reworded to make no emerging-set claim, and candidates within five blocks shown per store. Union Square frame widened to 15th St so the Target block counts as inside.</t>
        </is>
      </c>
    </row>
    <row r="104">
      <c r="A104" s="13" t="inlineStr">
        <is>
          <t>Round 3 (spot checks and polish)</t>
        </is>
      </c>
      <c r="B104" s="13" t="inlineStr">
        <is>
          <t>Ten unchecked company rows re-opened (10 of 10 pass, floors included) and ten building pins checked on OpenStreetMap at street zoom (10 of 10 on the right block face); an automated parity check of all pins moved five to their addressed block face; stable ID registry so a rebuild never renumbers rows; coworking_id set only for members; KML and GeoJSON validated and the public files scanned for company names (none); README, HANDOFF and REPORT written.</t>
        </is>
      </c>
    </row>
    <row r="106">
      <c r="A106" s="5" t="inlineStr">
        <is>
          <t>Column definitions</t>
        </is>
      </c>
    </row>
    <row r="107">
      <c r="A107" s="14" t="inlineStr">
        <is>
          <t>Companies</t>
        </is>
      </c>
    </row>
    <row r="108">
      <c r="A108" t="inlineStr">
        <is>
          <t>company_id</t>
        </is>
      </c>
      <c r="B108" s="13" t="inlineStr">
        <is>
          <t>Stable ID, B-C-### (CONTRACTS 6.1). Shared numbering with Near-miss.</t>
        </is>
      </c>
    </row>
    <row r="109">
      <c r="A109" t="inlineStr">
        <is>
          <t>company_name</t>
        </is>
      </c>
      <c r="B109" s="13" t="inlineStr">
        <is>
          <t>Company name as the source gives it; a merged row names both entities.</t>
        </is>
      </c>
    </row>
    <row r="110">
      <c r="A110" t="inlineStr">
        <is>
          <t>website</t>
        </is>
      </c>
      <c r="B110" s="13" t="inlineStr">
        <is>
          <t>Company website, only if it was opened and matched the company; blank if unverified.</t>
        </is>
      </c>
    </row>
    <row r="111">
      <c r="A111" t="inlineStr">
        <is>
          <t>industry</t>
        </is>
      </c>
      <c r="B111" s="13" t="inlineStr">
        <is>
          <t>Short industry label from the research slice.</t>
        </is>
      </c>
    </row>
    <row r="112">
      <c r="A112" t="inlineStr">
        <is>
          <t>building_id</t>
        </is>
      </c>
      <c r="B112" s="13" t="inlineStr">
        <is>
          <t>B-B-### of the building row in the Buildings tab; blank if the building is not in that tab (near-miss rows outside the line).</t>
        </is>
      </c>
    </row>
    <row r="113">
      <c r="A113" t="inlineStr">
        <is>
          <t>street_address</t>
        </is>
      </c>
      <c r="B113" s="13" t="inlineStr">
        <is>
          <t>Business street address as the source gives it.</t>
        </is>
      </c>
    </row>
    <row r="114">
      <c r="A114" t="inlineStr">
        <is>
          <t>floor</t>
        </is>
      </c>
      <c r="B114" s="13" t="inlineStr">
        <is>
          <t>Floor or suite as sourced; 'unknown' or blank when no source names it.</t>
        </is>
      </c>
    </row>
    <row r="115">
      <c r="A115" t="inlineStr">
        <is>
          <t>zip</t>
        </is>
      </c>
      <c r="B115" s="13" t="inlineStr">
        <is>
          <t>ZIP code from a source for the building, else from NYC PLUTO (2026 v2) for the tax lot.</t>
        </is>
      </c>
    </row>
    <row r="116">
      <c r="A116" t="inlineStr">
        <is>
          <t>lat</t>
        </is>
      </c>
      <c r="B116" s="13" t="inlineStr">
        <is>
          <t>Latitude, WGS84 decimal degrees. From the project geocoder (_shared/geocode.py: NYC Planning GeoSearch, the city's own address database). A pin that landed on the far side of its tax lot was moved to the addressed block face; that row's notes say so.</t>
        </is>
      </c>
    </row>
    <row r="117">
      <c r="A117" t="inlineStr">
        <is>
          <t>lon</t>
        </is>
      </c>
      <c r="B117" s="13" t="inlineStr">
        <is>
          <t>Longitude, WGS84 decimal degrees. Same source as lat.</t>
        </is>
      </c>
    </row>
    <row r="118">
      <c r="A118" t="inlineStr">
        <is>
          <t>in_boundary</t>
        </is>
      </c>
      <c r="B118" s="13" t="inlineStr">
        <is>
          <t>Y if the pin is inside boundary.geojson, else N (computed, not judged).</t>
        </is>
      </c>
    </row>
    <row r="119">
      <c r="A119" t="inlineStr">
        <is>
          <t>headcount_band</t>
        </is>
      </c>
      <c r="B119" s="13" t="inlineStr">
        <is>
          <t>40-75, 76-150, 151-250, 251-500, under-40, over-500 or unknown. From a sourced count only (mostly Built In 'Total Employees'); never estimated from floor area. Not an onsite or Tuesday count.</t>
        </is>
      </c>
    </row>
    <row r="120">
      <c r="A120" t="inlineStr">
        <is>
          <t>headcount_scope</t>
        </is>
      </c>
      <c r="B120" s="13" t="inlineStr">
        <is>
          <t>whole-company (the count covers the whole firm), nyc-office (the source counts the New York office), or unknown.</t>
        </is>
      </c>
    </row>
    <row r="121">
      <c r="A121" t="inlineStr">
        <is>
          <t>headcount_source_url</t>
        </is>
      </c>
      <c r="B121" s="13" t="inlineStr">
        <is>
          <t>Where the count came from.</t>
        </is>
      </c>
    </row>
    <row r="122">
      <c r="A122" t="inlineStr">
        <is>
          <t>address_source_url</t>
        </is>
      </c>
      <c r="B122" s="13" t="inlineStr">
        <is>
          <t>Source that places the company at the address.</t>
        </is>
      </c>
    </row>
    <row r="123">
      <c r="A123" t="inlineStr">
        <is>
          <t>address_source_date</t>
        </is>
      </c>
      <c r="B123" s="13" t="inlineStr">
        <is>
          <t>Date of that source (publication date, or the date a live page was opened).</t>
        </is>
      </c>
    </row>
    <row r="124">
      <c r="A124" t="inlineStr">
        <is>
          <t>second_source_url</t>
        </is>
      </c>
      <c r="B124" s="13" t="inlineStr">
        <is>
          <t>Independent confirmation, if any.</t>
        </is>
      </c>
    </row>
    <row r="125">
      <c r="A125" t="inlineStr">
        <is>
          <t>confidence</t>
        </is>
      </c>
      <c r="B125" s="13" t="inlineStr">
        <is>
          <t>high = a source under 24 months old (dated on or after 2024-10-24) plus one independent confirmation from a different publisher; medium = one source under 24 months, or recent sources that disagree on move timing; low = only older sources, conflicting sources, or a map or broker listing alone. See the scale below.</t>
        </is>
      </c>
    </row>
    <row r="126">
      <c r="A126" t="inlineStr">
        <is>
          <t>in_coworking</t>
        </is>
      </c>
      <c r="B126" s="13" t="inlineStr">
        <is>
          <t>Y if the company is inside a coworking or serviced-office space (listed as a resident, or on a floor the operator holds), else N. Y rows are excluded as offices.</t>
        </is>
      </c>
    </row>
    <row r="127">
      <c r="A127" t="inlineStr">
        <is>
          <t>coworking_id</t>
        </is>
      </c>
      <c r="B127" s="13" t="inlineStr">
        <is>
          <t>B-W-### of the coworking site the company is inside (only when in_coworking = Y). For a company that merely shares a building with a coworking site, see coworking_check and the building's coworking_ids.</t>
        </is>
      </c>
    </row>
    <row r="128">
      <c r="A128" t="inlineStr">
        <is>
          <t>linkedin_company_url</t>
        </is>
      </c>
      <c r="B128" s="13" t="inlineStr">
        <is>
          <t>Blank on every row: LinkedIn was not opened (blocked and off-limits). Founder or workstream A to fill.</t>
        </is>
      </c>
    </row>
    <row r="129">
      <c r="A129" t="inlineStr">
        <is>
          <t>notes</t>
        </is>
      </c>
      <c r="B129" s="13" t="inlineStr">
        <is>
          <t>Free text from research, then any assembly change after ' | Assembly 2026-10-24:'. Each fact names its source.</t>
        </is>
      </c>
    </row>
    <row r="130">
      <c r="A130" t="inlineStr">
        <is>
          <t>found_date</t>
        </is>
      </c>
      <c r="B130" s="13" t="inlineStr">
        <is>
          <t>Date the row was first found (YYYY-MM-DD).</t>
        </is>
      </c>
    </row>
    <row r="131">
      <c r="A131" t="inlineStr">
        <is>
          <t>building_lobby_type</t>
        </is>
      </c>
      <c r="B131" s="13" t="inlineStr">
        <is>
          <t>The building's lobby_type (Buildings tab), copied here so the Clay import needs no join.</t>
        </is>
      </c>
    </row>
    <row r="132">
      <c r="A132" t="inlineStr">
        <is>
          <t>candidate_status</t>
        </is>
      </c>
      <c r="B132" s="13" t="inlineStr">
        <is>
          <t>candidate (in the boundary, 40-500 or unknown band, not in coworking); excluded-coworking; excluded-not-office (for example a mailbox suite); near-miss-over-500; near-miss-outside.</t>
        </is>
      </c>
    </row>
    <row r="133">
      <c r="A133" t="inlineStr">
        <is>
          <t>lease_status</t>
        </is>
      </c>
      <c r="B133" s="13" t="inlineStr">
        <is>
          <t>occupied (a source shows the company in the space); occupancy-unconfirmed (lease press only); signed-not-occupied (a source says the move is ahead, or the company's own site still shows its old address); moving-out (a newer source says it signed elsewhere).</t>
        </is>
      </c>
    </row>
    <row r="134">
      <c r="A134" t="inlineStr">
        <is>
          <t>move_in_date</t>
        </is>
      </c>
      <c r="B134" s="13" t="inlineStr">
        <is>
          <t>For signed-not-occupied rows: the move-in date or season if a source states it, else 'unknown'.</t>
        </is>
      </c>
    </row>
    <row r="135">
      <c r="A135" t="inlineStr">
        <is>
          <t>headcount_source_date</t>
        </is>
      </c>
      <c r="B135" s="13" t="inlineStr">
        <is>
          <t>Date of the headcount source.</t>
        </is>
      </c>
    </row>
    <row r="136">
      <c r="A136" t="inlineStr">
        <is>
          <t>headcount_unknown_reason</t>
        </is>
      </c>
      <c r="B136" s="13" t="inlineStr">
        <is>
          <t>Why the band is unknown, for every unknown row.</t>
        </is>
      </c>
    </row>
    <row r="137">
      <c r="A137" t="inlineStr">
        <is>
          <t>address_source_type</t>
        </is>
      </c>
      <c r="B137" s="13" t="inlineStr">
        <is>
          <t>company-site, leasing-press, builtin, building-site, press-release, wikipedia or other.</t>
        </is>
      </c>
    </row>
    <row r="138">
      <c r="A138" t="inlineStr">
        <is>
          <t>second_source_date</t>
        </is>
      </c>
      <c r="B138" s="13" t="inlineStr">
        <is>
          <t>Date of the second source.</t>
        </is>
      </c>
    </row>
    <row r="139">
      <c r="A139" t="inlineStr">
        <is>
          <t>coworking_check</t>
        </is>
      </c>
      <c r="B139" s="13" t="inlineStr">
        <is>
          <t>Result of the address-and-floor cross-check against every coworking site: no-coworking-in-building, different-floor, direct-lease-documented, floor-unknown, same-floor or listed-as-resident.</t>
        </is>
      </c>
    </row>
    <row r="140">
      <c r="A140" t="inlineStr">
        <is>
          <t>bbl</t>
        </is>
      </c>
      <c r="B140" s="13" t="inlineStr">
        <is>
          <t>NYC borough-block-lot tax lot number from the geocoder; the key used to merge buildings.</t>
        </is>
      </c>
    </row>
    <row r="141">
      <c r="A141" t="inlineStr">
        <is>
          <t>blocks_outside</t>
        </is>
      </c>
      <c r="B141" s="13" t="inlineStr">
        <is>
          <t>Walking distance from the boundary on the street grid, in street blocks (79.4 m each); 0 inside. Crosstown metres count at their length, so the Sixth-to-Fifth block counts as about 3.9.</t>
        </is>
      </c>
    </row>
    <row r="142">
      <c r="A142" t="inlineStr">
        <is>
          <t>leased_sf_mentioned</t>
        </is>
      </c>
      <c r="B142" s="13" t="inlineStr">
        <is>
          <t>Office sizes (square feet) that appear in the sourced notes. A fact from the source, not a headcount.</t>
        </is>
      </c>
    </row>
    <row r="143">
      <c r="A143" t="inlineStr">
        <is>
          <t>research_slice</t>
        </is>
      </c>
      <c r="B143" s="13" t="inlineStr">
        <is>
          <t>Which research slice found the row (S1 14th-18th St, S2 18th-22nd, S3 22nd-26th, S4 26th-30th; two values if merged).</t>
        </is>
      </c>
    </row>
    <row r="145">
      <c r="A145" s="14" t="inlineStr">
        <is>
          <t>Buildings</t>
        </is>
      </c>
    </row>
    <row r="146">
      <c r="A146" t="inlineStr">
        <is>
          <t>building_id</t>
        </is>
      </c>
      <c r="B146" s="13" t="inlineStr">
        <is>
          <t>Stable ID, B-B-###. Only buildings inside the boundary that hold at least one candidate company or a coworking site.</t>
        </is>
      </c>
    </row>
    <row r="147">
      <c r="A147" t="inlineStr">
        <is>
          <t>street_address</t>
        </is>
      </c>
      <c r="B147" s="13" t="inlineStr">
        <is>
          <t>Business street address as the source gives it.</t>
        </is>
      </c>
    </row>
    <row r="148">
      <c r="A148" t="inlineStr">
        <is>
          <t>building_name</t>
        </is>
      </c>
      <c r="B148" s="13" t="inlineStr">
        <is>
          <t>Building name from research (landlord or common name).</t>
        </is>
      </c>
    </row>
    <row r="149">
      <c r="A149" t="inlineStr">
        <is>
          <t>lat</t>
        </is>
      </c>
      <c r="B149" s="13" t="inlineStr">
        <is>
          <t>Latitude, WGS84 decimal degrees. From the project geocoder (_shared/geocode.py: NYC Planning GeoSearch, the city's own address database). A pin that landed on the far side of its tax lot was moved to the addressed block face; that row's notes say so.</t>
        </is>
      </c>
    </row>
    <row r="150">
      <c r="A150" t="inlineStr">
        <is>
          <t>lon</t>
        </is>
      </c>
      <c r="B150" s="13" t="inlineStr">
        <is>
          <t>Longitude, WGS84 decimal degrees. Same source as lat.</t>
        </is>
      </c>
    </row>
    <row r="151">
      <c r="A151" t="inlineStr">
        <is>
          <t>lobby_type</t>
        </is>
      </c>
      <c r="B151" s="13" t="inlineStr">
        <is>
          <t>walk-up, security desk, loading dock or unknown. Set only from an opened source (broker page, building site, press); undated broker pages are a starting point for the walk, not a verification.</t>
        </is>
      </c>
    </row>
    <row r="152">
      <c r="A152" t="inlineStr">
        <is>
          <t>lobby_source_url</t>
        </is>
      </c>
      <c r="B152" s="13" t="inlineStr">
        <is>
          <t>Source for lobby_type.</t>
        </is>
      </c>
    </row>
    <row r="153">
      <c r="A153" t="inlineStr">
        <is>
          <t>coi_required</t>
        </is>
      </c>
      <c r="B153" s="13" t="inlineStr">
        <is>
          <t>yes, no or unknown: whether the building requires a certificate of insurance for deliveries. No opened source states a delivery rule, so every row is unknown.</t>
        </is>
      </c>
    </row>
    <row r="154">
      <c r="A154" t="inlineStr">
        <is>
          <t>coi_source_url</t>
        </is>
      </c>
      <c r="B154" s="13" t="inlineStr">
        <is>
          <t>Source for coi_required.</t>
        </is>
      </c>
    </row>
    <row r="155">
      <c r="A155" t="inlineStr">
        <is>
          <t>candidate_company_count</t>
        </is>
      </c>
      <c r="B155" s="13" t="inlineStr">
        <is>
          <t>Number of candidate companies (candidate_status = candidate) in the building.</t>
        </is>
      </c>
    </row>
    <row r="156">
      <c r="A156" t="inlineStr">
        <is>
          <t>verified_on_foot</t>
        </is>
      </c>
      <c r="B156" s="13" t="inlineStr">
        <is>
          <t>Blank. Only the founder fills this, after the walk.</t>
        </is>
      </c>
    </row>
    <row r="157">
      <c r="A157" t="inlineStr">
        <is>
          <t>notes</t>
        </is>
      </c>
      <c r="B157" s="13" t="inlineStr">
        <is>
          <t>Free text from research, then any assembly change after ' | Assembly 2026-10-24:'. Each fact names its source.</t>
        </is>
      </c>
    </row>
    <row r="158">
      <c r="A158" t="inlineStr">
        <is>
          <t>bbl</t>
        </is>
      </c>
      <c r="B158" s="13" t="inlineStr">
        <is>
          <t>NYC borough-block-lot tax lot number from the geocoder; the key used to merge buildings.</t>
        </is>
      </c>
    </row>
    <row r="159">
      <c r="A159" t="inlineStr">
        <is>
          <t>also_known_as</t>
        </is>
      </c>
      <c r="B159" s="13" t="inlineStr">
        <is>
          <t>Other addresses on the same tax lot (for example 841 Broadway for 853 Broadway).</t>
        </is>
      </c>
    </row>
    <row r="160">
      <c r="A160" t="inlineStr">
        <is>
          <t>zip</t>
        </is>
      </c>
      <c r="B160" s="13" t="inlineStr">
        <is>
          <t>ZIP code from PLUTO.</t>
        </is>
      </c>
    </row>
    <row r="161">
      <c r="A161" t="inlineStr">
        <is>
          <t>in_boundary</t>
        </is>
      </c>
      <c r="B161" s="13" t="inlineStr">
        <is>
          <t>Y if the pin is inside boundary.geojson, else N (computed, not judged).</t>
        </is>
      </c>
    </row>
    <row r="162">
      <c r="A162" t="inlineStr">
        <is>
          <t>candidate_company_ids</t>
        </is>
      </c>
      <c r="B162" s="13" t="inlineStr">
        <is>
          <t>B-C-### of the candidates in the building.</t>
        </is>
      </c>
    </row>
    <row r="163">
      <c r="A163" t="inlineStr">
        <is>
          <t>other_company_count</t>
        </is>
      </c>
      <c r="B163" s="13" t="inlineStr">
        <is>
          <t>Company rows in the building that are not candidates (coworking members, over 500, not an office).</t>
        </is>
      </c>
    </row>
    <row r="164">
      <c r="A164" t="inlineStr">
        <is>
          <t>coworking_ids</t>
        </is>
      </c>
      <c r="B164" s="13" t="inlineStr">
        <is>
          <t>B-W-### of coworking sites in the building.</t>
        </is>
      </c>
    </row>
    <row r="165">
      <c r="A165" t="inlineStr">
        <is>
          <t>retailer_ids</t>
        </is>
      </c>
      <c r="B165" s="13" t="inlineStr">
        <is>
          <t>B-R-### of stores in the building.</t>
        </is>
      </c>
    </row>
    <row r="166">
      <c r="A166" t="inlineStr">
        <is>
          <t>pluto_numfloors</t>
        </is>
      </c>
      <c r="B166" s="13" t="inlineStr">
        <is>
          <t>Number of floors, NYC PLUTO 26v2 (data.cityofnewyork.us 64uk-42ks).</t>
        </is>
      </c>
    </row>
    <row r="167">
      <c r="A167" t="inlineStr">
        <is>
          <t>pluto_yearbuilt</t>
        </is>
      </c>
      <c r="B167" s="13" t="inlineStr">
        <is>
          <t>Year built, PLUTO.</t>
        </is>
      </c>
    </row>
    <row r="168">
      <c r="A168" t="inlineStr">
        <is>
          <t>pluto_bldgclass</t>
        </is>
      </c>
      <c r="B168" s="13" t="inlineStr">
        <is>
          <t>PLUTO building class (O = office; RB/RC = condo office/commercial; K = store building).</t>
        </is>
      </c>
    </row>
    <row r="169">
      <c r="A169" t="inlineStr">
        <is>
          <t>pluto_office_sqft</t>
        </is>
      </c>
      <c r="B169" s="13" t="inlineStr">
        <is>
          <t>Office floor area on the lot, PLUTO.</t>
        </is>
      </c>
    </row>
    <row r="170">
      <c r="A170" t="inlineStr">
        <is>
          <t>pluto_address</t>
        </is>
      </c>
      <c r="B170" s="13" t="inlineStr">
        <is>
          <t>The tax lot's primary address in PLUTO (can differ for a block-through lot).</t>
        </is>
      </c>
    </row>
    <row r="171">
      <c r="A171" t="inlineStr">
        <is>
          <t>pin_check</t>
        </is>
      </c>
      <c r="B171" s="13" t="inlineStr">
        <is>
          <t>Distance from the pin to the PLUTO lot centroid, plus any pin move.</t>
        </is>
      </c>
    </row>
    <row r="172">
      <c r="A172" t="inlineStr">
        <is>
          <t>research_slices</t>
        </is>
      </c>
      <c r="B172" s="13" t="inlineStr">
        <is>
          <t>Slices that recorded the building.</t>
        </is>
      </c>
    </row>
    <row r="174">
      <c r="A174" s="14" t="inlineStr">
        <is>
          <t>Coworking</t>
        </is>
      </c>
    </row>
    <row r="175">
      <c r="A175" t="inlineStr">
        <is>
          <t>coworking_id</t>
        </is>
      </c>
      <c r="B175" s="13" t="inlineStr">
        <is>
          <t>Stable ID, B-W-###. A coworking operator can join as one office only if it controls the pantry; its members are excluded.</t>
        </is>
      </c>
    </row>
    <row r="176">
      <c r="A176" t="inlineStr">
        <is>
          <t>operator</t>
        </is>
      </c>
      <c r="B176" s="13" t="inlineStr">
        <is>
          <t>Operating company.</t>
        </is>
      </c>
    </row>
    <row r="177">
      <c r="A177" t="inlineStr">
        <is>
          <t>location_name</t>
        </is>
      </c>
      <c r="B177" s="13" t="inlineStr">
        <is>
          <t>Location name.</t>
        </is>
      </c>
    </row>
    <row r="178">
      <c r="A178" t="inlineStr">
        <is>
          <t>street_address</t>
        </is>
      </c>
      <c r="B178" s="13" t="inlineStr">
        <is>
          <t>Business street address as the source gives it.</t>
        </is>
      </c>
    </row>
    <row r="179">
      <c r="A179" t="inlineStr">
        <is>
          <t>lat</t>
        </is>
      </c>
      <c r="B179" s="13" t="inlineStr">
        <is>
          <t>Latitude, WGS84 decimal degrees. From the project geocoder (_shared/geocode.py: NYC Planning GeoSearch, the city's own address database). A pin that landed on the far side of its tax lot was moved to the addressed block face; that row's notes say so.</t>
        </is>
      </c>
    </row>
    <row r="180">
      <c r="A180" t="inlineStr">
        <is>
          <t>lon</t>
        </is>
      </c>
      <c r="B180" s="13" t="inlineStr">
        <is>
          <t>Longitude, WGS84 decimal degrees. Same source as lat.</t>
        </is>
      </c>
    </row>
    <row r="181">
      <c r="A181" t="inlineStr">
        <is>
          <t>pantry_control</t>
        </is>
      </c>
      <c r="B181" s="13" t="inlineStr">
        <is>
          <t>operator (the operator's own page or listing says it supplies coffee, drinks or snacks), tenant, or unknown.</t>
        </is>
      </c>
    </row>
    <row r="182">
      <c r="A182" t="inlineStr">
        <is>
          <t>pantry_source_url</t>
        </is>
      </c>
      <c r="B182" s="13" t="inlineStr">
        <is>
          <t>Source for pantry_control.</t>
        </is>
      </c>
    </row>
    <row r="183">
      <c r="A183" t="inlineStr">
        <is>
          <t>source_url</t>
        </is>
      </c>
      <c r="B183" s="13" t="inlineStr">
        <is>
          <t>Main source that places the row at the address.</t>
        </is>
      </c>
    </row>
    <row r="184">
      <c r="A184" t="inlineStr">
        <is>
          <t>source_date</t>
        </is>
      </c>
      <c r="B184" s="13" t="inlineStr">
        <is>
          <t>Publication date of the source, or the date it was opened for an undated live page (YYYY-MM-DD or YYYY-MM).</t>
        </is>
      </c>
    </row>
    <row r="185">
      <c r="A185" t="inlineStr">
        <is>
          <t>confidence</t>
        </is>
      </c>
      <c r="B185" s="13" t="inlineStr">
        <is>
          <t>high = a source under 24 months old (dated on or after 2024-10-24) plus one independent confirmation from a different publisher; medium = one source under 24 months, or recent sources that disagree on move timing; low = only older sources, conflicting sources, or a map or broker listing alone. See the scale below.</t>
        </is>
      </c>
    </row>
    <row r="186">
      <c r="A186" t="inlineStr">
        <is>
          <t>notes</t>
        </is>
      </c>
      <c r="B186" s="13" t="inlineStr">
        <is>
          <t>Free text from research, then any assembly change after ' | Assembly 2026-10-24:'. Each fact names its source.</t>
        </is>
      </c>
    </row>
    <row r="187">
      <c r="A187" t="inlineStr">
        <is>
          <t>in_boundary</t>
        </is>
      </c>
      <c r="B187" s="13" t="inlineStr">
        <is>
          <t>Y if the pin is inside boundary.geojson, else N (computed, not judged).</t>
        </is>
      </c>
    </row>
    <row r="188">
      <c r="A188" t="inlineStr">
        <is>
          <t>blocks_outside</t>
        </is>
      </c>
      <c r="B188" s="13" t="inlineStr">
        <is>
          <t>Walking distance from the boundary on the street grid, in street blocks (79.4 m each); 0 inside. Crosstown metres count at their length, so the Sixth-to-Fifth block counts as about 3.9.</t>
        </is>
      </c>
    </row>
    <row r="189">
      <c r="A189" t="inlineStr">
        <is>
          <t>status</t>
        </is>
      </c>
      <c r="B189" s="13" t="inlineStr">
        <is>
          <t>open, open-unverified, unverified (only a legacy page), or possibly-closed (sources conflict).</t>
        </is>
      </c>
    </row>
    <row r="190">
      <c r="A190" t="inlineStr">
        <is>
          <t>floors</t>
        </is>
      </c>
      <c r="B190" s="13" t="inlineStr">
        <is>
          <t>Floors the operator holds, as sourced.</t>
        </is>
      </c>
    </row>
    <row r="191">
      <c r="A191" t="inlineStr">
        <is>
          <t>building_id</t>
        </is>
      </c>
      <c r="B191" s="13" t="inlineStr"/>
    </row>
    <row r="192">
      <c r="A192" t="inlineStr">
        <is>
          <t>bbl</t>
        </is>
      </c>
      <c r="B192" s="13" t="inlineStr">
        <is>
          <t>NYC borough-block-lot tax lot number from the geocoder; the key used to merge buildings.</t>
        </is>
      </c>
    </row>
    <row r="193">
      <c r="A193" t="inlineStr">
        <is>
          <t>tenant_company_ids</t>
        </is>
      </c>
      <c r="B193" s="13" t="inlineStr">
        <is>
          <t>B-C-### of companies flagged as inside this site.</t>
        </is>
      </c>
    </row>
    <row r="194">
      <c r="A194" t="inlineStr">
        <is>
          <t>second_source_url</t>
        </is>
      </c>
      <c r="B194" s="13" t="inlineStr">
        <is>
          <t>Independent confirmation where one exists (new rows only; older rows cite theirs in notes).</t>
        </is>
      </c>
    </row>
    <row r="195">
      <c r="A195" t="inlineStr">
        <is>
          <t>exclusive_food_contract_signal</t>
        </is>
      </c>
      <c r="B195" s="13" t="inlineStr">
        <is>
          <t>Any named food or drink supplier or in-house cafe that may limit outside placements. No exclusive contract was found anywhere.</t>
        </is>
      </c>
    </row>
    <row r="196">
      <c r="A196" t="inlineStr">
        <is>
          <t>research_id</t>
        </is>
      </c>
      <c r="B196" s="13" t="inlineStr">
        <is>
          <t>The places researcher's temporary ID (W-##), kept for traceability.</t>
        </is>
      </c>
    </row>
    <row r="197">
      <c r="A197" t="inlineStr">
        <is>
          <t>found_date</t>
        </is>
      </c>
      <c r="B197" s="13" t="inlineStr">
        <is>
          <t>Date the row was first found (YYYY-MM-DD).</t>
        </is>
      </c>
    </row>
    <row r="199">
      <c r="A199" s="14" t="inlineStr">
        <is>
          <t>Retailers</t>
        </is>
      </c>
    </row>
    <row r="200">
      <c r="A200" t="inlineStr">
        <is>
          <t>retailer_id</t>
        </is>
      </c>
      <c r="B200" s="13" t="inlineStr">
        <is>
          <t>Stable ID, B-R-###.</t>
        </is>
      </c>
    </row>
    <row r="201">
      <c r="A201" t="inlineStr">
        <is>
          <t>retailer_name</t>
        </is>
      </c>
      <c r="B201" s="13" t="inlineStr">
        <is>
          <t>Store name.</t>
        </is>
      </c>
    </row>
    <row r="202">
      <c r="A202" t="inlineStr">
        <is>
          <t>street_address</t>
        </is>
      </c>
      <c r="B202" s="13" t="inlineStr">
        <is>
          <t>Business street address as the source gives it.</t>
        </is>
      </c>
    </row>
    <row r="203">
      <c r="A203" t="inlineStr">
        <is>
          <t>lat</t>
        </is>
      </c>
      <c r="B203" s="13" t="inlineStr">
        <is>
          <t>Latitude, WGS84 decimal degrees. From the project geocoder (_shared/geocode.py: NYC Planning GeoSearch, the city's own address database). A pin that landed on the far side of its tax lot was moved to the addressed block face; that row's notes say so.</t>
        </is>
      </c>
    </row>
    <row r="204">
      <c r="A204" t="inlineStr">
        <is>
          <t>lon</t>
        </is>
      </c>
      <c r="B204" s="13" t="inlineStr">
        <is>
          <t>Longitude, WGS84 decimal degrees. Same source as lat.</t>
        </is>
      </c>
    </row>
    <row r="205">
      <c r="A205" t="inlineStr">
        <is>
          <t>inside_boundary</t>
        </is>
      </c>
      <c r="B205" s="13" t="inlineStr">
        <is>
          <t>Y if the store's pin is inside the boundary.</t>
        </is>
      </c>
    </row>
    <row r="206">
      <c r="A206" t="inlineStr">
        <is>
          <t>blocks_outside</t>
        </is>
      </c>
      <c r="B206" s="13" t="inlineStr">
        <is>
          <t>Whole street blocks outside the boundary on the walking grid (0 to 10). 'Ten blocks' = ten street-block lengths, 794 m, of grid walking from the nearest boundary edge.</t>
        </is>
      </c>
    </row>
    <row r="207">
      <c r="A207" t="inlineStr">
        <is>
          <t>shelf_set</t>
        </is>
      </c>
      <c r="B207" s="13" t="inlineStr">
        <is>
          <t>The store format and the shelf set relevant to emerging brands, as described by the store or research. Not a brand list.</t>
        </is>
      </c>
    </row>
    <row r="208">
      <c r="A208" t="inlineStr">
        <is>
          <t>source_url</t>
        </is>
      </c>
      <c r="B208" s="13" t="inlineStr">
        <is>
          <t>Main source that places the row at the address.</t>
        </is>
      </c>
    </row>
    <row r="209">
      <c r="A209" t="inlineStr">
        <is>
          <t>source_date</t>
        </is>
      </c>
      <c r="B209" s="13" t="inlineStr">
        <is>
          <t>Publication date of the source, or the date it was opened for an undated live page (YYYY-MM-DD or YYYY-MM).</t>
        </is>
      </c>
    </row>
    <row r="210">
      <c r="A210" t="inlineStr">
        <is>
          <t>confidence</t>
        </is>
      </c>
      <c r="B210" s="13" t="inlineStr">
        <is>
          <t>high = a source under 24 months old (dated on or after 2024-10-24) plus one independent confirmation from a different publisher; medium = one source under 24 months, or recent sources that disagree on move timing; low = only older sources, conflicting sources, or a map or broker listing alone. See the scale below.</t>
        </is>
      </c>
    </row>
    <row r="211">
      <c r="A211" t="inlineStr">
        <is>
          <t>notes</t>
        </is>
      </c>
      <c r="B211" s="13" t="inlineStr">
        <is>
          <t>Free text from research, then any assembly change after ' | Assembly 2026-10-24:'. Each fact names its source.</t>
        </is>
      </c>
    </row>
    <row r="212">
      <c r="A212" t="inlineStr">
        <is>
          <t>buy_path_tier</t>
        </is>
      </c>
      <c r="B212" s="13" t="inlineStr">
        <is>
          <t>A = documented natural, local or emerging set; B = specialty, gourmet or natural format, emerging set not yet verified; C = mass, conventional or private label (a landmark or weak buy path).</t>
        </is>
      </c>
    </row>
    <row r="213">
      <c r="A213" t="inlineStr">
        <is>
          <t>public_map</t>
        </is>
      </c>
      <c r="B213" s="13" t="inlineStr">
        <is>
          <t>Y if the store is on the public map: tier A or B, high or medium confidence, and not a niche or deli format.</t>
        </is>
      </c>
    </row>
    <row r="214">
      <c r="A214" t="inlineStr">
        <is>
          <t>public_map_reason</t>
        </is>
      </c>
      <c r="B214" s="13" t="inlineStr">
        <is>
          <t>Why a store is not on the public map.</t>
        </is>
      </c>
    </row>
    <row r="215">
      <c r="A215" t="inlineStr">
        <is>
          <t>candidates_within_5_blocks</t>
        </is>
      </c>
      <c r="B215" s="13" t="inlineStr">
        <is>
          <t>Candidate companies in Buildings-tab buildings within five blocks of grid walking.</t>
        </is>
      </c>
    </row>
    <row r="216">
      <c r="A216" t="inlineStr">
        <is>
          <t>nearest_candidate_building_id</t>
        </is>
      </c>
      <c r="B216" s="13" t="inlineStr">
        <is>
          <t>Closest Buildings-tab building with a candidate.</t>
        </is>
      </c>
    </row>
    <row r="217">
      <c r="A217" t="inlineStr">
        <is>
          <t>nearest_candidate_blocks</t>
        </is>
      </c>
      <c r="B217" s="13" t="inlineStr">
        <is>
          <t>Grid walking distance to it, in blocks.</t>
        </is>
      </c>
    </row>
    <row r="218">
      <c r="A218" t="inlineStr">
        <is>
          <t>emerging_brand_evidence</t>
        </is>
      </c>
      <c r="B218" s="13" t="inlineStr">
        <is>
          <t>What the store or chain says about local or emerging products; no store-level brand list was checked.</t>
        </is>
      </c>
    </row>
    <row r="219">
      <c r="A219" t="inlineStr">
        <is>
          <t>operating_evidence_url</t>
        </is>
      </c>
      <c r="B219" s="13" t="inlineStr">
        <is>
          <t>Page showing the store is open.</t>
        </is>
      </c>
    </row>
    <row r="220">
      <c r="A220" t="inlineStr">
        <is>
          <t>bbl</t>
        </is>
      </c>
      <c r="B220" s="13" t="inlineStr">
        <is>
          <t>NYC borough-block-lot tax lot number from the geocoder; the key used to merge buildings.</t>
        </is>
      </c>
    </row>
    <row r="221">
      <c r="A221" t="inlineStr">
        <is>
          <t>research_id</t>
        </is>
      </c>
      <c r="B221" s="13" t="inlineStr">
        <is>
          <t>The places researcher's temporary ID (R-##).</t>
        </is>
      </c>
    </row>
    <row r="222">
      <c r="A222" t="inlineStr">
        <is>
          <t>found_date</t>
        </is>
      </c>
      <c r="B222" s="13" t="inlineStr">
        <is>
          <t>Date the row was first found (YYYY-MM-DD).</t>
        </is>
      </c>
    </row>
    <row r="224">
      <c r="A224" s="14" t="inlineStr">
        <is>
          <t>Route</t>
        </is>
      </c>
    </row>
    <row r="225">
      <c r="A225" t="inlineStr">
        <is>
          <t>stop</t>
        </is>
      </c>
      <c r="B225" s="13" t="inlineStr">
        <is>
          <t>Stop number, in delivery order.</t>
        </is>
      </c>
    </row>
    <row r="226">
      <c r="A226" t="inlineStr">
        <is>
          <t>company_id</t>
        </is>
      </c>
      <c r="B226" s="13" t="inlineStr">
        <is>
          <t>Candidate company at the stop (high confidence, occupied, band known).</t>
        </is>
      </c>
    </row>
    <row r="227">
      <c r="A227" t="inlineStr">
        <is>
          <t>company_name</t>
        </is>
      </c>
      <c r="B227" s="13" t="inlineStr"/>
    </row>
    <row r="228">
      <c r="A228" t="inlineStr">
        <is>
          <t>building_id</t>
        </is>
      </c>
      <c r="B228" s="13" t="inlineStr"/>
    </row>
    <row r="229">
      <c r="A229" t="inlineStr">
        <is>
          <t>street_address</t>
        </is>
      </c>
      <c r="B229" s="13" t="inlineStr">
        <is>
          <t>Business street address as the source gives it.</t>
        </is>
      </c>
    </row>
    <row r="230">
      <c r="A230" t="inlineStr">
        <is>
          <t>floor</t>
        </is>
      </c>
      <c r="B230" s="13" t="inlineStr"/>
    </row>
    <row r="231">
      <c r="A231" t="inlineStr">
        <is>
          <t>lobby_type</t>
        </is>
      </c>
      <c r="B231" s="13" t="inlineStr">
        <is>
          <t>From the Buildings tab. Order rule: walk-up, then unknown, then loading dock, then security desk last.</t>
        </is>
      </c>
    </row>
    <row r="232">
      <c r="A232" t="inlineStr">
        <is>
          <t>headcount_band</t>
        </is>
      </c>
      <c r="B232" s="13" t="inlineStr">
        <is>
          <t>Whole-company band; the onsite Tuesday count comes from intake.</t>
        </is>
      </c>
    </row>
    <row r="233">
      <c r="A233" t="inlineStr">
        <is>
          <t>confidence</t>
        </is>
      </c>
      <c r="B233" s="13" t="inlineStr">
        <is>
          <t>high = a source under 24 months old (dated on or after 2024-10-24) plus one independent confirmation from a different publisher; medium = one source under 24 months, or recent sources that disagree on move timing; low = only older sources, conflicting sources, or a map or broker listing alone. See the scale below.</t>
        </is>
      </c>
    </row>
    <row r="234">
      <c r="A234" t="inlineStr">
        <is>
          <t>lat</t>
        </is>
      </c>
      <c r="B234" s="13" t="inlineStr">
        <is>
          <t>Latitude, WGS84 decimal degrees. From the project geocoder (_shared/geocode.py: NYC Planning GeoSearch, the city's own address database). A pin that landed on the far side of its tax lot was moved to the addressed block face; that row's notes say so.</t>
        </is>
      </c>
    </row>
    <row r="235">
      <c r="A235" t="inlineStr">
        <is>
          <t>lon</t>
        </is>
      </c>
      <c r="B235" s="13" t="inlineStr">
        <is>
          <t>Longitude, WGS84 decimal degrees. Same source as lat.</t>
        </is>
      </c>
    </row>
    <row r="236">
      <c r="A236" t="inlineStr">
        <is>
          <t>leg_metres_est</t>
        </is>
      </c>
      <c r="B236" s="13" t="inlineStr">
        <is>
          <t>Estimated walking metres from the previous stop along the street grid (to the corner and across, never mid-block).</t>
        </is>
      </c>
    </row>
    <row r="237">
      <c r="A237" t="inlineStr">
        <is>
          <t>avenue_crossings</t>
        </is>
      </c>
      <c r="B237" s="13" t="inlineStr">
        <is>
          <t>Avenue or Broadway crossings on the leg.</t>
        </is>
      </c>
    </row>
    <row r="238">
      <c r="A238" t="inlineStr">
        <is>
          <t>street_crossings</t>
        </is>
      </c>
      <c r="B238" s="13" t="inlineStr">
        <is>
          <t>Side-street crossings on the leg.</t>
        </is>
      </c>
    </row>
    <row r="239">
      <c r="A239" t="inlineStr">
        <is>
          <t>same_building</t>
        </is>
      </c>
      <c r="B239" s="13" t="inlineStr">
        <is>
          <t>Y if the stop is in the same building as the previous one (elevator transfer).</t>
        </is>
      </c>
    </row>
    <row r="240">
      <c r="A240" t="inlineStr">
        <is>
          <t>leg_minutes_est</t>
        </is>
      </c>
      <c r="B240" s="13" t="inlineStr">
        <is>
          <t>Estimate: metres / hand-truck pace + crossings x expected signal wait; or the same-building transfer time.</t>
        </is>
      </c>
    </row>
    <row r="241">
      <c r="A241" t="inlineStr">
        <is>
          <t>car_minutes_est</t>
        </is>
      </c>
      <c r="B241" s="13" t="inlineStr">
        <is>
          <t>Estimate for the same leg by car: overhead + metres x detour factor / CBD car speed.</t>
        </is>
      </c>
    </row>
    <row r="242">
      <c r="A242" t="inlineStr">
        <is>
          <t>car_faster</t>
        </is>
      </c>
      <c r="B242" s="13" t="inlineStr">
        <is>
          <t>Y if the car estimate beats the walk estimate.</t>
        </is>
      </c>
    </row>
    <row r="243">
      <c r="A243" t="inlineStr">
        <is>
          <t>stop_minutes</t>
        </is>
      </c>
      <c r="B243" s="13" t="inlineStr">
        <is>
          <t>Minutes at the stop (plan.md: 15).</t>
        </is>
      </c>
    </row>
    <row r="244">
      <c r="A244" t="inlineStr">
        <is>
          <t>arrive_est</t>
        </is>
      </c>
      <c r="B244" s="13" t="inlineStr">
        <is>
          <t>Estimated arrival (start 08:00 at stop 1).</t>
        </is>
      </c>
    </row>
    <row r="245">
      <c r="A245" t="inlineStr">
        <is>
          <t>depart_est</t>
        </is>
      </c>
      <c r="B245" s="13" t="inlineStr">
        <is>
          <t>Estimated departure.</t>
        </is>
      </c>
    </row>
    <row r="246">
      <c r="A246" t="inlineStr">
        <is>
          <t>receiving_window_from_intake</t>
        </is>
      </c>
      <c r="B246" s="13" t="inlineStr">
        <is>
          <t>Blank until intake: the office's receiving window. Re-order stops so every arrival falls inside its window.</t>
        </is>
      </c>
    </row>
    <row r="247">
      <c r="A247" t="inlineStr">
        <is>
          <t>label</t>
        </is>
      </c>
      <c r="B247" s="13" t="inlineStr">
        <is>
          <t>Every time on this tab is an estimate.</t>
        </is>
      </c>
    </row>
    <row r="249">
      <c r="A249" s="14" t="inlineStr">
        <is>
          <t>Walk</t>
        </is>
      </c>
    </row>
    <row r="250">
      <c r="A250" t="inlineStr">
        <is>
          <t>session</t>
        </is>
      </c>
      <c r="B250" s="13" t="inlineStr">
        <is>
          <t>90-minute session number. Sessions 1 to 8 cover everything inside the boundary; 9 to 11 cover stores outside it.</t>
        </is>
      </c>
    </row>
    <row r="251">
      <c r="A251" t="inlineStr">
        <is>
          <t>phase</t>
        </is>
      </c>
      <c r="B251" s="13" t="inlineStr">
        <is>
          <t>core (inside the boundary) or outer retailers (within ten blocks).</t>
        </is>
      </c>
    </row>
    <row r="252">
      <c r="A252" t="inlineStr">
        <is>
          <t>order</t>
        </is>
      </c>
      <c r="B252" s="13" t="inlineStr">
        <is>
          <t>Visit order across the whole walk.</t>
        </is>
      </c>
    </row>
    <row r="253">
      <c r="A253" t="inlineStr">
        <is>
          <t>stops_here</t>
        </is>
      </c>
      <c r="B253" s="13" t="inlineStr">
        <is>
          <t>Every item at this address: buildings, coworking sites, stores.</t>
        </is>
      </c>
    </row>
    <row r="254">
      <c r="A254" t="inlineStr">
        <is>
          <t>stop_types</t>
        </is>
      </c>
      <c r="B254" s="13" t="inlineStr">
        <is>
          <t>building, coworking, retailer.</t>
        </is>
      </c>
    </row>
    <row r="255">
      <c r="A255" t="inlineStr">
        <is>
          <t>street_address</t>
        </is>
      </c>
      <c r="B255" s="13" t="inlineStr">
        <is>
          <t>Business street address as the source gives it.</t>
        </is>
      </c>
    </row>
    <row r="256">
      <c r="A256" t="inlineStr">
        <is>
          <t>lat</t>
        </is>
      </c>
      <c r="B256" s="13" t="inlineStr">
        <is>
          <t>Latitude, WGS84 decimal degrees. From the project geocoder (_shared/geocode.py: NYC Planning GeoSearch, the city's own address database). A pin that landed on the far side of its tax lot was moved to the addressed block face; that row's notes say so.</t>
        </is>
      </c>
    </row>
    <row r="257">
      <c r="A257" t="inlineStr">
        <is>
          <t>lon</t>
        </is>
      </c>
      <c r="B257" s="13" t="inlineStr">
        <is>
          <t>Longitude, WGS84 decimal degrees. Same source as lat.</t>
        </is>
      </c>
    </row>
    <row r="258">
      <c r="A258" t="inlineStr">
        <is>
          <t>walk_minutes_from_previous_est</t>
        </is>
      </c>
      <c r="B258" s="13" t="inlineStr">
        <is>
          <t>Estimate at 73 m/min plus signal waits; 0 at the first stop of a session.</t>
        </is>
      </c>
    </row>
    <row r="259">
      <c r="A259" t="inlineStr">
        <is>
          <t>dwell_minutes_est</t>
        </is>
      </c>
      <c r="B259" s="13" t="inlineStr">
        <is>
          <t>Estimate: 3 min per building (+0.5 per extra candidate, max 6), 3 per coworking site, 10 per tier A store, 6 per tier B, 3 per tier C; +1 per extra item at the same address.</t>
        </is>
      </c>
    </row>
    <row r="260">
      <c r="A260" t="inlineStr">
        <is>
          <t>cumulative_minutes_est</t>
        </is>
      </c>
      <c r="B260" s="13" t="inlineStr">
        <is>
          <t>Running total within the session.</t>
        </is>
      </c>
    </row>
    <row r="261">
      <c r="A261" t="inlineStr">
        <is>
          <t>session_minutes_est</t>
        </is>
      </c>
      <c r="B261" s="13" t="inlineStr">
        <is>
          <t>Total for the session.</t>
        </is>
      </c>
    </row>
    <row r="262">
      <c r="A262" t="inlineStr">
        <is>
          <t>start_point</t>
        </is>
      </c>
      <c r="B262" s="13" t="inlineStr">
        <is>
          <t>Nearest subway station to the first stop (MTA Subway Stations, data.ny.gov 39hk-dx4f).</t>
        </is>
      </c>
    </row>
    <row r="263">
      <c r="A263" t="inlineStr">
        <is>
          <t>end_point</t>
        </is>
      </c>
      <c r="B263" s="13" t="inlineStr">
        <is>
          <t>Nearest subway station to the last stop.</t>
        </is>
      </c>
    </row>
    <row r="264">
      <c r="A264" t="inlineStr">
        <is>
          <t>verify_checklist</t>
        </is>
      </c>
      <c r="B264" s="13" t="inlineStr">
        <is>
          <t>What to check and photograph here.</t>
        </is>
      </c>
    </row>
    <row r="265">
      <c r="A265" t="inlineStr">
        <is>
          <t>observed_lobby_type</t>
        </is>
      </c>
      <c r="B265" s="13" t="inlineStr">
        <is>
          <t>Founder fills on foot.</t>
        </is>
      </c>
    </row>
    <row r="266">
      <c r="A266" t="inlineStr">
        <is>
          <t>security_desk</t>
        </is>
      </c>
      <c r="B266" s="13" t="inlineStr">
        <is>
          <t>Founder fills on foot (Y/N; staffed at 8 am?).</t>
        </is>
      </c>
    </row>
    <row r="267">
      <c r="A267" t="inlineStr">
        <is>
          <t>loading_dock_hours</t>
        </is>
      </c>
      <c r="B267" s="13" t="inlineStr">
        <is>
          <t>Founder fills on foot (posted hours).</t>
        </is>
      </c>
    </row>
    <row r="268">
      <c r="A268" t="inlineStr">
        <is>
          <t>coi_signage</t>
        </is>
      </c>
      <c r="B268" s="13" t="inlineStr">
        <is>
          <t>Founder fills on foot (any insurance or vendor signage).</t>
        </is>
      </c>
    </row>
    <row r="269">
      <c r="A269" t="inlineStr">
        <is>
          <t>receiving_hours</t>
        </is>
      </c>
      <c r="B269" s="13" t="inlineStr">
        <is>
          <t>Founder fills on foot.</t>
        </is>
      </c>
    </row>
    <row r="270">
      <c r="A270" t="inlineStr">
        <is>
          <t>emerging_set_photo_taken</t>
        </is>
      </c>
      <c r="B270" s="13" t="inlineStr">
        <is>
          <t>Founder fills on foot (stores).</t>
        </is>
      </c>
    </row>
    <row r="271">
      <c r="A271" t="inlineStr">
        <is>
          <t>founder_notes</t>
        </is>
      </c>
      <c r="B271" s="13" t="inlineStr">
        <is>
          <t>Founder fills on foot.</t>
        </is>
      </c>
    </row>
    <row r="273">
      <c r="A273" s="14" t="inlineStr">
        <is>
          <t>Near-miss</t>
        </is>
      </c>
    </row>
    <row r="274">
      <c r="A274" t="inlineStr">
        <is>
          <t>company_id</t>
        </is>
      </c>
      <c r="B274" s="13" t="inlineStr">
        <is>
          <t>Stable ID, B-C-### (CONTRACTS 6.1). Shared numbering with Near-miss.</t>
        </is>
      </c>
    </row>
    <row r="275">
      <c r="A275" t="inlineStr">
        <is>
          <t>company_name</t>
        </is>
      </c>
      <c r="B275" s="13" t="inlineStr">
        <is>
          <t>Company name as the source gives it; a merged row names both entities.</t>
        </is>
      </c>
    </row>
    <row r="276">
      <c r="A276" t="inlineStr">
        <is>
          <t>website</t>
        </is>
      </c>
      <c r="B276" s="13" t="inlineStr">
        <is>
          <t>Company website, only if it was opened and matched the company; blank if unverified.</t>
        </is>
      </c>
    </row>
    <row r="277">
      <c r="A277" t="inlineStr">
        <is>
          <t>industry</t>
        </is>
      </c>
      <c r="B277" s="13" t="inlineStr">
        <is>
          <t>Short industry label from the research slice.</t>
        </is>
      </c>
    </row>
    <row r="278">
      <c r="A278" t="inlineStr">
        <is>
          <t>building_id</t>
        </is>
      </c>
      <c r="B278" s="13" t="inlineStr">
        <is>
          <t>B-B-### of the building row in the Buildings tab; blank if the building is not in that tab (near-miss rows outside the line).</t>
        </is>
      </c>
    </row>
    <row r="279">
      <c r="A279" t="inlineStr">
        <is>
          <t>street_address</t>
        </is>
      </c>
      <c r="B279" s="13" t="inlineStr">
        <is>
          <t>Business street address as the source gives it.</t>
        </is>
      </c>
    </row>
    <row r="280">
      <c r="A280" t="inlineStr">
        <is>
          <t>floor</t>
        </is>
      </c>
      <c r="B280" s="13" t="inlineStr">
        <is>
          <t>Floor or suite as sourced; 'unknown' or blank when no source names it.</t>
        </is>
      </c>
    </row>
    <row r="281">
      <c r="A281" t="inlineStr">
        <is>
          <t>zip</t>
        </is>
      </c>
      <c r="B281" s="13" t="inlineStr">
        <is>
          <t>ZIP code from a source for the building, else from NYC PLUTO (2026 v2) for the tax lot.</t>
        </is>
      </c>
    </row>
    <row r="282">
      <c r="A282" t="inlineStr">
        <is>
          <t>lat</t>
        </is>
      </c>
      <c r="B282" s="13" t="inlineStr">
        <is>
          <t>Latitude, WGS84 decimal degrees. From the project geocoder (_shared/geocode.py: NYC Planning GeoSearch, the city's own address database). A pin that landed on the far side of its tax lot was moved to the addressed block face; that row's notes say so.</t>
        </is>
      </c>
    </row>
    <row r="283">
      <c r="A283" t="inlineStr">
        <is>
          <t>lon</t>
        </is>
      </c>
      <c r="B283" s="13" t="inlineStr">
        <is>
          <t>Longitude, WGS84 decimal degrees. Same source as lat.</t>
        </is>
      </c>
    </row>
    <row r="284">
      <c r="A284" t="inlineStr">
        <is>
          <t>in_boundary</t>
        </is>
      </c>
      <c r="B284" s="13" t="inlineStr">
        <is>
          <t>Y if the pin is inside boundary.geojson, else N (computed, not judged).</t>
        </is>
      </c>
    </row>
    <row r="285">
      <c r="A285" t="inlineStr">
        <is>
          <t>headcount_band</t>
        </is>
      </c>
      <c r="B285" s="13" t="inlineStr">
        <is>
          <t>40-75, 76-150, 151-250, 251-500, under-40, over-500 or unknown. From a sourced count only (mostly Built In 'Total Employees'); never estimated from floor area. Not an onsite or Tuesday count.</t>
        </is>
      </c>
    </row>
    <row r="286">
      <c r="A286" t="inlineStr">
        <is>
          <t>headcount_scope</t>
        </is>
      </c>
      <c r="B286" s="13" t="inlineStr">
        <is>
          <t>whole-company (the count covers the whole firm), nyc-office (the source counts the New York office), or unknown.</t>
        </is>
      </c>
    </row>
    <row r="287">
      <c r="A287" t="inlineStr">
        <is>
          <t>headcount_source_url</t>
        </is>
      </c>
      <c r="B287" s="13" t="inlineStr">
        <is>
          <t>Where the count came from.</t>
        </is>
      </c>
    </row>
    <row r="288">
      <c r="A288" t="inlineStr">
        <is>
          <t>address_source_url</t>
        </is>
      </c>
      <c r="B288" s="13" t="inlineStr">
        <is>
          <t>Source that places the company at the address.</t>
        </is>
      </c>
    </row>
    <row r="289">
      <c r="A289" t="inlineStr">
        <is>
          <t>address_source_date</t>
        </is>
      </c>
      <c r="B289" s="13" t="inlineStr">
        <is>
          <t>Date of that source (publication date, or the date a live page was opened).</t>
        </is>
      </c>
    </row>
    <row r="290">
      <c r="A290" t="inlineStr">
        <is>
          <t>second_source_url</t>
        </is>
      </c>
      <c r="B290" s="13" t="inlineStr">
        <is>
          <t>Independent confirmation, if any.</t>
        </is>
      </c>
    </row>
    <row r="291">
      <c r="A291" t="inlineStr">
        <is>
          <t>confidence</t>
        </is>
      </c>
      <c r="B291" s="13" t="inlineStr">
        <is>
          <t>high = a source under 24 months old (dated on or after 2024-10-24) plus one independent confirmation from a different publisher; medium = one source under 24 months, or recent sources that disagree on move timing; low = only older sources, conflicting sources, or a map or broker listing alone. See the scale below.</t>
        </is>
      </c>
    </row>
    <row r="292">
      <c r="A292" t="inlineStr">
        <is>
          <t>in_coworking</t>
        </is>
      </c>
      <c r="B292" s="13" t="inlineStr">
        <is>
          <t>Y if the company is inside a coworking or serviced-office space (listed as a resident, or on a floor the operator holds), else N. Y rows are excluded as offices.</t>
        </is>
      </c>
    </row>
    <row r="293">
      <c r="A293" t="inlineStr">
        <is>
          <t>coworking_id</t>
        </is>
      </c>
      <c r="B293" s="13" t="inlineStr">
        <is>
          <t>B-W-### of the coworking site the company is inside (only when in_coworking = Y). For a company that merely shares a building with a coworking site, see coworking_check and the building's coworking_ids.</t>
        </is>
      </c>
    </row>
    <row r="294">
      <c r="A294" t="inlineStr">
        <is>
          <t>linkedin_company_url</t>
        </is>
      </c>
      <c r="B294" s="13" t="inlineStr">
        <is>
          <t>Blank on every row: LinkedIn was not opened (blocked and off-limits). Founder or workstream A to fill.</t>
        </is>
      </c>
    </row>
    <row r="295">
      <c r="A295" t="inlineStr">
        <is>
          <t>notes</t>
        </is>
      </c>
      <c r="B295" s="13" t="inlineStr">
        <is>
          <t>Free text from research, then any assembly change after ' | Assembly 2026-10-24:'. Each fact names its source.</t>
        </is>
      </c>
    </row>
    <row r="296">
      <c r="A296" t="inlineStr">
        <is>
          <t>found_date</t>
        </is>
      </c>
      <c r="B296" s="13" t="inlineStr">
        <is>
          <t>Date the row was first found (YYYY-MM-DD).</t>
        </is>
      </c>
    </row>
    <row r="297">
      <c r="A297" t="inlineStr">
        <is>
          <t>building_lobby_type</t>
        </is>
      </c>
      <c r="B297" s="13" t="inlineStr">
        <is>
          <t>The building's lobby_type (Buildings tab), copied here so the Clay import needs no join.</t>
        </is>
      </c>
    </row>
    <row r="298">
      <c r="A298" t="inlineStr">
        <is>
          <t>candidate_status</t>
        </is>
      </c>
      <c r="B298" s="13" t="inlineStr">
        <is>
          <t>candidate (in the boundary, 40-500 or unknown band, not in coworking); excluded-coworking; excluded-not-office (for example a mailbox suite); near-miss-over-500; near-miss-outside.</t>
        </is>
      </c>
    </row>
    <row r="299">
      <c r="A299" t="inlineStr">
        <is>
          <t>lease_status</t>
        </is>
      </c>
      <c r="B299" s="13" t="inlineStr">
        <is>
          <t>occupied (a source shows the company in the space); occupancy-unconfirmed (lease press only); signed-not-occupied (a source says the move is ahead, or the company's own site still shows its old address); moving-out (a newer source says it signed elsewhere).</t>
        </is>
      </c>
    </row>
    <row r="300">
      <c r="A300" t="inlineStr">
        <is>
          <t>move_in_date</t>
        </is>
      </c>
      <c r="B300" s="13" t="inlineStr">
        <is>
          <t>For signed-not-occupied rows: the move-in date or season if a source states it, else 'unknown'.</t>
        </is>
      </c>
    </row>
    <row r="301">
      <c r="A301" t="inlineStr">
        <is>
          <t>headcount_source_date</t>
        </is>
      </c>
      <c r="B301" s="13" t="inlineStr">
        <is>
          <t>Date of the headcount source.</t>
        </is>
      </c>
    </row>
    <row r="302">
      <c r="A302" t="inlineStr">
        <is>
          <t>headcount_unknown_reason</t>
        </is>
      </c>
      <c r="B302" s="13" t="inlineStr">
        <is>
          <t>Why the band is unknown, for every unknown row.</t>
        </is>
      </c>
    </row>
    <row r="303">
      <c r="A303" t="inlineStr">
        <is>
          <t>address_source_type</t>
        </is>
      </c>
      <c r="B303" s="13" t="inlineStr">
        <is>
          <t>company-site, leasing-press, builtin, building-site, press-release, wikipedia or other.</t>
        </is>
      </c>
    </row>
    <row r="304">
      <c r="A304" t="inlineStr">
        <is>
          <t>second_source_date</t>
        </is>
      </c>
      <c r="B304" s="13" t="inlineStr">
        <is>
          <t>Date of the second source.</t>
        </is>
      </c>
    </row>
    <row r="305">
      <c r="A305" t="inlineStr">
        <is>
          <t>coworking_check</t>
        </is>
      </c>
      <c r="B305" s="13" t="inlineStr">
        <is>
          <t>Result of the address-and-floor cross-check against every coworking site: no-coworking-in-building, different-floor, direct-lease-documented, floor-unknown, same-floor or listed-as-resident.</t>
        </is>
      </c>
    </row>
    <row r="306">
      <c r="A306" t="inlineStr">
        <is>
          <t>bbl</t>
        </is>
      </c>
      <c r="B306" s="13" t="inlineStr">
        <is>
          <t>NYC borough-block-lot tax lot number from the geocoder; the key used to merge buildings.</t>
        </is>
      </c>
    </row>
    <row r="307">
      <c r="A307" t="inlineStr">
        <is>
          <t>blocks_outside</t>
        </is>
      </c>
      <c r="B307" s="13" t="inlineStr">
        <is>
          <t>Walking distance from the boundary on the street grid, in street blocks (79.4 m each); 0 inside. Crosstown metres count at their length, so the Sixth-to-Fifth block counts as about 3.9.</t>
        </is>
      </c>
    </row>
    <row r="308">
      <c r="A308" t="inlineStr">
        <is>
          <t>leased_sf_mentioned</t>
        </is>
      </c>
      <c r="B308" s="13" t="inlineStr">
        <is>
          <t>Office sizes (square feet) that appear in the sourced notes. A fact from the source, not a headcount.</t>
        </is>
      </c>
    </row>
    <row r="309">
      <c r="A309" t="inlineStr">
        <is>
          <t>research_slice</t>
        </is>
      </c>
      <c r="B309" s="13" t="inlineStr">
        <is>
          <t>Which research slice found the row (S1 14th-18th St, S2 18th-22nd, S3 22nd-26th, S4 26th-30th; two values if merged).</t>
        </is>
      </c>
    </row>
    <row r="310">
      <c r="A310" t="inlineStr">
        <is>
          <t>near_miss_reason</t>
        </is>
      </c>
      <c r="B310" s="13" t="inlineStr">
        <is>
          <t>Near-miss tab only: why the row is outside the candidate list.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2026-10-24T01:53:14Z</dcterms:created>
  <dcterms:modified xmlns:dcterms="http://purl.org/dc/terms/" xmlns:xsi="http://www.w3.org/2001/XMLSchema-instance" xsi:type="dcterms:W3CDTF">2026-10-24T01:53:14Z</dcterms:modified>
</cp:coreProperties>
</file>