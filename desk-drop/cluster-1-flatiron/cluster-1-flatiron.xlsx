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Buildings" sheetId="2" state="visible" r:id="rId2"/>
    <sheet xmlns:r="http://schemas.openxmlformats.org/officeDocument/2006/relationships" name="Coworking" sheetId="3" state="visible" r:id="rId3"/>
    <sheet xmlns:r="http://schemas.openxmlformats.org/officeDocument/2006/relationships" name="Retailers" sheetId="4" state="visible" r:id="rId4"/>
    <sheet xmlns:r="http://schemas.openxmlformats.org/officeDocument/2006/relationships" name="Route" sheetId="5" state="visible" r:id="rId5"/>
    <sheet xmlns:r="http://schemas.openxmlformats.org/officeDocument/2006/relationships" name="Walk" sheetId="6" state="visible" r:id="rId6"/>
    <sheet xmlns:r="http://schemas.openxmlformats.org/officeDocument/2006/relationships" name="Near-miss" sheetId="7" state="visible" r:id="rId7"/>
    <sheet xmlns:r="http://schemas.openxmlformats.org/officeDocument/2006/relationships" name="Method" sheetId="8" state="visible" r:id="rId8"/>
  </sheets>
  <definedNames>
    <definedName name="company_name">Method!$B$3</definedName>
    <definedName name="tagline">Method!$B$4</definedName>
    <definedName name="_xlnm._FilterDatabase" localSheetId="0" hidden="1">'Companies'!$A$1:$AT$169</definedName>
    <definedName name="_xlnm._FilterDatabase" localSheetId="1" hidden="1">'Buildings'!$A$1:$AB$82</definedName>
    <definedName name="_xlnm._FilterDatabase" localSheetId="2" hidden="1">'Coworking'!$A$1:$W$33</definedName>
    <definedName name="_xlnm._FilterDatabase" localSheetId="3" hidden="1">'Retailers'!$A$1:$Y$31</definedName>
    <definedName name="_xlnm._FilterDatabase" localSheetId="5" hidden="1">'Walk'!$A$1:$V$117</definedName>
    <definedName name="_xlnm._FilterDatabase" localSheetId="6" hidden="1">'Near-miss'!$A$1:$AX$109</definedName>
  </definedNames>
  <calcPr calcId="124519" fullCalcOnLoad="1"/>
</workbook>
</file>

<file path=xl/styles.xml><?xml version="1.0" encoding="utf-8"?>
<styleSheet xmlns="http://schemas.openxmlformats.org/spreadsheetml/2006/main">
  <numFmts count="1">
    <numFmt numFmtId="164" formatCode="hh:mm"/>
  </numFmts>
  <fonts count="9">
    <font>
      <name val="Calibri"/>
      <family val="2"/>
      <color theme="1"/>
      <sz val="11"/>
      <scheme val="minor"/>
    </font>
    <font>
      <b val="1"/>
      <color rgb="00FFFFFF"/>
    </font>
    <font>
      <color rgb="002E47C9"/>
      <u val="single"/>
    </font>
    <font>
      <b val="1"/>
      <sz val="14"/>
    </font>
    <font>
      <b val="1"/>
      <color rgb="002E47C9"/>
      <sz val="12"/>
    </font>
    <font>
      <i val="1"/>
      <color rgb="006B675F"/>
    </font>
    <font>
      <b val="1"/>
      <color rgb="00B3261E"/>
    </font>
    <font/>
    <font>
      <b val="1"/>
    </font>
  </fonts>
  <fills count="5">
    <fill>
      <patternFill/>
    </fill>
    <fill>
      <patternFill patternType="gray125"/>
    </fill>
    <fill>
      <patternFill patternType="solid">
        <fgColor rgb="001F1D1A"/>
      </patternFill>
    </fill>
    <fill>
      <patternFill patternType="solid">
        <fgColor rgb="00FFF4C2"/>
      </patternFill>
    </fill>
    <fill>
      <patternFill patternType="solid">
        <fgColor rgb="00E9E6DF"/>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0" fillId="0" borderId="0" applyAlignment="1" pivotButton="0" quotePrefix="0" xfId="0">
      <alignment vertical="top"/>
    </xf>
    <xf numFmtId="0" fontId="3" fillId="0" borderId="0" pivotButton="0" quotePrefix="0" xfId="0"/>
    <xf numFmtId="0" fontId="4" fillId="0" borderId="0" pivotButton="0" quotePrefix="0" xfId="0"/>
    <xf numFmtId="0" fontId="0" fillId="3" borderId="0" pivotButton="0" quotePrefix="0" xfId="0"/>
    <xf numFmtId="0" fontId="5" fillId="0" borderId="0" pivotButton="0" quotePrefix="0" xfId="0"/>
    <xf numFmtId="164" fontId="0" fillId="3" borderId="0" pivotButton="0" quotePrefix="0" xfId="0"/>
    <xf numFmtId="164" fontId="0" fillId="0" borderId="0" pivotButton="0" quotePrefix="0" xfId="0"/>
    <xf numFmtId="0" fontId="0" fillId="4"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vertical="top" wrapText="1"/>
    </xf>
    <xf numFmtId="0" fontId="8" fillId="0" borderId="0" pivotButton="0" quotePrefix="0" xfId="0"/>
  </cellXfs>
  <cellStyles count="1">
    <cellStyle name="Normal" xfId="0" builtinId="0" hidden="0"/>
  </cellStyles>
  <dxfs count="2">
    <dxf>
      <fill>
        <patternFill patternType="solid">
          <fgColor rgb="00EFECE6"/>
        </patternFill>
      </fill>
    </dxf>
    <dxf>
      <fill>
        <patternFill patternType="solid">
          <fgColor rgb="00FB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umansecurity.com" TargetMode="External" Id="rId1"/><Relationship Type="http://schemas.openxmlformats.org/officeDocument/2006/relationships/hyperlink" Target="https://www.builtinnyc.com/company/human"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builtinnyc.com/articles/nyc-tech-headquarters-openings-2023" TargetMode="External" Id="rId4"/><Relationship Type="http://schemas.openxmlformats.org/officeDocument/2006/relationships/hyperlink" Target="https://commercialobserver.com/2026/01/perplexity-lease-841-broadway-union-square/" TargetMode="External" Id="rId5"/><Relationship Type="http://schemas.openxmlformats.org/officeDocument/2006/relationships/hyperlink" Target="https://commercialobserver.com/2024/02/tequila-brand-casa-komos-moving-offices-to-10k-sf-at-853-broadway/" TargetMode="External" Id="rId6"/><Relationship Type="http://schemas.openxmlformats.org/officeDocument/2006/relationships/hyperlink" Target="https://www.builtinnyc.com/company/first-look-media" TargetMode="External" Id="rId7"/><Relationship Type="http://schemas.openxmlformats.org/officeDocument/2006/relationships/hyperlink" Target="https://rebusinessonline.com/first-look-media-signs-7896-sf-office-lease-at-853-broadway-in-manhattan/" TargetMode="External" Id="rId8"/><Relationship Type="http://schemas.openxmlformats.org/officeDocument/2006/relationships/hyperlink" Target="https://www.lepercq.com" TargetMode="External" Id="rId9"/><Relationship Type="http://schemas.openxmlformats.org/officeDocument/2006/relationships/hyperlink" Target="https://www.lepercq.com/" TargetMode="External" Id="rId10"/><Relationship Type="http://schemas.openxmlformats.org/officeDocument/2006/relationships/hyperlink" Target="https://nyrej.com/print/54591" TargetMode="External" Id="rId11"/><Relationship Type="http://schemas.openxmlformats.org/officeDocument/2006/relationships/hyperlink" Target="https://www.perplexity.ai" TargetMode="External" Id="rId12"/><Relationship Type="http://schemas.openxmlformats.org/officeDocument/2006/relationships/hyperlink" Target="https://nyrej.com/perplexity-expands-presence-at-841-853-broadway" TargetMode="External" Id="rId13"/><Relationship Type="http://schemas.openxmlformats.org/officeDocument/2006/relationships/hyperlink" Target="https://commercialobserver.com/2026/01/perplexity-lease-841-broadway-union-square/" TargetMode="External" Id="rId14"/><Relationship Type="http://schemas.openxmlformats.org/officeDocument/2006/relationships/hyperlink" Target="https://personetics.com" TargetMode="External" Id="rId15"/><Relationship Type="http://schemas.openxmlformats.org/officeDocument/2006/relationships/hyperlink" Target="https://www.builtinnyc.com/company/personetics" TargetMode="External" Id="rId16"/><Relationship Type="http://schemas.openxmlformats.org/officeDocument/2006/relationships/hyperlink" Target="https://nyrej.com/print/54591" TargetMode="External" Id="rId17"/><Relationship Type="http://schemas.openxmlformats.org/officeDocument/2006/relationships/hyperlink" Target="https://www.ushg.com" TargetMode="External" Id="rId18"/><Relationship Type="http://schemas.openxmlformats.org/officeDocument/2006/relationships/hyperlink" Target="https://www.ushg.com/contact" TargetMode="External" Id="rId19"/><Relationship Type="http://schemas.openxmlformats.org/officeDocument/2006/relationships/hyperlink" Target="https://commercialobserver.com/2018/02/danny-meyers-union-square-hospitality-moving-within-union-square/" TargetMode="External" Id="rId20"/><Relationship Type="http://schemas.openxmlformats.org/officeDocument/2006/relationships/hyperlink" Target="https://www.alpineinvestors.com" TargetMode="External" Id="rId21"/><Relationship Type="http://schemas.openxmlformats.org/officeDocument/2006/relationships/hyperlink" Target="https://www.builtinnyc.com/company/alpine-investors" TargetMode="External" Id="rId22"/><Relationship Type="http://schemas.openxmlformats.org/officeDocument/2006/relationships/hyperlink" Target="https://www.alpineinvestors.com/contact/" TargetMode="External" Id="rId23"/><Relationship Type="http://schemas.openxmlformats.org/officeDocument/2006/relationships/hyperlink" Target="https://commercialobserver.com/2022/11/alpine-investors-lease-zero-irving/" TargetMode="External" Id="rId24"/><Relationship Type="http://schemas.openxmlformats.org/officeDocument/2006/relationships/hyperlink" Target="https://www.senatorlp.com" TargetMode="External" Id="rId25"/><Relationship Type="http://schemas.openxmlformats.org/officeDocument/2006/relationships/hyperlink" Target="https://www.senatorlp.com/" TargetMode="External" Id="rId26"/><Relationship Type="http://schemas.openxmlformats.org/officeDocument/2006/relationships/hyperlink" Target="https://commercialobserver.com/2024/08/senator-investment-group-lease-zero-irving/" TargetMode="External" Id="rId27"/><Relationship Type="http://schemas.openxmlformats.org/officeDocument/2006/relationships/hyperlink" Target="https://www.tryprofound.com" TargetMode="External" Id="rId28"/><Relationship Type="http://schemas.openxmlformats.org/officeDocument/2006/relationships/hyperlink" Target="https://fortune.com/2026/02/24/exclusive-as-ai-threatens-search-profound-raises-96-million-to-help-brands-stay-visible/" TargetMode="External" Id="rId29"/><Relationship Type="http://schemas.openxmlformats.org/officeDocument/2006/relationships/hyperlink" Target="https://commercialobserver.com/2026/05/profound-lease-gfp-5-9-union-square-west/" TargetMode="External" Id="rId30"/><Relationship Type="http://schemas.openxmlformats.org/officeDocument/2006/relationships/hyperlink" Target="https://www.rockwellgroup.com" TargetMode="External" Id="rId31"/><Relationship Type="http://schemas.openxmlformats.org/officeDocument/2006/relationships/hyperlink" Target="https://www.rockwellgroup.com/about" TargetMode="External" Id="rId32"/><Relationship Type="http://schemas.openxmlformats.org/officeDocument/2006/relationships/hyperlink" Target="https://www.rockwellgroup.com/about" TargetMode="External" Id="rId33"/><Relationship Type="http://schemas.openxmlformats.org/officeDocument/2006/relationships/hyperlink" Target="https://commercialobserver.com/2026/05/profound-lease-gfp-5-9-union-square-west/" TargetMode="External" Id="rId34"/><Relationship Type="http://schemas.openxmlformats.org/officeDocument/2006/relationships/hyperlink" Target="https://www.captions.ai" TargetMode="External" Id="rId35"/><Relationship Type="http://schemas.openxmlformats.org/officeDocument/2006/relationships/hyperlink" Target="https://www.builtinnyc.com/company/captions" TargetMode="External" Id="rId36"/><Relationship Type="http://schemas.openxmlformats.org/officeDocument/2006/relationships/hyperlink" Target="https://rebusinessonline.com/?p=393709" TargetMode="External" Id="rId37"/><Relationship Type="http://schemas.openxmlformats.org/officeDocument/2006/relationships/hyperlink" Target="https://www.battery.com" TargetMode="External" Id="rId38"/><Relationship Type="http://schemas.openxmlformats.org/officeDocument/2006/relationships/hyperlink" Target="https://www.battery.com/contact/" TargetMode="External" Id="rId39"/><Relationship Type="http://schemas.openxmlformats.org/officeDocument/2006/relationships/hyperlink" Target="https://commercialobserver.com/2026/08/biohub-fundraise-up-leases-100-104-fifth-avenue/" TargetMode="External" Id="rId40"/><Relationship Type="http://schemas.openxmlformats.org/officeDocument/2006/relationships/hyperlink" Target="https://biohub.org" TargetMode="External" Id="rId41"/><Relationship Type="http://schemas.openxmlformats.org/officeDocument/2006/relationships/hyperlink" Target="https://www.builtinnyc.com/company/biohub" TargetMode="External" Id="rId42"/><Relationship Type="http://schemas.openxmlformats.org/officeDocument/2006/relationships/hyperlink" Target="https://commercialobserver.com/2026/08/biohub-fundraise-up-leases-100-104-fifth-avenue/" TargetMode="External" Id="rId43"/><Relationship Type="http://schemas.openxmlformats.org/officeDocument/2006/relationships/hyperlink" Target="https://fundraiseup.com" TargetMode="External" Id="rId44"/><Relationship Type="http://schemas.openxmlformats.org/officeDocument/2006/relationships/hyperlink" Target="https://commercialobserver.com/2026/08/biohub-fundraise-up-leases-100-104-fifth-avenue/" TargetMode="External" Id="rId45"/><Relationship Type="http://schemas.openxmlformats.org/officeDocument/2006/relationships/hyperlink" Target="https://www.greshamllc.com" TargetMode="External" Id="rId46"/><Relationship Type="http://schemas.openxmlformats.org/officeDocument/2006/relationships/hyperlink" Target="https://www.greshamllc.com/contact" TargetMode="External" Id="rId47"/><Relationship Type="http://schemas.openxmlformats.org/officeDocument/2006/relationships/hyperlink" Target="https://www.mannpublications.com/mannreport/2024/06/10/hedge-fund-manager-relocates-to-19-union-square-west/" TargetMode="External" Id="rId48"/><Relationship Type="http://schemas.openxmlformats.org/officeDocument/2006/relationships/hyperlink" Target="https://thinkingmachines.ai" TargetMode="External" Id="rId49"/><Relationship Type="http://schemas.openxmlformats.org/officeDocument/2006/relationships/hyperlink" Target="https://www.builtinnyc.com/company/thinking-machines-lab" TargetMode="External" Id="rId50"/><Relationship Type="http://schemas.openxmlformats.org/officeDocument/2006/relationships/hyperlink" Target="https://commercialobserver.com/2026/08/thinking-machines-lab-79-fifth-avenue-lease/" TargetMode="External" Id="rId51"/><Relationship Type="http://schemas.openxmlformats.org/officeDocument/2006/relationships/hyperlink" Target="https://www.scalemicrogrids.com" TargetMode="External" Id="rId52"/><Relationship Type="http://schemas.openxmlformats.org/officeDocument/2006/relationships/hyperlink" Target="https://www.builtinnyc.com/company/scale-microgrids" TargetMode="External" Id="rId53"/><Relationship Type="http://schemas.openxmlformats.org/officeDocument/2006/relationships/hyperlink" Target="https://commercialobserver.com/2025/03/faire-lease-26-west-17th-street/" TargetMode="External" Id="rId54"/><Relationship Type="http://schemas.openxmlformats.org/officeDocument/2006/relationships/hyperlink" Target="https://www.scalemicrogrids.com/contact" TargetMode="External" Id="rId55"/><Relationship Type="http://schemas.openxmlformats.org/officeDocument/2006/relationships/hyperlink" Target="https://commercialobserver.com/2026/10/eagle-ai-lease-office-120-fifth-avenue/" TargetMode="External" Id="rId56"/><Relationship Type="http://schemas.openxmlformats.org/officeDocument/2006/relationships/hyperlink" Target="https://commercialobserver.com/2026/10/eagle-ai-lease-office-120-fifth-avenue/" TargetMode="External" Id="rId57"/><Relationship Type="http://schemas.openxmlformats.org/officeDocument/2006/relationships/hyperlink" Target="https://commercialobserver.com/2026/10/eagle-ai-lease-office-120-fifth-avenue/" TargetMode="External" Id="rId58"/><Relationship Type="http://schemas.openxmlformats.org/officeDocument/2006/relationships/hyperlink" Target="https://www.kharon.com" TargetMode="External" Id="rId59"/><Relationship Type="http://schemas.openxmlformats.org/officeDocument/2006/relationships/hyperlink" Target="https://www.builtinnyc.com/company/kharon" TargetMode="External" Id="rId60"/><Relationship Type="http://schemas.openxmlformats.org/officeDocument/2006/relationships/hyperlink" Target="https://commercialobserver.com/2026/10/eagle-ai-lease-office-120-fifth-avenue/" TargetMode="External" Id="rId61"/><Relationship Type="http://schemas.openxmlformats.org/officeDocument/2006/relationships/hyperlink" Target="https://commercialobserver.com/2026/10/eagle-ai-lease-office-120-fifth-avenue/" TargetMode="External" Id="rId62"/><Relationship Type="http://schemas.openxmlformats.org/officeDocument/2006/relationships/hyperlink" Target="https://www.lumapartners.com" TargetMode="External" Id="rId63"/><Relationship Type="http://schemas.openxmlformats.org/officeDocument/2006/relationships/hyperlink" Target="https://www.lumapartners.com/contact" TargetMode="External" Id="rId64"/><Relationship Type="http://schemas.openxmlformats.org/officeDocument/2006/relationships/hyperlink" Target="https://commercialobserver.com/2025/08/prepared-911-101-fifth-avenue/" TargetMode="External" Id="rId65"/><Relationship Type="http://schemas.openxmlformats.org/officeDocument/2006/relationships/hyperlink" Target="https://www.prepared911.com" TargetMode="External" Id="rId66"/><Relationship Type="http://schemas.openxmlformats.org/officeDocument/2006/relationships/hyperlink" Target="https://www.builtinnyc.com/company/prepared" TargetMode="External" Id="rId67"/><Relationship Type="http://schemas.openxmlformats.org/officeDocument/2006/relationships/hyperlink" Target="https://commercialobserver.com/2025/08/prepared-911-101-fifth-avenue/" TargetMode="External" Id="rId68"/><Relationship Type="http://schemas.openxmlformats.org/officeDocument/2006/relationships/hyperlink" Target="https://www.selldorf.com" TargetMode="External" Id="rId69"/><Relationship Type="http://schemas.openxmlformats.org/officeDocument/2006/relationships/hyperlink" Target="https://en.wikipedia.org/wiki/Selldorf_Architects" TargetMode="External" Id="rId70"/><Relationship Type="http://schemas.openxmlformats.org/officeDocument/2006/relationships/hyperlink" Target="https://commercialobserver.com/2026/08/selldorf-architects-renews-14k-sf-860-broadway-lease-for-10-years/" TargetMode="External" Id="rId71"/><Relationship Type="http://schemas.openxmlformats.org/officeDocument/2006/relationships/hyperlink" Target="https://www.connectcre.com/stories/selldorf-architects-signs-long-term-renewal-at-860-broadway/" TargetMode="External" Id="rId72"/><Relationship Type="http://schemas.openxmlformats.org/officeDocument/2006/relationships/hyperlink" Target="https://www.baseten.co" TargetMode="External" Id="rId73"/><Relationship Type="http://schemas.openxmlformats.org/officeDocument/2006/relationships/hyperlink" Target="https://www.builtinnyc.com/company/baseten" TargetMode="External" Id="rId74"/><Relationship Type="http://schemas.openxmlformats.org/officeDocument/2006/relationships/hyperlink" Target="https://www.sec.gov/Archives/edgar/data/1013454/000153949726000704/n5676_x5-424h.htm" TargetMode="External" Id="rId75"/><Relationship Type="http://schemas.openxmlformats.org/officeDocument/2006/relationships/hyperlink" Target="https://cognitiv.ai" TargetMode="External" Id="rId76"/><Relationship Type="http://schemas.openxmlformats.org/officeDocument/2006/relationships/hyperlink" Target="https://www.builtinnyc.com/company/cognitiv" TargetMode="External" Id="rId77"/><Relationship Type="http://schemas.openxmlformats.org/officeDocument/2006/relationships/hyperlink" Target="https://cognitiv.ai/contact/" TargetMode="External" Id="rId78"/><Relationship Type="http://schemas.openxmlformats.org/officeDocument/2006/relationships/hyperlink" Target="https://www.sec.gov/Archives/edgar/data/1013454/000153949726000704/n5676_x5-424h.htm" TargetMode="External" Id="rId79"/><Relationship Type="http://schemas.openxmlformats.org/officeDocument/2006/relationships/hyperlink" Target="https://www.globalstrategygroup.com" TargetMode="External" Id="rId80"/><Relationship Type="http://schemas.openxmlformats.org/officeDocument/2006/relationships/hyperlink" Target="https://www.builtinnyc.com/company/global-strategy-group" TargetMode="External" Id="rId81"/><Relationship Type="http://schemas.openxmlformats.org/officeDocument/2006/relationships/hyperlink" Target="https://www.globalstrategygroup.com/locations/" TargetMode="External" Id="rId82"/><Relationship Type="http://schemas.openxmlformats.org/officeDocument/2006/relationships/hyperlink" Target="https://www.sec.gov/Archives/edgar/data/1013454/000153949726000704/n5676_x5-424h.htm" TargetMode="External" Id="rId83"/><Relationship Type="http://schemas.openxmlformats.org/officeDocument/2006/relationships/hyperlink" Target="https://www.sec.gov/Archives/edgar/data/1013454/000153949726000704/n5676_x5-424h.htm" TargetMode="External" Id="rId84"/><Relationship Type="http://schemas.openxmlformats.org/officeDocument/2006/relationships/hyperlink" Target="https://www.nayya.com" TargetMode="External" Id="rId85"/><Relationship Type="http://schemas.openxmlformats.org/officeDocument/2006/relationships/hyperlink" Target="https://www.builtinnyc.com/company/nayya" TargetMode="External" Id="rId86"/><Relationship Type="http://schemas.openxmlformats.org/officeDocument/2006/relationships/hyperlink" Target="https://www.sec.gov/Archives/edgar/data/1013454/000153949726000704/n5676_x5-424h.htm" TargetMode="External" Id="rId87"/><Relationship Type="http://schemas.openxmlformats.org/officeDocument/2006/relationships/hyperlink" Target="https://www.nyrej.com/sl-green-signs-29-915-s-f-lease-with-nayya-health-at-215-park-ave-south" TargetMode="External" Id="rId88"/><Relationship Type="http://schemas.openxmlformats.org/officeDocument/2006/relationships/hyperlink" Target="https://www.stellarhealth.net" TargetMode="External" Id="rId89"/><Relationship Type="http://schemas.openxmlformats.org/officeDocument/2006/relationships/hyperlink" Target="https://www.builtinnyc.com/company/stellar-health" TargetMode="External" Id="rId90"/><Relationship Type="http://schemas.openxmlformats.org/officeDocument/2006/relationships/hyperlink" Target="https://www.sec.gov/Archives/edgar/data/1013454/000153949726000704/n5676_x5-424h.htm" TargetMode="External" Id="rId91"/><Relationship Type="http://schemas.openxmlformats.org/officeDocument/2006/relationships/hyperlink" Target="https://www.nyrej.com/sl-green-signs-29-915-s-f-lease-with-nayya-health-at-215-park-ave-south" TargetMode="External" Id="rId92"/><Relationship Type="http://schemas.openxmlformats.org/officeDocument/2006/relationships/hyperlink" Target="https://www.sec.gov/Archives/edgar/data/1013454/000153949726000704/n5676_x5-424h.htm" TargetMode="External" Id="rId93"/><Relationship Type="http://schemas.openxmlformats.org/officeDocument/2006/relationships/hyperlink" Target="https://roboflow.com" TargetMode="External" Id="rId94"/><Relationship Type="http://schemas.openxmlformats.org/officeDocument/2006/relationships/hyperlink" Target="https://www.builtinnyc.com/company/roboflow" TargetMode="External" Id="rId95"/><Relationship Type="http://schemas.openxmlformats.org/officeDocument/2006/relationships/hyperlink" Target="https://www.mannpublications.com/mannreport/2025/08/25/moinian-signs-33000sf-across-flatiron-portfolio/" TargetMode="External" Id="rId96"/><Relationship Type="http://schemas.openxmlformats.org/officeDocument/2006/relationships/hyperlink" Target="https://www.dashlane.com" TargetMode="External" Id="rId97"/><Relationship Type="http://schemas.openxmlformats.org/officeDocument/2006/relationships/hyperlink" Target="https://www.builtinnyc.com/company/dashlane" TargetMode="External" Id="rId98"/><Relationship Type="http://schemas.openxmlformats.org/officeDocument/2006/relationships/hyperlink" Target="https://www.dashlane.com/terms" TargetMode="External" Id="rId99"/><Relationship Type="http://schemas.openxmlformats.org/officeDocument/2006/relationships/hyperlink" Target="https://www.builtinnyc.com/company/dashlane/offices" TargetMode="External" Id="rId100"/><Relationship Type="http://schemas.openxmlformats.org/officeDocument/2006/relationships/hyperlink" Target="https://www.seiu32bj.org" TargetMode="External" Id="rId101"/><Relationship Type="http://schemas.openxmlformats.org/officeDocument/2006/relationships/hyperlink" Target="https://www.seiu32bj.org/contact-us/" TargetMode="External" Id="rId102"/><Relationship Type="http://schemas.openxmlformats.org/officeDocument/2006/relationships/hyperlink" Target="https://32bjfunds.org/contact-us/" TargetMode="External" Id="rId103"/><Relationship Type="http://schemas.openxmlformats.org/officeDocument/2006/relationships/hyperlink" Target="https://aterian.io" TargetMode="External" Id="rId104"/><Relationship Type="http://schemas.openxmlformats.org/officeDocument/2006/relationships/hyperlink" Target="https://www.builtinnyc.com/company/aterian" TargetMode="External" Id="rId105"/><Relationship Type="http://schemas.openxmlformats.org/officeDocument/2006/relationships/hyperlink" Target="https://www.builtinnyc.com/company/aterian/offices" TargetMode="External" Id="rId106"/><Relationship Type="http://schemas.openxmlformats.org/officeDocument/2006/relationships/hyperlink" Target="https://commercialobserver.com/2026/06/phia-lease-zar-property-37-east-18th-street/" TargetMode="External" Id="rId107"/><Relationship Type="http://schemas.openxmlformats.org/officeDocument/2006/relationships/hyperlink" Target="https://phia.com" TargetMode="External" Id="rId108"/><Relationship Type="http://schemas.openxmlformats.org/officeDocument/2006/relationships/hyperlink" Target="https://commercialobserver.com/2026/06/phia-lease-zar-property-37-east-18th-street/" TargetMode="External" Id="rId109"/><Relationship Type="http://schemas.openxmlformats.org/officeDocument/2006/relationships/hyperlink" Target="https://www.farmacybeauty.com" TargetMode="External" Id="rId110"/><Relationship Type="http://schemas.openxmlformats.org/officeDocument/2006/relationships/hyperlink" Target="https://www.farmacybeauty.com/pages/contact-us" TargetMode="External" Id="rId111"/><Relationship Type="http://schemas.openxmlformats.org/officeDocument/2006/relationships/hyperlink" Target="https://commercialobserver.com/2024/12/airbnb-lease-130-fifth-avenue/" TargetMode="External" Id="rId112"/><Relationship Type="http://schemas.openxmlformats.org/officeDocument/2006/relationships/hyperlink" Target="https://www.fresh.com" TargetMode="External" Id="rId113"/><Relationship Type="http://schemas.openxmlformats.org/officeDocument/2006/relationships/hyperlink" Target="https://commercialobserver.com/2024/12/airbnb-lease-130-fifth-avenue/" TargetMode="External" Id="rId114"/><Relationship Type="http://schemas.openxmlformats.org/officeDocument/2006/relationships/hyperlink" Target="https://vidmob.com" TargetMode="External" Id="rId115"/><Relationship Type="http://schemas.openxmlformats.org/officeDocument/2006/relationships/hyperlink" Target="https://www.builtinnyc.com/company/vidmob" TargetMode="External" Id="rId116"/><Relationship Type="http://schemas.openxmlformats.org/officeDocument/2006/relationships/hyperlink" Target="https://commercialobserver.com/2024/12/airbnb-lease-130-fifth-avenue/" TargetMode="External" Id="rId117"/><Relationship Type="http://schemas.openxmlformats.org/officeDocument/2006/relationships/hyperlink" Target="https://galvanizeclimate.com" TargetMode="External" Id="rId118"/><Relationship Type="http://schemas.openxmlformats.org/officeDocument/2006/relationships/hyperlink" Target="https://www.builtinnyc.com/company/galvanize-climate-solutions" TargetMode="External" Id="rId119"/><Relationship Type="http://schemas.openxmlformats.org/officeDocument/2006/relationships/hyperlink" Target="https://commercialobserver.com/2026/04/adyen-lease-111-115-fifth-avenue/" TargetMode="External" Id="rId120"/><Relationship Type="http://schemas.openxmlformats.org/officeDocument/2006/relationships/hyperlink" Target="https://www.loveshackfancy.com" TargetMode="External" Id="rId121"/><Relationship Type="http://schemas.openxmlformats.org/officeDocument/2006/relationships/hyperlink" Target="https://commercialobserver.com/2025/04/radar-labs-lease-111-fifth-avenue/" TargetMode="External" Id="rId122"/><Relationship Type="http://schemas.openxmlformats.org/officeDocument/2006/relationships/hyperlink" Target="https://radar.com" TargetMode="External" Id="rId123"/><Relationship Type="http://schemas.openxmlformats.org/officeDocument/2006/relationships/hyperlink" Target="https://www.builtinnyc.com/company/radar" TargetMode="External" Id="rId124"/><Relationship Type="http://schemas.openxmlformats.org/officeDocument/2006/relationships/hyperlink" Target="https://commercialobserver.com/2026/04/adyen-lease-111-115-fifth-avenue/" TargetMode="External" Id="rId125"/><Relationship Type="http://schemas.openxmlformats.org/officeDocument/2006/relationships/hyperlink" Target="https://thevitacococompany.com" TargetMode="External" Id="rId126"/><Relationship Type="http://schemas.openxmlformats.org/officeDocument/2006/relationships/hyperlink" Target="https://www.sec.gov/Archives/edgar/data/1482981/000148298126000022/coco-20251231.htm" TargetMode="External" Id="rId127"/><Relationship Type="http://schemas.openxmlformats.org/officeDocument/2006/relationships/hyperlink" Target="https://www.sec.gov/Archives/edgar/data/1482981/000148298126000022/coco-20251231.htm" TargetMode="External" Id="rId128"/><Relationship Type="http://schemas.openxmlformats.org/officeDocument/2006/relationships/hyperlink" Target="https://commercialobserver.com/2024/09/vita-coco-111-fifth-avenue/" TargetMode="External" Id="rId129"/><Relationship Type="http://schemas.openxmlformats.org/officeDocument/2006/relationships/hyperlink" Target="https://gtsx.com" TargetMode="External" Id="rId130"/><Relationship Type="http://schemas.openxmlformats.org/officeDocument/2006/relationships/hyperlink" Target="https://www.builtinnyc.com/company/gts" TargetMode="External" Id="rId131"/><Relationship Type="http://schemas.openxmlformats.org/officeDocument/2006/relationships/hyperlink" Target="https://commercialobserver.com/2024/11/trading-firm-gts-lease-625-avenue-of-the-americas/" TargetMode="External" Id="rId132"/><Relationship Type="http://schemas.openxmlformats.org/officeDocument/2006/relationships/hyperlink" Target="https://gtsx.com/locations/" TargetMode="External" Id="rId133"/><Relationship Type="http://schemas.openxmlformats.org/officeDocument/2006/relationships/hyperlink" Target="https://bombas.com" TargetMode="External" Id="rId134"/><Relationship Type="http://schemas.openxmlformats.org/officeDocument/2006/relationships/hyperlink" Target="https://www.builtinnyc.com/company/bombas" TargetMode="External" Id="rId135"/><Relationship Type="http://schemas.openxmlformats.org/officeDocument/2006/relationships/hyperlink" Target="https://www.builtinnyc.com/company/bombas/offices" TargetMode="External" Id="rId136"/><Relationship Type="http://schemas.openxmlformats.org/officeDocument/2006/relationships/hyperlink" Target="https://commercialobserver.com/2019/04/bombas-lease-881-broadway-the-winter-organization/" TargetMode="External" Id="rId137"/><Relationship Type="http://schemas.openxmlformats.org/officeDocument/2006/relationships/hyperlink" Target="https://www.morningbrew.com" TargetMode="External" Id="rId138"/><Relationship Type="http://schemas.openxmlformats.org/officeDocument/2006/relationships/hyperlink" Target="https://www.builtinnyc.com/company/morning-brew" TargetMode="External" Id="rId139"/><Relationship Type="http://schemas.openxmlformats.org/officeDocument/2006/relationships/hyperlink" Target="https://www.builtinnyc.com/company/morning-brew/offices" TargetMode="External" Id="rId140"/><Relationship Type="http://schemas.openxmlformats.org/officeDocument/2006/relationships/hyperlink" Target="https://commercialobserver.com/2022/02/morning-brew-lease-flatiron-district-22-west-19th-street-kaufman-organization/" TargetMode="External" Id="rId141"/><Relationship Type="http://schemas.openxmlformats.org/officeDocument/2006/relationships/hyperlink" Target="https://commercialobserver.com/2019/10/left-right-lease-39-west-19th-street-rosen-family/" TargetMode="External" Id="rId142"/><Relationship Type="http://schemas.openxmlformats.org/officeDocument/2006/relationships/hyperlink" Target="https://www.extend.ai" TargetMode="External" Id="rId143"/><Relationship Type="http://schemas.openxmlformats.org/officeDocument/2006/relationships/hyperlink" Target="https://commercialobserver.com/2026/08/extend-ai-lease-119-fifth-avenue/" TargetMode="External" Id="rId144"/><Relationship Type="http://schemas.openxmlformats.org/officeDocument/2006/relationships/hyperlink" Target="https://www.extend.ai/" TargetMode="External" Id="rId145"/><Relationship Type="http://schemas.openxmlformats.org/officeDocument/2006/relationships/hyperlink" Target="https://www.stash.com" TargetMode="External" Id="rId146"/><Relationship Type="http://schemas.openxmlformats.org/officeDocument/2006/relationships/hyperlink" Target="https://www.builtinnyc.com/company/stash" TargetMode="External" Id="rId147"/><Relationship Type="http://schemas.openxmlformats.org/officeDocument/2006/relationships/hyperlink" Target="https://commercialobserver.com/2026/09/stash-financial-lease-641-avenue-of-the-americas/" TargetMode="External" Id="rId148"/><Relationship Type="http://schemas.openxmlformats.org/officeDocument/2006/relationships/hyperlink" Target="https://hex.tech" TargetMode="External" Id="rId149"/><Relationship Type="http://schemas.openxmlformats.org/officeDocument/2006/relationships/hyperlink" Target="https://www.builtinnyc.com/company/hex" TargetMode="External" Id="rId150"/><Relationship Type="http://schemas.openxmlformats.org/officeDocument/2006/relationships/hyperlink" Target="https://commercialobserver.com/2026/01/hex-technologies-lease-feil-250-park-avenue-south/" TargetMode="External" Id="rId151"/><Relationship Type="http://schemas.openxmlformats.org/officeDocument/2006/relationships/hyperlink" Target="https://nyrej.com/print/57161" TargetMode="External" Id="rId152"/><Relationship Type="http://schemas.openxmlformats.org/officeDocument/2006/relationships/hyperlink" Target="https://www.pentagram.com" TargetMode="External" Id="rId153"/><Relationship Type="http://schemas.openxmlformats.org/officeDocument/2006/relationships/hyperlink" Target="https://www.pentagram.com/contact" TargetMode="External" Id="rId154"/><Relationship Type="http://schemas.openxmlformats.org/officeDocument/2006/relationships/hyperlink" Target="https://commercialobserver.com/2026/01/hex-technologies-lease-feil-250-park-avenue-south/" TargetMode="External" Id="rId155"/><Relationship Type="http://schemas.openxmlformats.org/officeDocument/2006/relationships/hyperlink" Target="https://www.wilsondaniels.com" TargetMode="External" Id="rId156"/><Relationship Type="http://schemas.openxmlformats.org/officeDocument/2006/relationships/hyperlink" Target="https://commercialobserver.com/2025/06/wilson-daniels-lease-250-park-avenue-south/" TargetMode="External" Id="rId157"/><Relationship Type="http://schemas.openxmlformats.org/officeDocument/2006/relationships/hyperlink" Target="https://commercialobserver.com/2026/01/hex-technologies-lease-feil-250-park-avenue-south/" TargetMode="External" Id="rId158"/><Relationship Type="http://schemas.openxmlformats.org/officeDocument/2006/relationships/hyperlink" Target="https://www.daily-harvest.com" TargetMode="External" Id="rId159"/><Relationship Type="http://schemas.openxmlformats.org/officeDocument/2006/relationships/hyperlink" Target="https://www.builtinnyc.com/company/daily-harvest" TargetMode="External" Id="rId160"/><Relationship Type="http://schemas.openxmlformats.org/officeDocument/2006/relationships/hyperlink" Target="https://www.builtinnyc.com/company/daily-harvest/offices" TargetMode="External" Id="rId161"/><Relationship Type="http://schemas.openxmlformats.org/officeDocument/2006/relationships/hyperlink" Target="https://commercialobserver.com/2024/08/christies-international-real-estate-group-lease-156-fifth-avenue/" TargetMode="External" Id="rId162"/><Relationship Type="http://schemas.openxmlformats.org/officeDocument/2006/relationships/hyperlink" Target="https://commercialobserver.com/2024/08/christies-international-real-estate-group-lease-156-fifth-avenue/" TargetMode="External" Id="rId163"/><Relationship Type="http://schemas.openxmlformats.org/officeDocument/2006/relationships/hyperlink" Target="https://www.warp.co" TargetMode="External" Id="rId164"/><Relationship Type="http://schemas.openxmlformats.org/officeDocument/2006/relationships/hyperlink" Target="https://www.builtinnyc.com/company/warp" TargetMode="External" Id="rId165"/><Relationship Type="http://schemas.openxmlformats.org/officeDocument/2006/relationships/hyperlink" Target="https://commercialobserver.com/2026/08/warp-triple-lease-expansion-hrc-156-fifth-avenue/" TargetMode="External" Id="rId166"/><Relationship Type="http://schemas.openxmlformats.org/officeDocument/2006/relationships/hyperlink" Target="https://www.manifestlaw.com" TargetMode="External" Id="rId167"/><Relationship Type="http://schemas.openxmlformats.org/officeDocument/2006/relationships/hyperlink" Target="https://commercialobserver.com/2026/08/manifest-law-sublease-koeppel-rosen-902-broadway/" TargetMode="External" Id="rId168"/><Relationship Type="http://schemas.openxmlformats.org/officeDocument/2006/relationships/hyperlink" Target="https://www.hudsoninc.com" TargetMode="External" Id="rId169"/><Relationship Type="http://schemas.openxmlformats.org/officeDocument/2006/relationships/hyperlink" Target="https://commercialobserver.com/2026/03/hudson-companies-broadway-builders-lease-902-broadway/" TargetMode="External" Id="rId170"/><Relationship Type="http://schemas.openxmlformats.org/officeDocument/2006/relationships/hyperlink" Target="https://rebusinessonline.com/hudson-cos-broadway-builders-sign-18200-sf-office-lease-in-manhattans-flatiron-district/" TargetMode="External" Id="rId171"/><Relationship Type="http://schemas.openxmlformats.org/officeDocument/2006/relationships/hyperlink" Target="https://www.williamgrant.com" TargetMode="External" Id="rId172"/><Relationship Type="http://schemas.openxmlformats.org/officeDocument/2006/relationships/hyperlink" Target="https://commercialobserver.com/2024/12/william-grant-sons-lease-902-broadway/" TargetMode="External" Id="rId173"/><Relationship Type="http://schemas.openxmlformats.org/officeDocument/2006/relationships/hyperlink" Target="https://commercialobserver.com/2026/03/hudson-companies-broadway-builders-lease-902-broadway/" TargetMode="External" Id="rId174"/><Relationship Type="http://schemas.openxmlformats.org/officeDocument/2006/relationships/hyperlink" Target="https://commercialobserver.com/2021/04/tech-educator-general-assembly-renews-at-915-broadway/" TargetMode="External" Id="rId175"/><Relationship Type="http://schemas.openxmlformats.org/officeDocument/2006/relationships/hyperlink" Target="https://www.metro-manhattan.com/buildings/915-broadway-office-space-for-lease/" TargetMode="External" Id="rId176"/><Relationship Type="http://schemas.openxmlformats.org/officeDocument/2006/relationships/hyperlink" Target="https://retool.com" TargetMode="External" Id="rId177"/><Relationship Type="http://schemas.openxmlformats.org/officeDocument/2006/relationships/hyperlink" Target="https://www.builtinnyc.com/company/retool" TargetMode="External" Id="rId178"/><Relationship Type="http://schemas.openxmlformats.org/officeDocument/2006/relationships/hyperlink" Target="https://www.builtinnyc.com/company/retool/offices" TargetMode="External" Id="rId179"/><Relationship Type="http://schemas.openxmlformats.org/officeDocument/2006/relationships/hyperlink" Target="https://www.argentic.com" TargetMode="External" Id="rId180"/><Relationship Type="http://schemas.openxmlformats.org/officeDocument/2006/relationships/hyperlink" Target="https://commercialobserver.com/2026/04/argentic-investment-management-lease-257-park-avenue-south/" TargetMode="External" Id="rId181"/><Relationship Type="http://schemas.openxmlformats.org/officeDocument/2006/relationships/hyperlink" Target="https://rebusinessonline.com/argentic-investment-management-signs-13000-sf-office-lease-in-manhattans-flatiron-district/" TargetMode="External" Id="rId182"/><Relationship Type="http://schemas.openxmlformats.org/officeDocument/2006/relationships/hyperlink" Target="https://www.beachwold.com" TargetMode="External" Id="rId183"/><Relationship Type="http://schemas.openxmlformats.org/officeDocument/2006/relationships/hyperlink" Target="https://commercialobserver.com/2022/07/paul-smith-beachwold-residential-sign-for-full-floors-at-257-park-avenue-south/" TargetMode="External" Id="rId184"/><Relationship Type="http://schemas.openxmlformats.org/officeDocument/2006/relationships/hyperlink" Target="https://www.isaia.it" TargetMode="External" Id="rId185"/><Relationship Type="http://schemas.openxmlformats.org/officeDocument/2006/relationships/hyperlink" Target="https://commercialobserver.com/2026/07/isaia-lease-feil-257-park-avenue-south/" TargetMode="External" Id="rId186"/><Relationship Type="http://schemas.openxmlformats.org/officeDocument/2006/relationships/hyperlink" Target="https://www.optionsgroup.com" TargetMode="External" Id="rId187"/><Relationship Type="http://schemas.openxmlformats.org/officeDocument/2006/relationships/hyperlink" Target="https://commercialobserver.com/2025/09/angellist-lease-257-park-avenue-south/" TargetMode="External" Id="rId188"/><Relationship Type="http://schemas.openxmlformats.org/officeDocument/2006/relationships/hyperlink" Target="https://www.paulsmith.com" TargetMode="External" Id="rId189"/><Relationship Type="http://schemas.openxmlformats.org/officeDocument/2006/relationships/hyperlink" Target="https://commercialobserver.com/2022/07/paul-smith-beachwold-residential-sign-for-full-floors-at-257-park-avenue-south/" TargetMode="External" Id="rId190"/><Relationship Type="http://schemas.openxmlformats.org/officeDocument/2006/relationships/hyperlink" Target="https://commercialobserver.com/2024/04/pei-architects-renewals-13k-sf-at-257-park-avenue-south/" TargetMode="External" Id="rId191"/><Relationship Type="http://schemas.openxmlformats.org/officeDocument/2006/relationships/hyperlink" Target="https://www.phippsny.org" TargetMode="External" Id="rId192"/><Relationship Type="http://schemas.openxmlformats.org/officeDocument/2006/relationships/hyperlink" Target="https://www.phippsny.org/contact-us/" TargetMode="External" Id="rId193"/><Relationship Type="http://schemas.openxmlformats.org/officeDocument/2006/relationships/hyperlink" Target="https://commercialobserver.com/2024/07/phipps-houses-feil-organization-257-park-avenue-south/" TargetMode="External" Id="rId194"/><Relationship Type="http://schemas.openxmlformats.org/officeDocument/2006/relationships/hyperlink" Target="https://www.actively.ai" TargetMode="External" Id="rId195"/><Relationship Type="http://schemas.openxmlformats.org/officeDocument/2006/relationships/hyperlink" Target="https://www.builtinnyc.com/company/actively-ai" TargetMode="External" Id="rId196"/><Relationship Type="http://schemas.openxmlformats.org/officeDocument/2006/relationships/hyperlink" Target="https://commercialobserver.com/2025/04/actively-ai-lease-30-west-21st-street/" TargetMode="External" Id="rId197"/><Relationship Type="http://schemas.openxmlformats.org/officeDocument/2006/relationships/hyperlink" Target="https://www.actively.ai/" TargetMode="External" Id="rId198"/><Relationship Type="http://schemas.openxmlformats.org/officeDocument/2006/relationships/hyperlink" Target="https://vivaldigroup.com" TargetMode="External" Id="rId199"/><Relationship Type="http://schemas.openxmlformats.org/officeDocument/2006/relationships/hyperlink" Target="https://vivaldigroup.com/contact/" TargetMode="External" Id="rId200"/><Relationship Type="http://schemas.openxmlformats.org/officeDocument/2006/relationships/hyperlink" Target="https://commercialobserver.com/2025/04/actively-ai-lease-30-west-21st-street/" TargetMode="External" Id="rId201"/><Relationship Type="http://schemas.openxmlformats.org/officeDocument/2006/relationships/hyperlink" Target="https://www.cobaltsp.com" TargetMode="External" Id="rId202"/><Relationship Type="http://schemas.openxmlformats.org/officeDocument/2006/relationships/hyperlink" Target="https://commercialobserver.com/2025/02/cobalt-service-partners-lease-40-west-17th-street/" TargetMode="External" Id="rId203"/><Relationship Type="http://schemas.openxmlformats.org/officeDocument/2006/relationships/hyperlink" Target="https://commercialobserver.com/2025/05/instant-lease-moinian-53-55-west-21st-street/" TargetMode="External" Id="rId204"/><Relationship Type="http://schemas.openxmlformats.org/officeDocument/2006/relationships/hyperlink" Target="https://instant.one" TargetMode="External" Id="rId205"/><Relationship Type="http://schemas.openxmlformats.org/officeDocument/2006/relationships/hyperlink" Target="https://www.builtinnyc.com/company/instant" TargetMode="External" Id="rId206"/><Relationship Type="http://schemas.openxmlformats.org/officeDocument/2006/relationships/hyperlink" Target="https://commercialobserver.com/2025/05/instant-lease-moinian-53-55-west-21st-street/" TargetMode="External" Id="rId207"/><Relationship Type="http://schemas.openxmlformats.org/officeDocument/2006/relationships/hyperlink" Target="https://playplay.com" TargetMode="External" Id="rId208"/><Relationship Type="http://schemas.openxmlformats.org/officeDocument/2006/relationships/hyperlink" Target="https://www.builtinnyc.com/company/playplay" TargetMode="External" Id="rId209"/><Relationship Type="http://schemas.openxmlformats.org/officeDocument/2006/relationships/hyperlink" Target="https://commercialobserver.com/2025/05/instant-lease-moinian-53-55-west-21st-street/" TargetMode="External" Id="rId210"/><Relationship Type="http://schemas.openxmlformats.org/officeDocument/2006/relationships/hyperlink" Target="https://commercialobserver.com/2025/01/euclidean-capital-lease-149-fifth-avenue/" TargetMode="External" Id="rId211"/><Relationship Type="http://schemas.openxmlformats.org/officeDocument/2006/relationships/hyperlink" Target="https://www.varley.com" TargetMode="External" Id="rId212"/><Relationship Type="http://schemas.openxmlformats.org/officeDocument/2006/relationships/hyperlink" Target="https://commercialobserver.com/2025/04/vitesse-psp-lease-155-fifth-avenue/" TargetMode="External" Id="rId213"/><Relationship Type="http://schemas.openxmlformats.org/officeDocument/2006/relationships/hyperlink" Target="https://www.vitesse.io" TargetMode="External" Id="rId214"/><Relationship Type="http://schemas.openxmlformats.org/officeDocument/2006/relationships/hyperlink" Target="https://commercialobserver.com/2025/04/vitesse-psp-lease-155-fifth-avenue/" TargetMode="External" Id="rId215"/><Relationship Type="http://schemas.openxmlformats.org/officeDocument/2006/relationships/hyperlink" Target="https://www.candidhealth.com" TargetMode="External" Id="rId216"/><Relationship Type="http://schemas.openxmlformats.org/officeDocument/2006/relationships/hyperlink" Target="https://www.builtinnyc.com/company/candid" TargetMode="External" Id="rId217"/><Relationship Type="http://schemas.openxmlformats.org/officeDocument/2006/relationships/hyperlink" Target="https://commercialobserver.com/2026/01/candid-health-lease-675-avenue-of-the-americas/" TargetMode="External" Id="rId218"/><Relationship Type="http://schemas.openxmlformats.org/officeDocument/2006/relationships/hyperlink" Target="https://rebusinessonline.com/candid-health-signs-28687-sf-office-lease-in-midtown-manhattan/" TargetMode="External" Id="rId219"/><Relationship Type="http://schemas.openxmlformats.org/officeDocument/2006/relationships/hyperlink" Target="https://compstak.com" TargetMode="External" Id="rId220"/><Relationship Type="http://schemas.openxmlformats.org/officeDocument/2006/relationships/hyperlink" Target="https://www.builtinnyc.com/company/compstak" TargetMode="External" Id="rId221"/><Relationship Type="http://schemas.openxmlformats.org/officeDocument/2006/relationships/hyperlink" Target="https://compstak.com/about" TargetMode="External" Id="rId222"/><Relationship Type="http://schemas.openxmlformats.org/officeDocument/2006/relationships/hyperlink" Target="https://www.builtinnyc.com/company/compstak/offices" TargetMode="External" Id="rId223"/><Relationship Type="http://schemas.openxmlformats.org/officeDocument/2006/relationships/hyperlink" Target="https://www.empathy.com" TargetMode="External" Id="rId224"/><Relationship Type="http://schemas.openxmlformats.org/officeDocument/2006/relationships/hyperlink" Target="https://www.builtinnyc.com/company/empathy" TargetMode="External" Id="rId225"/><Relationship Type="http://schemas.openxmlformats.org/officeDocument/2006/relationships/hyperlink" Target="https://www.empathy.com/" TargetMode="External" Id="rId226"/><Relationship Type="http://schemas.openxmlformats.org/officeDocument/2006/relationships/hyperlink" Target="https://www.builtinnyc.com/company/empathy/offices" TargetMode="External" Id="rId227"/><Relationship Type="http://schemas.openxmlformats.org/officeDocument/2006/relationships/hyperlink" Target="https://sharmabrands.com" TargetMode="External" Id="rId228"/><Relationship Type="http://schemas.openxmlformats.org/officeDocument/2006/relationships/hyperlink" Target="https://commercialobserver.com/2022/11/sharma-brands-leases-6k-sf-at-56-west-22nd-street/" TargetMode="External" Id="rId229"/><Relationship Type="http://schemas.openxmlformats.org/officeDocument/2006/relationships/hyperlink" Target="https://www.theinformation.com" TargetMode="External" Id="rId230"/><Relationship Type="http://schemas.openxmlformats.org/officeDocument/2006/relationships/hyperlink" Target="https://www.theinformation.com/about" TargetMode="External" Id="rId231"/><Relationship Type="http://schemas.openxmlformats.org/officeDocument/2006/relationships/hyperlink" Target="https://commercialobserver.com/2022/06/the-information-20-west-22nd-street/" TargetMode="External" Id="rId232"/><Relationship Type="http://schemas.openxmlformats.org/officeDocument/2006/relationships/hyperlink" Target="https://www.heardcity.com" TargetMode="External" Id="rId233"/><Relationship Type="http://schemas.openxmlformats.org/officeDocument/2006/relationships/hyperlink" Target="https://www.heardcity.com/contact" TargetMode="External" Id="rId234"/><Relationship Type="http://schemas.openxmlformats.org/officeDocument/2006/relationships/hyperlink" Target="https://commercialobserver.com/2022/02/recording-studio-heard-city-re-ups-13k-sf-lease-in-flatiron-district/" TargetMode="External" Id="rId235"/><Relationship Type="http://schemas.openxmlformats.org/officeDocument/2006/relationships/hyperlink" Target="https://www.psychologytoday.com" TargetMode="External" Id="rId236"/><Relationship Type="http://schemas.openxmlformats.org/officeDocument/2006/relationships/hyperlink" Target="https://commercialobserver.com/2023/11/psychology-today-16-west-22nd-street-lease-relocation/" TargetMode="External" Id="rId237"/><Relationship Type="http://schemas.openxmlformats.org/officeDocument/2006/relationships/hyperlink" Target="https://www.hungryroot.com" TargetMode="External" Id="rId238"/><Relationship Type="http://schemas.openxmlformats.org/officeDocument/2006/relationships/hyperlink" Target="https://www.builtinnyc.com/company/hungryroot" TargetMode="External" Id="rId239"/><Relationship Type="http://schemas.openxmlformats.org/officeDocument/2006/relationships/hyperlink" Target="https://commercialobserver.com/2019/11/hungryroot-lease-7-west-22nd-street/" TargetMode="External" Id="rId240"/><Relationship Type="http://schemas.openxmlformats.org/officeDocument/2006/relationships/hyperlink" Target="https://kodansha.us/" TargetMode="External" Id="rId241"/><Relationship Type="http://schemas.openxmlformats.org/officeDocument/2006/relationships/hyperlink" Target="https://kodansha.us/privacy-policy/" TargetMode="External" Id="rId242"/><Relationship Type="http://schemas.openxmlformats.org/officeDocument/2006/relationships/hyperlink" Target="https://flatironnomad.nyc/2024/02/07/january-news-roundup-5/" TargetMode="External" Id="rId243"/><Relationship Type="http://schemas.openxmlformats.org/officeDocument/2006/relationships/hyperlink" Target="https://www.1stdibs.com/" TargetMode="External" Id="rId244"/><Relationship Type="http://schemas.openxmlformats.org/officeDocument/2006/relationships/hyperlink" Target="https://www.builtinnyc.com/company/1stdibs/offices" TargetMode="External" Id="rId245"/><Relationship Type="http://schemas.openxmlformats.org/officeDocument/2006/relationships/hyperlink" Target="https://www.1stdibs.com/about/user-agreement/" TargetMode="External" Id="rId246"/><Relationship Type="http://schemas.openxmlformats.org/officeDocument/2006/relationships/hyperlink" Target="https://commercialobserver.com/2025/08/flexible-finance-relocating-41k-sf-300-park-avenue-south/" TargetMode="External" Id="rId247"/><Relationship Type="http://schemas.openxmlformats.org/officeDocument/2006/relationships/hyperlink" Target="https://commercialobserver.com/2025/08/flexible-finance-relocating-41k-sf-300-park-avenue-south/" TargetMode="External" Id="rId248"/><Relationship Type="http://schemas.openxmlformats.org/officeDocument/2006/relationships/hyperlink" Target="https://therealdeal.com/new-york/2025/09/02/top-office-leases-nyc-in-august-2025/" TargetMode="External" Id="rId249"/><Relationship Type="http://schemas.openxmlformats.org/officeDocument/2006/relationships/hyperlink" Target="https://wearebmf.com/" TargetMode="External" Id="rId250"/><Relationship Type="http://schemas.openxmlformats.org/officeDocument/2006/relationships/hyperlink" Target="https://www.builtinnyc.com/company/bmf/offices" TargetMode="External" Id="rId251"/><Relationship Type="http://schemas.openxmlformats.org/officeDocument/2006/relationships/hyperlink" Target="https://commercialobserver.com/?p=544473" TargetMode="External" Id="rId252"/><Relationship Type="http://schemas.openxmlformats.org/officeDocument/2006/relationships/hyperlink" Target="https://nyrej.com/index.php/two-new-leases-signed-at-50-west-23rd-st" TargetMode="External" Id="rId253"/><Relationship Type="http://schemas.openxmlformats.org/officeDocument/2006/relationships/hyperlink" Target="https://foursquare.com/" TargetMode="External" Id="rId254"/><Relationship Type="http://schemas.openxmlformats.org/officeDocument/2006/relationships/hyperlink" Target="https://www.builtinnyc.com/company/foursquare/offices" TargetMode="External" Id="rId255"/><Relationship Type="http://schemas.openxmlformats.org/officeDocument/2006/relationships/hyperlink" Target="https://www.builtinnyc.com/company/foursquare/offices" TargetMode="External" Id="rId256"/><Relationship Type="http://schemas.openxmlformats.org/officeDocument/2006/relationships/hyperlink" Target="https://nyrej.com/index.php/two-new-leases-signed-at-50-west-23rd-st" TargetMode="External" Id="rId257"/><Relationship Type="http://schemas.openxmlformats.org/officeDocument/2006/relationships/hyperlink" Target="https://www.laforce.com/" TargetMode="External" Id="rId258"/><Relationship Type="http://schemas.openxmlformats.org/officeDocument/2006/relationships/hyperlink" Target="https://commercialobserver.com/2025/10/huge-lease-adams-53-west-23rd-street/" TargetMode="External" Id="rId259"/><Relationship Type="http://schemas.openxmlformats.org/officeDocument/2006/relationships/hyperlink" Target="https://triplelift.com/" TargetMode="External" Id="rId260"/><Relationship Type="http://schemas.openxmlformats.org/officeDocument/2006/relationships/hyperlink" Target="https://www.builtinnyc.com/company/triplelift/offices" TargetMode="External" Id="rId261"/><Relationship Type="http://schemas.openxmlformats.org/officeDocument/2006/relationships/hyperlink" Target="https://triplelift.com/contact-us/" TargetMode="External" Id="rId262"/><Relationship Type="http://schemas.openxmlformats.org/officeDocument/2006/relationships/hyperlink" Target="https://www.builtinnyc.com/company/triplelift/offices" TargetMode="External" Id="rId263"/><Relationship Type="http://schemas.openxmlformats.org/officeDocument/2006/relationships/hyperlink" Target="https://chalk.ai/" TargetMode="External" Id="rId264"/><Relationship Type="http://schemas.openxmlformats.org/officeDocument/2006/relationships/hyperlink" Target="https://www.builtinnyc.com/company/chalk/offices" TargetMode="External" Id="rId265"/><Relationship Type="http://schemas.openxmlformats.org/officeDocument/2006/relationships/hyperlink" Target="https://commercialobserver.com/2026/07/chalk-ai-lease-flatiron-43-west-23rd-street/" TargetMode="External" Id="rId266"/><Relationship Type="http://schemas.openxmlformats.org/officeDocument/2006/relationships/hyperlink" Target="https://www.inspiren.com/" TargetMode="External" Id="rId267"/><Relationship Type="http://schemas.openxmlformats.org/officeDocument/2006/relationships/hyperlink" Target="https://www.builtinnyc.com/company/inspiren/offices" TargetMode="External" Id="rId268"/><Relationship Type="http://schemas.openxmlformats.org/officeDocument/2006/relationships/hyperlink" Target="https://commercialobserver.com/2026/09/normal-computing-inspiren-leases-61-west-23rd-street/" TargetMode="External" Id="rId269"/><Relationship Type="http://schemas.openxmlformats.org/officeDocument/2006/relationships/hyperlink" Target="https://www.builtinnyc.com/company/inspiren/offices" TargetMode="External" Id="rId270"/><Relationship Type="http://schemas.openxmlformats.org/officeDocument/2006/relationships/hyperlink" Target="https://normalcomputing.com/" TargetMode="External" Id="rId271"/><Relationship Type="http://schemas.openxmlformats.org/officeDocument/2006/relationships/hyperlink" Target="https://commercialobserver.com/2026/09/normal-computing-inspiren-leases-61-west-23rd-street/" TargetMode="External" Id="rId272"/><Relationship Type="http://schemas.openxmlformats.org/officeDocument/2006/relationships/hyperlink" Target="https://commercialobserver.com/2026/09/normal-computing-inspiren-leases-61-west-23rd-street/" TargetMode="External" Id="rId273"/><Relationship Type="http://schemas.openxmlformats.org/officeDocument/2006/relationships/hyperlink" Target="https://flatironnomad.nyc/2026/10/07/september-news-roundup-7/" TargetMode="External" Id="rId274"/><Relationship Type="http://schemas.openxmlformats.org/officeDocument/2006/relationships/hyperlink" Target="https://www.brainpop.com/" TargetMode="External" Id="rId275"/><Relationship Type="http://schemas.openxmlformats.org/officeDocument/2006/relationships/hyperlink" Target="https://www.builtinnyc.com/company/brainpop/offices" TargetMode="External" Id="rId276"/><Relationship Type="http://schemas.openxmlformats.org/officeDocument/2006/relationships/hyperlink" Target="https://www.brainpop.com/discover/terms-of-use" TargetMode="External" Id="rId277"/><Relationship Type="http://schemas.openxmlformats.org/officeDocument/2006/relationships/hyperlink" Target="https://www.builtinnyc.com/company/brainpop/offices" TargetMode="External" Id="rId278"/><Relationship Type="http://schemas.openxmlformats.org/officeDocument/2006/relationships/hyperlink" Target="https://madisonsquarepark.org/" TargetMode="External" Id="rId279"/><Relationship Type="http://schemas.openxmlformats.org/officeDocument/2006/relationships/hyperlink" Target="https://madisonsquarepark.org/park/contact/" TargetMode="External" Id="rId280"/><Relationship Type="http://schemas.openxmlformats.org/officeDocument/2006/relationships/hyperlink" Target="https://www.orbital.tech/" TargetMode="External" Id="rId281"/><Relationship Type="http://schemas.openxmlformats.org/officeDocument/2006/relationships/hyperlink" Target="https://www.builtinnyc.com/company/orbital" TargetMode="External" Id="rId282"/><Relationship Type="http://schemas.openxmlformats.org/officeDocument/2006/relationships/hyperlink" Target="https://commercialobserver.com/2026/09/orbital-ai-lease-kaufman-organization-40-west-25th-street/" TargetMode="External" Id="rId283"/><Relationship Type="http://schemas.openxmlformats.org/officeDocument/2006/relationships/hyperlink" Target="https://www.ellevest.com/" TargetMode="External" Id="rId284"/><Relationship Type="http://schemas.openxmlformats.org/officeDocument/2006/relationships/hyperlink" Target="https://www.builtinnyc.com/company/ellevest/offices" TargetMode="External" Id="rId285"/><Relationship Type="http://schemas.openxmlformats.org/officeDocument/2006/relationships/hyperlink" Target="https://www.builtinnyc.com/company/ellevest/offices" TargetMode="External" Id="rId286"/><Relationship Type="http://schemas.openxmlformats.org/officeDocument/2006/relationships/hyperlink" Target="https://www.mediacoholding.com/" TargetMode="External" Id="rId287"/><Relationship Type="http://schemas.openxmlformats.org/officeDocument/2006/relationships/hyperlink" Target="https://commercialobserver.com/2026/08/sapien-ai-lease-kaufman-organization-48-west-25th-street/" TargetMode="External" Id="rId288"/><Relationship Type="http://schemas.openxmlformats.org/officeDocument/2006/relationships/hyperlink" Target="https://commercialobserver.com/2026/08/sapien-ai-lease-kaufman-organization-48-west-25th-street/" TargetMode="External" Id="rId289"/><Relationship Type="http://schemas.openxmlformats.org/officeDocument/2006/relationships/hyperlink" Target="https://flatironnomad.nyc/2026/09/02/august-news-roundup-7/" TargetMode="External" Id="rId290"/><Relationship Type="http://schemas.openxmlformats.org/officeDocument/2006/relationships/hyperlink" Target="https://www.greenmountainenergy.com/" TargetMode="External" Id="rId291"/><Relationship Type="http://schemas.openxmlformats.org/officeDocument/2006/relationships/hyperlink" Target="https://www.builtinnyc.com/company/green-mountain-energy/offices" TargetMode="External" Id="rId292"/><Relationship Type="http://schemas.openxmlformats.org/officeDocument/2006/relationships/hyperlink" Target="https://commercialobserver.com/2026/01/purple-lease-16-madison-square-west/" TargetMode="External" Id="rId293"/><Relationship Type="http://schemas.openxmlformats.org/officeDocument/2006/relationships/hyperlink" Target="https://purplepr.com/" TargetMode="External" Id="rId294"/><Relationship Type="http://schemas.openxmlformats.org/officeDocument/2006/relationships/hyperlink" Target="https://commercialobserver.com/2026/01/purple-lease-16-madison-square-west/" TargetMode="External" Id="rId295"/><Relationship Type="http://schemas.openxmlformats.org/officeDocument/2006/relationships/hyperlink" Target="https://flatironnomad.nyc/2026/02/18/january-news-roundup-7/" TargetMode="External" Id="rId296"/><Relationship Type="http://schemas.openxmlformats.org/officeDocument/2006/relationships/hyperlink" Target="https://www.wellcomworldwide.com/" TargetMode="External" Id="rId297"/><Relationship Type="http://schemas.openxmlformats.org/officeDocument/2006/relationships/hyperlink" Target="https://www.builtinnyc.com/company/wellcom-worldwide/offices" TargetMode="External" Id="rId298"/><Relationship Type="http://schemas.openxmlformats.org/officeDocument/2006/relationships/hyperlink" Target="https://commercialobserver.com/2024/08/wellcom-worldwide-signs-24k-sf-lease-16-madison-square-west-manhattan/" TargetMode="External" Id="rId299"/><Relationship Type="http://schemas.openxmlformats.org/officeDocument/2006/relationships/hyperlink" Target="https://www.builtinnyc.com/company/wellcom-worldwide/offices" TargetMode="External" Id="rId300"/><Relationship Type="http://schemas.openxmlformats.org/officeDocument/2006/relationships/hyperlink" Target="https://brighttower.com" TargetMode="External" Id="rId301"/><Relationship Type="http://schemas.openxmlformats.org/officeDocument/2006/relationships/hyperlink" Target="https://commercialobserver.com/2026/03/brighttower-lease-rudin-41-madison-avenue/" TargetMode="External" Id="rId302"/><Relationship Type="http://schemas.openxmlformats.org/officeDocument/2006/relationships/hyperlink" Target="https://commercialobserver.com/2024/06/law-firm-clarick-gueron-reisbaum-signs-13k-sf-lease-at-rudins-41-madison-avenue/" TargetMode="External" Id="rId303"/><Relationship Type="http://schemas.openxmlformats.org/officeDocument/2006/relationships/hyperlink" Target="https://www.kvnational.com" TargetMode="External" Id="rId304"/><Relationship Type="http://schemas.openxmlformats.org/officeDocument/2006/relationships/hyperlink" Target="https://commercialobserver.com/2023/11/law-firm-kensington-vanguard-signs-13k-sf-lease-at-41-madison/" TargetMode="External" Id="rId305"/><Relationship Type="http://schemas.openxmlformats.org/officeDocument/2006/relationships/hyperlink" Target="https://polaramp.com" TargetMode="External" Id="rId306"/><Relationship Type="http://schemas.openxmlformats.org/officeDocument/2006/relationships/hyperlink" Target="https://commercialobserver.com/2026/05/polar-asset-management-partners-lease-rudin-41-madison-avenue/" TargetMode="External" Id="rId307"/><Relationship Type="http://schemas.openxmlformats.org/officeDocument/2006/relationships/hyperlink" Target="https://polaramp.com/contact" TargetMode="External" Id="rId308"/><Relationship Type="http://schemas.openxmlformats.org/officeDocument/2006/relationships/hyperlink" Target="https://tenberke.com" TargetMode="External" Id="rId309"/><Relationship Type="http://schemas.openxmlformats.org/officeDocument/2006/relationships/hyperlink" Target="https://tenberke.com/contact/" TargetMode="External" Id="rId310"/><Relationship Type="http://schemas.openxmlformats.org/officeDocument/2006/relationships/hyperlink" Target="https://commercialobserver.com/2022/12/deborah-berke-takes-13k-sf-at-41-madison-avenue/" TargetMode="External" Id="rId311"/><Relationship Type="http://schemas.openxmlformats.org/officeDocument/2006/relationships/hyperlink" Target="https://commercialobserver.com/2024/11/urban-atelier-group-lease-41-madison-avenue/" TargetMode="External" Id="rId312"/><Relationship Type="http://schemas.openxmlformats.org/officeDocument/2006/relationships/hyperlink" Target="https://commercialobserver.com/2026/09/zip-lease-rudin-41-madison-avenue/" TargetMode="External" Id="rId313"/><Relationship Type="http://schemas.openxmlformats.org/officeDocument/2006/relationships/hyperlink" Target="https://betches.com/" TargetMode="External" Id="rId314"/><Relationship Type="http://schemas.openxmlformats.org/officeDocument/2006/relationships/hyperlink" Target="https://commercialobserver.com/2026/01/betches-coming-360-park-avenue-south/" TargetMode="External" Id="rId315"/><Relationship Type="http://schemas.openxmlformats.org/officeDocument/2006/relationships/hyperlink" Target="https://www.connectcre.com/stories/bxp-secures-230k-sf-of-leases-at-360-park-ave-south/" TargetMode="External" Id="rId316"/><Relationship Type="http://schemas.openxmlformats.org/officeDocument/2006/relationships/hyperlink" Target="https://www.hunterpointcapital.com/" TargetMode="External" Id="rId317"/><Relationship Type="http://schemas.openxmlformats.org/officeDocument/2006/relationships/hyperlink" Target="https://www.connectcre.com/stories/bxp-secures-230k-sf-of-leases-at-360-park-ave-south/" TargetMode="External" Id="rId318"/><Relationship Type="http://schemas.openxmlformats.org/officeDocument/2006/relationships/hyperlink" Target="https://commercialobserver.com/?p=563472" TargetMode="External" Id="rId319"/><Relationship Type="http://schemas.openxmlformats.org/officeDocument/2006/relationships/hyperlink" Target="https://www.iconiq.com" TargetMode="External" Id="rId320"/><Relationship Type="http://schemas.openxmlformats.org/officeDocument/2006/relationships/hyperlink" Target="https://commercialobserver.com/2025/05/optiver-lease-360-park-avenue-south/" TargetMode="External" Id="rId321"/><Relationship Type="http://schemas.openxmlformats.org/officeDocument/2006/relationships/hyperlink" Target="https://rogo.com/" TargetMode="External" Id="rId322"/><Relationship Type="http://schemas.openxmlformats.org/officeDocument/2006/relationships/hyperlink" Target="https://rogo.com/legal/privacy-policy" TargetMode="External" Id="rId323"/><Relationship Type="http://schemas.openxmlformats.org/officeDocument/2006/relationships/hyperlink" Target="https://commercialobserver.com/2026/09/rogo-technologies-360-park-avenue-south-lease-expansion/" TargetMode="External" Id="rId324"/><Relationship Type="http://schemas.openxmlformats.org/officeDocument/2006/relationships/hyperlink" Target="https://www.trexquant.com/" TargetMode="External" Id="rId325"/><Relationship Type="http://schemas.openxmlformats.org/officeDocument/2006/relationships/hyperlink" Target="https://www.builtinnyc.com/company/trexquant-investment/offices" TargetMode="External" Id="rId326"/><Relationship Type="http://schemas.openxmlformats.org/officeDocument/2006/relationships/hyperlink" Target="https://www.connectcre.com/stories/bxp-secures-230k-sf-of-leases-at-360-park-ave-south/" TargetMode="External" Id="rId327"/><Relationship Type="http://schemas.openxmlformats.org/officeDocument/2006/relationships/hyperlink" Target="https://commercialobserver.com/?p=563472" TargetMode="External" Id="rId328"/><Relationship Type="http://schemas.openxmlformats.org/officeDocument/2006/relationships/hyperlink" Target="https://ottobrandlab.com" TargetMode="External" Id="rId329"/><Relationship Type="http://schemas.openxmlformats.org/officeDocument/2006/relationships/hyperlink" Target="https://ottobrandlab.com/contact" TargetMode="External" Id="rId330"/><Relationship Type="http://schemas.openxmlformats.org/officeDocument/2006/relationships/hyperlink" Target="https://commercialobserver.com/2022/10/otto-brand-labs-takes-5k-sf-at-25-west-26th-street/" TargetMode="External" Id="rId331"/><Relationship Type="http://schemas.openxmlformats.org/officeDocument/2006/relationships/hyperlink" Target="https://commercialobserver.com/2023/10/idesco-renewal-37-west-26th-street/" TargetMode="External" Id="rId332"/><Relationship Type="http://schemas.openxmlformats.org/officeDocument/2006/relationships/hyperlink" Target="https://www.activate.com" TargetMode="External" Id="rId333"/><Relationship Type="http://schemas.openxmlformats.org/officeDocument/2006/relationships/hyperlink" Target="https://www.builtinnyc.com/company/activate-consulting/offices" TargetMode="External" Id="rId334"/><Relationship Type="http://schemas.openxmlformats.org/officeDocument/2006/relationships/hyperlink" Target="https://commercialobserver.com/2025/09/activate-consulting-doubles-its-nomad-footprint/" TargetMode="External" Id="rId335"/><Relationship Type="http://schemas.openxmlformats.org/officeDocument/2006/relationships/hyperlink" Target="https://www.builtinnyc.com/company/activate-consulting/offices" TargetMode="External" Id="rId336"/><Relationship Type="http://schemas.openxmlformats.org/officeDocument/2006/relationships/hyperlink" Target="https://www.butterflynetwork.com" TargetMode="External" Id="rId337"/><Relationship Type="http://schemas.openxmlformats.org/officeDocument/2006/relationships/hyperlink" Target="https://www.builtinnyc.com/company/butterfly-network-inc/offices" TargetMode="External" Id="rId338"/><Relationship Type="http://schemas.openxmlformats.org/officeDocument/2006/relationships/hyperlink" Target="https://commercialobserver.com/2025/09/activate-consulting-doubles-its-nomad-footprint/" TargetMode="External" Id="rId339"/><Relationship Type="http://schemas.openxmlformats.org/officeDocument/2006/relationships/hyperlink" Target="https://www.builtinnyc.com/company/butterfly-network-inc/offices" TargetMode="External" Id="rId340"/><Relationship Type="http://schemas.openxmlformats.org/officeDocument/2006/relationships/hyperlink" Target="https://www.holocene.com" TargetMode="External" Id="rId341"/><Relationship Type="http://schemas.openxmlformats.org/officeDocument/2006/relationships/hyperlink" Target="https://commercialobserver.com/2025/10/lutron-electronics-office-lease-11-east-26th-street/" TargetMode="External" Id="rId342"/><Relationship Type="http://schemas.openxmlformats.org/officeDocument/2006/relationships/hyperlink" Target="https://commercialobserver.com/2025/03/reckoner-capital-management-lease-11-east-26th-street/" TargetMode="External" Id="rId343"/><Relationship Type="http://schemas.openxmlformats.org/officeDocument/2006/relationships/hyperlink" Target="https://commercialobserver.com/2025/09/activate-consulting-doubles-its-nomad-footprint/" TargetMode="External" Id="rId344"/><Relationship Type="http://schemas.openxmlformats.org/officeDocument/2006/relationships/hyperlink" Target="https://www.order.co" TargetMode="External" Id="rId345"/><Relationship Type="http://schemas.openxmlformats.org/officeDocument/2006/relationships/hyperlink" Target="https://www.builtinnyc.com/company/orderco/offices" TargetMode="External" Id="rId346"/><Relationship Type="http://schemas.openxmlformats.org/officeDocument/2006/relationships/hyperlink" Target="https://commercialobserver.com/2026/02/order-co-sublease-11-east-26th-street/" TargetMode="External" Id="rId347"/><Relationship Type="http://schemas.openxmlformats.org/officeDocument/2006/relationships/hyperlink" Target="https://reckoner.com" TargetMode="External" Id="rId348"/><Relationship Type="http://schemas.openxmlformats.org/officeDocument/2006/relationships/hyperlink" Target="https://commercialobserver.com/2025/03/reckoner-capital-management-lease-11-east-26th-street/" TargetMode="External" Id="rId349"/><Relationship Type="http://schemas.openxmlformats.org/officeDocument/2006/relationships/hyperlink" Target="https://commercialobserver.com/2025/10/lutron-electronics-office-lease-11-east-26th-street/" TargetMode="External" Id="rId350"/><Relationship Type="http://schemas.openxmlformats.org/officeDocument/2006/relationships/hyperlink" Target="https://www.suvcap.com" TargetMode="External" Id="rId351"/><Relationship Type="http://schemas.openxmlformats.org/officeDocument/2006/relationships/hyperlink" Target="https://commercialobserver.com/2025/05/suvretta-capital-managment-lease-11-east-26th-street/" TargetMode="External" Id="rId352"/><Relationship Type="http://schemas.openxmlformats.org/officeDocument/2006/relationships/hyperlink" Target="https://commercialobserver.com/2026/09/vestal-point-capital-lease-rockrose-development-11-east-26th-street/" TargetMode="External" Id="rId353"/><Relationship Type="http://schemas.openxmlformats.org/officeDocument/2006/relationships/hyperlink" Target="https://warrenequity.com" TargetMode="External" Id="rId354"/><Relationship Type="http://schemas.openxmlformats.org/officeDocument/2006/relationships/hyperlink" Target="https://commercialobserver.com/2025/06/warren-equity-partners-moving-nyc-hq-to-11-east-26th-street-in-24k-sf-lease/" TargetMode="External" Id="rId355"/><Relationship Type="http://schemas.openxmlformats.org/officeDocument/2006/relationships/hyperlink" Target="https://warrenequity.com/contact-us/" TargetMode="External" Id="rId356"/><Relationship Type="http://schemas.openxmlformats.org/officeDocument/2006/relationships/hyperlink" Target="https://www.at-bay.com/" TargetMode="External" Id="rId357"/><Relationship Type="http://schemas.openxmlformats.org/officeDocument/2006/relationships/hyperlink" Target="https://www.builtinnyc.com/company/at-bay/offices" TargetMode="External" Id="rId358"/><Relationship Type="http://schemas.openxmlformats.org/officeDocument/2006/relationships/hyperlink" Target="https://www.at-bay.com/about/" TargetMode="External" Id="rId359"/><Relationship Type="http://schemas.openxmlformats.org/officeDocument/2006/relationships/hyperlink" Target="https://accessibe.com" TargetMode="External" Id="rId360"/><Relationship Type="http://schemas.openxmlformats.org/officeDocument/2006/relationships/hyperlink" Target="https://www.builtinnyc.com/company/accessibe/offices" TargetMode="External" Id="rId361"/><Relationship Type="http://schemas.openxmlformats.org/officeDocument/2006/relationships/hyperlink" Target="https://www.builtinnyc.com/company/accessibe/offices" TargetMode="External" Id="rId362"/><Relationship Type="http://schemas.openxmlformats.org/officeDocument/2006/relationships/hyperlink" Target="https://commercialobserver.com/2022/07/acessibe-1140-broadway/" TargetMode="External" Id="rId363"/><Relationship Type="http://schemas.openxmlformats.org/officeDocument/2006/relationships/hyperlink" Target="https://simplebet.io" TargetMode="External" Id="rId364"/><Relationship Type="http://schemas.openxmlformats.org/officeDocument/2006/relationships/hyperlink" Target="https://www.builtinnyc.com/company/simplebet/offices" TargetMode="External" Id="rId365"/><Relationship Type="http://schemas.openxmlformats.org/officeDocument/2006/relationships/hyperlink" Target="https://commercialobserver.com/2025/05/empire-capital-buys-373-381-park-avenue-south/" TargetMode="External" Id="rId366"/><Relationship Type="http://schemas.openxmlformats.org/officeDocument/2006/relationships/hyperlink" Target="https://www.builtinnyc.com/company/simplebet/offices" TargetMode="External" Id="rId367"/><Relationship Type="http://schemas.openxmlformats.org/officeDocument/2006/relationships/hyperlink" Target="https://commercialobserver.com/2026/08/arca-financial-lease-60-madison-avenue-moinian/" TargetMode="External" Id="rId368"/><Relationship Type="http://schemas.openxmlformats.org/officeDocument/2006/relationships/hyperlink" Target="https://www.collectedstrategies.com" TargetMode="External" Id="rId369"/><Relationship Type="http://schemas.openxmlformats.org/officeDocument/2006/relationships/hyperlink" Target="https://commercialobserver.com/2025/08/comms-firm-collected-strategies-takes-10k-sf-moinians-60-madison/" TargetMode="External" Id="rId370"/><Relationship Type="http://schemas.openxmlformats.org/officeDocument/2006/relationships/hyperlink" Target="https://www.collectedstrategies.com/" TargetMode="External" Id="rId371"/><Relationship Type="http://schemas.openxmlformats.org/officeDocument/2006/relationships/hyperlink" Target="https://www.fullpicture.com" TargetMode="External" Id="rId372"/><Relationship Type="http://schemas.openxmlformats.org/officeDocument/2006/relationships/hyperlink" Target="https://commercialobserver.com/2026/06/moinian-group-tenex-labs-lease-60-madison-avenue/" TargetMode="External" Id="rId373"/><Relationship Type="http://schemas.openxmlformats.org/officeDocument/2006/relationships/hyperlink" Target="https://www.fullpicture.com/" TargetMode="External" Id="rId374"/><Relationship Type="http://schemas.openxmlformats.org/officeDocument/2006/relationships/hyperlink" Target="https://commercialobserver.com/2026/06/moinian-group-tenex-labs-lease-60-madison-avenue/" TargetMode="External" Id="rId375"/><Relationship Type="http://schemas.openxmlformats.org/officeDocument/2006/relationships/hyperlink" Target="https://commercialobserver.com/2026/06/moinian-group-tenex-labs-lease-60-madison-avenue/" TargetMode="External" Id="rId376"/><Relationship Type="http://schemas.openxmlformats.org/officeDocument/2006/relationships/hyperlink" Target="https://commercialobserver.com/2025/04/envogue-international-lease-230-fifth-avenue/" TargetMode="External" Id="rId377"/><Relationship Type="http://schemas.openxmlformats.org/officeDocument/2006/relationships/hyperlink" Target="https://slhomefashions.com" TargetMode="External" Id="rId378"/><Relationship Type="http://schemas.openxmlformats.org/officeDocument/2006/relationships/hyperlink" Target="https://commercialobserver.com/2024/10/sl-home-fashions-lease-230-fifth-avenue/" TargetMode="External" Id="rId379"/><Relationship Type="http://schemas.openxmlformats.org/officeDocument/2006/relationships/hyperlink" Target="https://slhomefashions.com/contact/" TargetMode="External" Id="rId380"/><Relationship Type="http://schemas.openxmlformats.org/officeDocument/2006/relationships/hyperlink" Target="https://us.caudalie.com" TargetMode="External" Id="rId381"/><Relationship Type="http://schemas.openxmlformats.org/officeDocument/2006/relationships/hyperlink" Target="https://commercialobserver.com/2024/01/skin-care-brand-caudalie-signs-14k-sf-lease-at-381-park-avenue-south/" TargetMode="External" Id="rId382"/><Relationship Type="http://schemas.openxmlformats.org/officeDocument/2006/relationships/hyperlink" Target="https://www.etonshirts.com" TargetMode="External" Id="rId383"/><Relationship Type="http://schemas.openxmlformats.org/officeDocument/2006/relationships/hyperlink" Target="https://commercialobserver.com/2024/03/mens-clothing-company-eton-signs-5k-sf-lease-at-381-park-avenue-south/" TargetMode="External" Id="rId384"/><Relationship Type="http://schemas.openxmlformats.org/officeDocument/2006/relationships/hyperlink" Target="https://www.leeandlow.com" TargetMode="External" Id="rId385"/><Relationship Type="http://schemas.openxmlformats.org/officeDocument/2006/relationships/hyperlink" Target="https://www.leeandlow.com/about/" TargetMode="External" Id="rId386"/><Relationship Type="http://schemas.openxmlformats.org/officeDocument/2006/relationships/hyperlink" Target="https://commercialobserver.com/2024/04/publisher-lee-low-moving-offices-to-6k-sf-at-381-park-avenue-south/" TargetMode="External" Id="rId387"/><Relationship Type="http://schemas.openxmlformats.org/officeDocument/2006/relationships/hyperlink" Target="https://commercialobserver.com/2026/08/swa-group-lease-381-park-avenue-south/" TargetMode="External" Id="rId388"/><Relationship Type="http://schemas.openxmlformats.org/officeDocument/2006/relationships/hyperlink" Target="https://www.corcoran.com" TargetMode="External" Id="rId389"/><Relationship Type="http://schemas.openxmlformats.org/officeDocument/2006/relationships/hyperlink" Target="https://commercialobserver.com/2026/04/corcoran-group-lease-381-park-avenue-south/" TargetMode="External" Id="rId390"/><Relationship Type="http://schemas.openxmlformats.org/officeDocument/2006/relationships/hyperlink" Target="https://carbyne.com" TargetMode="External" Id="rId391"/><Relationship Type="http://schemas.openxmlformats.org/officeDocument/2006/relationships/hyperlink" Target="https://www.builtinnyc.com/company/carbyne/offices" TargetMode="External" Id="rId392"/><Relationship Type="http://schemas.openxmlformats.org/officeDocument/2006/relationships/hyperlink" Target="https://carbyne.com/company/about-us/" TargetMode="External" Id="rId393"/><Relationship Type="http://schemas.openxmlformats.org/officeDocument/2006/relationships/hyperlink" Target="https://www.builtinnyc.com/company/carbyne/offices" TargetMode="External" Id="rId394"/><Relationship Type="http://schemas.openxmlformats.org/officeDocument/2006/relationships/hyperlink" Target="https://www.everlast.com" TargetMode="External" Id="rId395"/><Relationship Type="http://schemas.openxmlformats.org/officeDocument/2006/relationships/hyperlink" Target="https://commercialobserver.com/2023/12/boxing-equipment-maker-everlast-signs-office-lease-15-west-27th-street/" TargetMode="External" Id="rId396"/><Relationship Type="http://schemas.openxmlformats.org/officeDocument/2006/relationships/hyperlink" Target="https://us.christianlouboutin.com" TargetMode="External" Id="rId397"/><Relationship Type="http://schemas.openxmlformats.org/officeDocument/2006/relationships/hyperlink" Target="https://commercialobserver.com/2026/03/thor-equities-buys-1165-broadway/" TargetMode="External" Id="rId398"/><Relationship Type="http://schemas.openxmlformats.org/officeDocument/2006/relationships/hyperlink" Target="https://www.primarywave.com" TargetMode="External" Id="rId399"/><Relationship Type="http://schemas.openxmlformats.org/officeDocument/2006/relationships/hyperlink" Target="https://www.builtinnyc.com/company/primary-wave/offices" TargetMode="External" Id="rId400"/><Relationship Type="http://schemas.openxmlformats.org/officeDocument/2006/relationships/hyperlink" Target="https://commercialobserver.com/2026/03/thor-equities-buys-1165-broadway/" TargetMode="External" Id="rId401"/><Relationship Type="http://schemas.openxmlformats.org/officeDocument/2006/relationships/hyperlink" Target="https://primarywave.com/contact/" TargetMode="External" Id="rId402"/><Relationship Type="http://schemas.openxmlformats.org/officeDocument/2006/relationships/hyperlink" Target="https://www.hanoverpark.com" TargetMode="External" Id="rId403"/><Relationship Type="http://schemas.openxmlformats.org/officeDocument/2006/relationships/hyperlink" Target="https://www.builtinnyc.com/company/hanover-park/offices" TargetMode="External" Id="rId404"/><Relationship Type="http://schemas.openxmlformats.org/officeDocument/2006/relationships/hyperlink" Target="https://commercialobserver.com/2026/08/hanover-park-lease-tf-cornerstone-387-park-avenue-south/" TargetMode="External" Id="rId405"/><Relationship Type="http://schemas.openxmlformats.org/officeDocument/2006/relationships/hyperlink" Target="https://www.connectcre.com/stories/ai-native-hanover-park-leases-full-floor-at-387-park-ave-south/" TargetMode="External" Id="rId406"/><Relationship Type="http://schemas.openxmlformats.org/officeDocument/2006/relationships/hyperlink" Target="https://khealth.com" TargetMode="External" Id="rId407"/><Relationship Type="http://schemas.openxmlformats.org/officeDocument/2006/relationships/hyperlink" Target="https://www.builtinnyc.com/company/k-health/offices" TargetMode="External" Id="rId408"/><Relationship Type="http://schemas.openxmlformats.org/officeDocument/2006/relationships/hyperlink" Target="https://www.connectcre.com/stories/ai-native-hanover-park-leases-full-floor-at-387-park-ave-south/" TargetMode="External" Id="rId409"/><Relationship Type="http://schemas.openxmlformats.org/officeDocument/2006/relationships/hyperlink" Target="https://khealth.com/terms-of-use/" TargetMode="External" Id="rId410"/><Relationship Type="http://schemas.openxmlformats.org/officeDocument/2006/relationships/hyperlink" Target="https://commercialobserver.com/2026/02/primary-ventures-sigma-computing-leases-386-park-avenue-south/" TargetMode="External" Id="rId411"/><Relationship Type="http://schemas.openxmlformats.org/officeDocument/2006/relationships/hyperlink" Target="https://www.primary.vc" TargetMode="External" Id="rId412"/><Relationship Type="http://schemas.openxmlformats.org/officeDocument/2006/relationships/hyperlink" Target="https://commercialobserver.com/2023/07/primary-vc-sublease-386-park-avenue-south/" TargetMode="External" Id="rId413"/><Relationship Type="http://schemas.openxmlformats.org/officeDocument/2006/relationships/hyperlink" Target="https://commercialobserver.com/2026/02/primary-ventures-sigma-computing-leases-386-park-avenue-south/" TargetMode="External" Id="rId414"/><Relationship Type="http://schemas.openxmlformats.org/officeDocument/2006/relationships/hyperlink" Target="https://commercialobserver.com/2023/07/primary-vc-sublease-386-park-avenue-south/" TargetMode="External" Id="rId415"/><Relationship Type="http://schemas.openxmlformats.org/officeDocument/2006/relationships/hyperlink" Target="https://commercialobserver.com/2025/03/institute-of-integrative-nutrition-moinian-group-245-fifth-avenue/" TargetMode="External" Id="rId416"/><Relationship Type="http://schemas.openxmlformats.org/officeDocument/2006/relationships/hyperlink" Target="https://us.mcmworldwide.com" TargetMode="External" Id="rId417"/><Relationship Type="http://schemas.openxmlformats.org/officeDocument/2006/relationships/hyperlink" Target="https://commercialobserver.com/2025/11/mcm-lease-245-fifth-avenue/" TargetMode="External" Id="rId418"/><Relationship Type="http://schemas.openxmlformats.org/officeDocument/2006/relationships/hyperlink" Target="https://www.chnnyc.org" TargetMode="External" Id="rId419"/><Relationship Type="http://schemas.openxmlformats.org/officeDocument/2006/relationships/hyperlink" Target="https://commercialobserver.com/2025/02/community-healthcare-network-lease-44-west-28th-street/" TargetMode="External" Id="rId420"/><Relationship Type="http://schemas.openxmlformats.org/officeDocument/2006/relationships/hyperlink" Target="https://www.chnnyc.org/contact/" TargetMode="External" Id="rId421"/><Relationship Type="http://schemas.openxmlformats.org/officeDocument/2006/relationships/hyperlink" Target="https://commercialobserver.com/2023/01/beauty-pr-firm-french-skin-care-manufacturer-ink-deals-at-261-fifth-ave/" TargetMode="External" Id="rId422"/><Relationship Type="http://schemas.openxmlformats.org/officeDocument/2006/relationships/hyperlink" Target="https://www.fcarchitects.com" TargetMode="External" Id="rId423"/><Relationship Type="http://schemas.openxmlformats.org/officeDocument/2006/relationships/hyperlink" Target="https://commercialobserver.com/2025/02/fca-lease-261-fifth-avenue/" TargetMode="External" Id="rId424"/><Relationship Type="http://schemas.openxmlformats.org/officeDocument/2006/relationships/hyperlink" Target="https://www.fcarchitects.com/contact" TargetMode="External" Id="rId425"/><Relationship Type="http://schemas.openxmlformats.org/officeDocument/2006/relationships/hyperlink" Target="https://commercialobserver.com/2026/06/mediaplus-group-lease-432-park-avenue-south/" TargetMode="External" Id="rId426"/><Relationship Type="http://schemas.openxmlformats.org/officeDocument/2006/relationships/hyperlink" Target="https://www.pumpkin.care" TargetMode="External" Id="rId427"/><Relationship Type="http://schemas.openxmlformats.org/officeDocument/2006/relationships/hyperlink" Target="https://www.builtinnyc.com/company/pumpkin/offices" TargetMode="External" Id="rId428"/><Relationship Type="http://schemas.openxmlformats.org/officeDocument/2006/relationships/hyperlink" Target="https://www.builtinnyc.com/company/pumpkin/offices" TargetMode="External" Id="rId429"/><Relationship Type="http://schemas.openxmlformats.org/officeDocument/2006/relationships/hyperlink" Target="https://commercialobserver.com/2023/01/pumpkin-pet-insurance-takes-10k-sf-at-432-park-avenue/" TargetMode="External" Id="rId430"/><Relationship Type="http://schemas.openxmlformats.org/officeDocument/2006/relationships/hyperlink" Target="https://www.avp.vc" TargetMode="External" Id="rId431"/><Relationship Type="http://schemas.openxmlformats.org/officeDocument/2006/relationships/hyperlink" Target="https://commercialobserver.com/2025/09/investment-firm-atlantic-vantage-point-takes-8k-sf-at-99-madison-avenue/" TargetMode="External" Id="rId432"/><Relationship Type="http://schemas.openxmlformats.org/officeDocument/2006/relationships/hyperlink" Target="https://commercialobserver.com/2025/11/davies-group-lease-99-madison-avenue/" TargetMode="External" Id="rId433"/><Relationship Type="http://schemas.openxmlformats.org/officeDocument/2006/relationships/hyperlink" Target="https://innovant.com" TargetMode="External" Id="rId434"/><Relationship Type="http://schemas.openxmlformats.org/officeDocument/2006/relationships/hyperlink" Target="https://commercialobserver.com/2023/06/innovant-440-park-avenue-south-nomad/" TargetMode="External" Id="rId435"/><Relationship Type="http://schemas.openxmlformats.org/officeDocument/2006/relationships/hyperlink" Target="https://innovant.com/contact-us/" TargetMode="External" Id="rId436"/><Relationship Type="http://schemas.openxmlformats.org/officeDocument/2006/relationships/hyperlink" Target="https://www.signal-ai.com" TargetMode="External" Id="rId437"/><Relationship Type="http://schemas.openxmlformats.org/officeDocument/2006/relationships/hyperlink" Target="https://www.builtinnyc.com/company/signal-ai/offices" TargetMode="External" Id="rId438"/><Relationship Type="http://schemas.openxmlformats.org/officeDocument/2006/relationships/hyperlink" Target="https://www.signal-ai.com/" TargetMode="External" Id="rId439"/><Relationship Type="http://schemas.openxmlformats.org/officeDocument/2006/relationships/hyperlink" Target="https://www.builtinnyc.com/company/signal-ai/offices" TargetMode="External" Id="rId440"/><Relationship Type="http://schemas.openxmlformats.org/officeDocument/2006/relationships/hyperlink" Target="https://www.builtinnyc.com/company/agentio/offices" TargetMode="External" Id="rId441"/><Relationship Type="http://schemas.openxmlformats.org/officeDocument/2006/relationships/hyperlink" Target="https://commercialobserver.com/2026/03/agentio-lease-295-fifth-avenue/" TargetMode="External" Id="rId442"/><Relationship Type="http://schemas.openxmlformats.org/officeDocument/2006/relationships/hyperlink" Target="https://www.builtinnyc.com/company/agentio/offices" TargetMode="External" Id="rId443"/><Relationship Type="http://schemas.openxmlformats.org/officeDocument/2006/relationships/hyperlink" Target="https://www.pilotfiber.com/" TargetMode="External" Id="rId444"/><Relationship Type="http://schemas.openxmlformats.org/officeDocument/2006/relationships/hyperlink" Target="https://www.pilotfiber.com/legal" TargetMode="External" Id="rId445"/><Relationship Type="http://schemas.openxmlformats.org/officeDocument/2006/relationships/hyperlink" Target="https://commercialobserver.com/2026/01/purple-lease-16-madison-square-west/" TargetMode="External" Id="rId446"/><Relationship Type="http://schemas.openxmlformats.org/officeDocument/2006/relationships/hyperlink" Target="https://www.deerfield.com/" TargetMode="External" Id="rId447"/><Relationship Type="http://schemas.openxmlformats.org/officeDocument/2006/relationships/hyperlink" Target="https://en.wikipedia.org/wiki/Deerfield_Management" TargetMode="External" Id="rId448"/><Relationship Type="http://schemas.openxmlformats.org/officeDocument/2006/relationships/hyperlink" Target="https://www.deerfield.com/contact" TargetMode="External" Id="rId449"/><Relationship Type="http://schemas.openxmlformats.org/officeDocument/2006/relationships/hyperlink" Target="https://en.wikipedia.org/wiki/Deerfield_Management" TargetMode="External" Id="rId450"/><Relationship Type="http://schemas.openxmlformats.org/officeDocument/2006/relationships/hyperlink" Target="https://insilico.com/" TargetMode="External" Id="rId451"/><Relationship Type="http://schemas.openxmlformats.org/officeDocument/2006/relationships/hyperlink" Target="https://www.builtinnyc.com/company/insilico-medicine/offices" TargetMode="External" Id="rId452"/><Relationship Type="http://schemas.openxmlformats.org/officeDocument/2006/relationships/hyperlink" Target="https://wewillcure.com/community/residents" TargetMode="External" Id="rId453"/><Relationship Type="http://schemas.openxmlformats.org/officeDocument/2006/relationships/hyperlink" Target="https://www.lexeotx.com/" TargetMode="External" Id="rId454"/><Relationship Type="http://schemas.openxmlformats.org/officeDocument/2006/relationships/hyperlink" Target="https://www.builtinnyc.com/company/lexeo-therapeutics/offices" TargetMode="External" Id="rId455"/><Relationship Type="http://schemas.openxmlformats.org/officeDocument/2006/relationships/hyperlink" Target="https://wewillcure.com/community/residents" TargetMode="External" Id="rId456"/><Relationship Type="http://schemas.openxmlformats.org/officeDocument/2006/relationships/hyperlink" Target="https://www.builtinnyc.com/company/lexeo-therapeutics/offices" TargetMode="External" Id="rId457"/><Relationship Type="http://schemas.openxmlformats.org/officeDocument/2006/relationships/hyperlink" Target="https://montecarlo.ai" TargetMode="External" Id="rId458"/><Relationship Type="http://schemas.openxmlformats.org/officeDocument/2006/relationships/hyperlink" Target="https://www.builtinnyc.com/company/monte-carlo/offices" TargetMode="External" Id="rId459"/><Relationship Type="http://schemas.openxmlformats.org/officeDocument/2006/relationships/hyperlink" Target="https://www.builtinnyc.com/company/monte-carlo/offices" TargetMode="External" Id="rId460"/><Relationship Type="http://schemas.openxmlformats.org/officeDocument/2006/relationships/hyperlink" Target="https://liquidspace.com/us/ny/new-york/wework-27-e-28th-st" TargetMode="External" Id="rId461"/><Relationship Type="http://schemas.openxmlformats.org/officeDocument/2006/relationships/hyperlink" Target="https://www.augury.com" TargetMode="External" Id="rId462"/><Relationship Type="http://schemas.openxmlformats.org/officeDocument/2006/relationships/hyperlink" Target="https://www.builtinnyc.com/company/augury/offices" TargetMode="External" Id="rId463"/><Relationship Type="http://schemas.openxmlformats.org/officeDocument/2006/relationships/hyperlink" Target="https://www.builtinnyc.com/company/augury/offices" TargetMode="External" Id="rId464"/></Relationships>
</file>

<file path=xl/worksheets/_rels/sheet2.xml.rels><Relationships xmlns="http://schemas.openxmlformats.org/package/2006/relationships"><Relationship Type="http://schemas.openxmlformats.org/officeDocument/2006/relationships/hyperlink" Target="https://853broadway.sharplaunch.com/" TargetMode="External" Id="rId1"/><Relationship Type="http://schemas.openxmlformats.org/officeDocument/2006/relationships/hyperlink" Target="https://www.metro-manhattan.com/buildings/215-park-avenue-south/" TargetMode="External" Id="rId2"/><Relationship Type="http://schemas.openxmlformats.org/officeDocument/2006/relationships/hyperlink" Target="https://www.metro-manhattan.com/buildings/620-avenue-of-the-americas/" TargetMode="External" Id="rId3"/><Relationship Type="http://schemas.openxmlformats.org/officeDocument/2006/relationships/hyperlink" Target="https://www.metro-manhattan.com/buildings/115-fifth-avenue/" TargetMode="External" Id="rId4"/><Relationship Type="http://schemas.openxmlformats.org/officeDocument/2006/relationships/hyperlink" Target="https://www.metro-manhattan.com/buildings/37-west-20th-street-office-space-for-lease/" TargetMode="External" Id="rId5"/><Relationship Type="http://schemas.openxmlformats.org/officeDocument/2006/relationships/hyperlink" Target="https://www.metro-manhattan.com/buildings/902-broadway/" TargetMode="External" Id="rId6"/><Relationship Type="http://schemas.openxmlformats.org/officeDocument/2006/relationships/hyperlink" Target="https://www.metro-manhattan.com/buildings/915-broadway-office-space-for-lease/" TargetMode="External" Id="rId7"/><Relationship Type="http://schemas.openxmlformats.org/officeDocument/2006/relationships/hyperlink" Target="https://commercialobserver.com/2022/06/the-information-20-west-22nd-street/" TargetMode="External" Id="rId8"/><Relationship Type="http://schemas.openxmlformats.org/officeDocument/2006/relationships/hyperlink" Target="https://rockrose.com/office/300-park-ave-s/" TargetMode="External" Id="rId9"/><Relationship Type="http://schemas.openxmlformats.org/officeDocument/2006/relationships/hyperlink" Target="https://nyrej.com/index.php/two-new-leases-signed-at-50-west-23rd-st" TargetMode="External" Id="rId10"/><Relationship Type="http://schemas.openxmlformats.org/officeDocument/2006/relationships/hyperlink" Target="https://www.adamsre.com/collections/madison-square-park/products/53-west-23rd" TargetMode="External" Id="rId11"/><Relationship Type="http://schemas.openxmlformats.org/officeDocument/2006/relationships/hyperlink" Target="https://en.wikipedia.org/wiki/11_Madison_Avenue" TargetMode="External" Id="rId12"/><Relationship Type="http://schemas.openxmlformats.org/officeDocument/2006/relationships/hyperlink" Target="https://www.adamsre.com/collections/madison-square-park/products/16-madison-square-west" TargetMode="External" Id="rId13"/><Relationship Type="http://schemas.openxmlformats.org/officeDocument/2006/relationships/hyperlink" Target="https://www.metro-manhattan.com/buildings/41-madison-avenue-forty-one-madison-office-space/" TargetMode="External" Id="rId14"/><Relationship Type="http://schemas.openxmlformats.org/officeDocument/2006/relationships/hyperlink" Target="https://www.metro-manhattan.com/buildings/1140-broadway-office-space-for-lease/" TargetMode="External" Id="rId15"/><Relationship Type="http://schemas.openxmlformats.org/officeDocument/2006/relationships/hyperlink" Target="https://www.metro-manhattan.com/buildings/245-fifth-avenue-office-space-for-lease/" TargetMode="External" Id="rId16"/><Relationship Type="http://schemas.openxmlformats.org/officeDocument/2006/relationships/hyperlink" Target="https://www.metro-manhattan.com/buildings/261-fifth-avenue-office-space-for-lease/" TargetMode="External" Id="rId17"/></Relationships>
</file>

<file path=xl/worksheets/_rels/sheet3.xml.rels><Relationships xmlns="http://schemas.openxmlformats.org/package/2006/relationships"><Relationship Type="http://schemas.openxmlformats.org/officeDocument/2006/relationships/hyperlink" Target="https://civichall.org/memberships" TargetMode="External" Id="rId1"/><Relationship Type="http://schemas.openxmlformats.org/officeDocument/2006/relationships/hyperlink" Target="https://civichall.org/contact-us/" TargetMode="External" Id="rId2"/><Relationship Type="http://schemas.openxmlformats.org/officeDocument/2006/relationships/hyperlink" Target="https://commercialobserver.com/2025/02/capital-one-expansion-114-fifth-avenue/" TargetMode="External" Id="rId3"/><Relationship Type="http://schemas.openxmlformats.org/officeDocument/2006/relationships/hyperlink" Target="https://www.industriousoffice.com/locations/manhattan---860-broadway-6th-floor" TargetMode="External" Id="rId4"/><Relationship Type="http://schemas.openxmlformats.org/officeDocument/2006/relationships/hyperlink" Target="https://www.industriousoffice.com/m/new-york-city" TargetMode="External" Id="rId5"/><Relationship Type="http://schemas.openxmlformats.org/officeDocument/2006/relationships/hyperlink" Target="https://www.deskpass.com/us-en/ny/new-york-city" TargetMode="External" Id="rId6"/><Relationship Type="http://schemas.openxmlformats.org/officeDocument/2006/relationships/hyperlink" Target="https://www.industriousoffice.com/locations/215-park-avenue-south-11th-floor" TargetMode="External" Id="rId7"/><Relationship Type="http://schemas.openxmlformats.org/officeDocument/2006/relationships/hyperlink" Target="https://www.industriousoffice.com/m/new-york-city" TargetMode="External" Id="rId8"/><Relationship Type="http://schemas.openxmlformats.org/officeDocument/2006/relationships/hyperlink" Target="https://www.deskpass.com/us-en/ny/new-york-city" TargetMode="External" Id="rId9"/><Relationship Type="http://schemas.openxmlformats.org/officeDocument/2006/relationships/hyperlink" Target="https://www.wework.com/buildings/18-west-18th-street--new-york-city--NY" TargetMode="External" Id="rId10"/><Relationship Type="http://schemas.openxmlformats.org/officeDocument/2006/relationships/hyperlink" Target="https://www.wework.com/buildings/18-west-18th-street--new-york-city--NY" TargetMode="External" Id="rId11"/><Relationship Type="http://schemas.openxmlformats.org/officeDocument/2006/relationships/hyperlink" Target="https://api.deskpass.com/api/spaces/the-malin-flatiron" TargetMode="External" Id="rId12"/><Relationship Type="http://schemas.openxmlformats.org/officeDocument/2006/relationships/hyperlink" Target="https://rebusinessonline.com/the-malin-opens-32700-sf-coworking-space-in-manhattans-flatiron-district/" TargetMode="External" Id="rId13"/><Relationship Type="http://schemas.openxmlformats.org/officeDocument/2006/relationships/hyperlink" Target="https://commercialobserver.com/2024/11/the-malin-lease-895-broadway" TargetMode="External" Id="rId14"/><Relationship Type="http://schemas.openxmlformats.org/officeDocument/2006/relationships/hyperlink" Target="https://www.industriousoffice.com/locations/156-5th-avenue-4th-floor-new-york" TargetMode="External" Id="rId15"/><Relationship Type="http://schemas.openxmlformats.org/officeDocument/2006/relationships/hyperlink" Target="https://www.industriousoffice.com/m/new-york-city" TargetMode="External" Id="rId16"/><Relationship Type="http://schemas.openxmlformats.org/officeDocument/2006/relationships/hyperlink" Target="https://commercialobserver.com/2026/03/industrious-leases-110-east-42nd-street/" TargetMode="External" Id="rId17"/><Relationship Type="http://schemas.openxmlformats.org/officeDocument/2006/relationships/hyperlink" Target="https://www.industriousoffice.com/locations/902-broadway-7th-floor-new-york" TargetMode="External" Id="rId18"/><Relationship Type="http://schemas.openxmlformats.org/officeDocument/2006/relationships/hyperlink" Target="https://www.industriousoffice.com/m/new-york-city" TargetMode="External" Id="rId19"/><Relationship Type="http://schemas.openxmlformats.org/officeDocument/2006/relationships/hyperlink" Target="https://www.connectcre.com/stories/industrious-commits-to-full-floor-space-in-flatiron-district/" TargetMode="External" Id="rId20"/><Relationship Type="http://schemas.openxmlformats.org/officeDocument/2006/relationships/hyperlink" Target="https://flatironnomad.nyc/2024/06/26/meet-le-parc/" TargetMode="External" Id="rId21"/><Relationship Type="http://schemas.openxmlformats.org/officeDocument/2006/relationships/hyperlink" Target="https://www.deskpass.com/us-en/ny/new-york-city" TargetMode="External" Id="rId22"/><Relationship Type="http://schemas.openxmlformats.org/officeDocument/2006/relationships/hyperlink" Target="https://www.selectofficesuites.com/office-space-for-rent-flatiron-district-new-york-city/" TargetMode="External" Id="rId23"/><Relationship Type="http://schemas.openxmlformats.org/officeDocument/2006/relationships/hyperlink" Target="https://www.selectofficesuites.com/office-space-for-rent-flatiron-district-new-york-city/" TargetMode="External" Id="rId24"/><Relationship Type="http://schemas.openxmlformats.org/officeDocument/2006/relationships/hyperlink" Target="https://liquidspace.com/US/NY/new-york/select-office-suites-flatiron" TargetMode="External" Id="rId25"/><Relationship Type="http://schemas.openxmlformats.org/officeDocument/2006/relationships/hyperlink" Target="https://www.neuehouse.com/private-events/madison-square/" TargetMode="External" Id="rId26"/><Relationship Type="http://schemas.openxmlformats.org/officeDocument/2006/relationships/hyperlink" Target="https://nyrej.com/print/57154" TargetMode="External" Id="rId27"/><Relationship Type="http://schemas.openxmlformats.org/officeDocument/2006/relationships/hyperlink" Target="https://www.neuehouse.com/private-events/madison-square/" TargetMode="External" Id="rId28"/><Relationship Type="http://schemas.openxmlformats.org/officeDocument/2006/relationships/hyperlink" Target="https://old.regus.com/offices/united-states/new-york/new-york-city/office-space/ny-new-york-city-41-madison-avenue" TargetMode="External" Id="rId29"/><Relationship Type="http://schemas.openxmlformats.org/officeDocument/2006/relationships/hyperlink" Target="https://wewillcure.com/community/residents" TargetMode="External" Id="rId30"/><Relationship Type="http://schemas.openxmlformats.org/officeDocument/2006/relationships/hyperlink" Target="https://wewillcure.com/community/residents" TargetMode="External" Id="rId31"/><Relationship Type="http://schemas.openxmlformats.org/officeDocument/2006/relationships/hyperlink" Target="https://en.wikipedia.org/wiki/Deerfield_Management" TargetMode="External" Id="rId32"/><Relationship Type="http://schemas.openxmlformats.org/officeDocument/2006/relationships/hyperlink" Target="https://www.industriousoffice.com/locations/776-6th-avenue-2nd-floor-new-york" TargetMode="External" Id="rId33"/><Relationship Type="http://schemas.openxmlformats.org/officeDocument/2006/relationships/hyperlink" Target="https://www.industriousoffice.com/m/new-york-city" TargetMode="External" Id="rId34"/><Relationship Type="http://schemas.openxmlformats.org/officeDocument/2006/relationships/hyperlink" Target="https://commercialobserver.com/2026/03/industrious-leases-110-east-42nd-street/" TargetMode="External" Id="rId35"/><Relationship Type="http://schemas.openxmlformats.org/officeDocument/2006/relationships/hyperlink" Target="https://theyard.com/flatiron-south-coworking/" TargetMode="External" Id="rId36"/><Relationship Type="http://schemas.openxmlformats.org/officeDocument/2006/relationships/hyperlink" Target="https://theyard.com/the-yard-new-york-city/" TargetMode="External" Id="rId37"/><Relationship Type="http://schemas.openxmlformats.org/officeDocument/2006/relationships/hyperlink" Target="https://www.deskpass.com/us-en/ny/new-york-city/coworking-space/nomad" TargetMode="External" Id="rId38"/><Relationship Type="http://schemas.openxmlformats.org/officeDocument/2006/relationships/hyperlink" Target="https://api.deskpass.com/api/spaces/the-malin-nomad" TargetMode="External" Id="rId39"/><Relationship Type="http://schemas.openxmlformats.org/officeDocument/2006/relationships/hyperlink" Target="https://commercialobserver.com/2024/11/the-malin-lease-895-broadway" TargetMode="External" Id="rId40"/><Relationship Type="http://schemas.openxmlformats.org/officeDocument/2006/relationships/hyperlink" Target="https://api.deskpass.com/api/spaces/the-malin-nomad" TargetMode="External" Id="rId41"/><Relationship Type="http://schemas.openxmlformats.org/officeDocument/2006/relationships/hyperlink" Target="https://www.industriousoffice.com/locations/386-park-avenue-south-18th-floor-new-york" TargetMode="External" Id="rId42"/><Relationship Type="http://schemas.openxmlformats.org/officeDocument/2006/relationships/hyperlink" Target="https://www.industriousoffice.com/m/new-york-city" TargetMode="External" Id="rId43"/><Relationship Type="http://schemas.openxmlformats.org/officeDocument/2006/relationships/hyperlink" Target="https://commercialobserver.com/2026/02/industrious-lease-386-park-avenue-south/" TargetMode="External" Id="rId44"/><Relationship Type="http://schemas.openxmlformats.org/officeDocument/2006/relationships/hyperlink" Target="https://www.wework.com/buildings/245-5th-ave--new-york-city--NY" TargetMode="External" Id="rId45"/><Relationship Type="http://schemas.openxmlformats.org/officeDocument/2006/relationships/hyperlink" Target="https://www.wework.com/buildings/245-5th-ave--new-york-city--NY" TargetMode="External" Id="rId46"/><Relationship Type="http://schemas.openxmlformats.org/officeDocument/2006/relationships/hyperlink" Target="https://old.regus.com/offices/united-states/new-york/new-york-city/office-space/ny-new-york-spaces-midtown-south" TargetMode="External" Id="rId47"/><Relationship Type="http://schemas.openxmlformats.org/officeDocument/2006/relationships/hyperlink" Target="https://liquidspace.com/us/ny/new-york/wework-27-e-28th-st" TargetMode="External" Id="rId48"/><Relationship Type="http://schemas.openxmlformats.org/officeDocument/2006/relationships/hyperlink" Target="https://liquidspace.com/us/ny/new-york/wework-27-e-28th-st" TargetMode="External" Id="rId49"/><Relationship Type="http://schemas.openxmlformats.org/officeDocument/2006/relationships/hyperlink" Target="https://www.builtinnyc.com/company/monte-carlo/offices" TargetMode="External" Id="rId50"/><Relationship Type="http://schemas.openxmlformats.org/officeDocument/2006/relationships/hyperlink" Target="https://api.deskpass.com/api/spaces/luminary" TargetMode="External" Id="rId51"/><Relationship Type="http://schemas.openxmlformats.org/officeDocument/2006/relationships/hyperlink" Target="https://www.weareluminary.com/home" TargetMode="External" Id="rId52"/><Relationship Type="http://schemas.openxmlformats.org/officeDocument/2006/relationships/hyperlink" Target="https://api.deskpass.com/api/spaces/luminary" TargetMode="External" Id="rId53"/><Relationship Type="http://schemas.openxmlformats.org/officeDocument/2006/relationships/hyperlink" Target="https://api.deskpass.com/api/spaces/nomadworks" TargetMode="External" Id="rId54"/><Relationship Type="http://schemas.openxmlformats.org/officeDocument/2006/relationships/hyperlink" Target="https://nomadworks.com/" TargetMode="External" Id="rId55"/><Relationship Type="http://schemas.openxmlformats.org/officeDocument/2006/relationships/hyperlink" Target="https://api.deskpass.com/api/spaces/nomadworks" TargetMode="External" Id="rId56"/><Relationship Type="http://schemas.openxmlformats.org/officeDocument/2006/relationships/hyperlink" Target="https://api.deskpass.com/api/spaces/sage-workspace" TargetMode="External" Id="rId57"/><Relationship Type="http://schemas.openxmlformats.org/officeDocument/2006/relationships/hyperlink" Target="https://www.sageworkspace.com/" TargetMode="External" Id="rId58"/><Relationship Type="http://schemas.openxmlformats.org/officeDocument/2006/relationships/hyperlink" Target="https://api.deskpass.com/api/spaces/sage-workspace" TargetMode="External" Id="rId59"/><Relationship Type="http://schemas.openxmlformats.org/officeDocument/2006/relationships/hyperlink" Target="https://www.wework.com/buildings/450-park-ave-s--new-york-city--NY" TargetMode="External" Id="rId60"/><Relationship Type="http://schemas.openxmlformats.org/officeDocument/2006/relationships/hyperlink" Target="https://www.wework.com/buildings/450-park-ave-s--new-york-city--NY" TargetMode="External" Id="rId61"/><Relationship Type="http://schemas.openxmlformats.org/officeDocument/2006/relationships/hyperlink" Target="https://residentcompanyclub.com/" TargetMode="External" Id="rId62"/><Relationship Type="http://schemas.openxmlformats.org/officeDocument/2006/relationships/hyperlink" Target="https://commercialobserver.com/2025/12/coworking-resident-company-club-lease-113-university-place/" TargetMode="External" Id="rId63"/><Relationship Type="http://schemas.openxmlformats.org/officeDocument/2006/relationships/hyperlink" Target="https://residentcompanyclub.com/" TargetMode="External" Id="rId64"/><Relationship Type="http://schemas.openxmlformats.org/officeDocument/2006/relationships/hyperlink" Target="https://www.wework.com/buildings/33-irving-pl--new-york-city--NY" TargetMode="External" Id="rId65"/><Relationship Type="http://schemas.openxmlformats.org/officeDocument/2006/relationships/hyperlink" Target="https://www.wework.com/buildings/33-irving-pl--new-york-city--NY" TargetMode="External" Id="rId66"/><Relationship Type="http://schemas.openxmlformats.org/officeDocument/2006/relationships/hyperlink" Target="https://www.industriousoffice.com/locations/120-east-23rd-street-4th-floor-new-york" TargetMode="External" Id="rId67"/><Relationship Type="http://schemas.openxmlformats.org/officeDocument/2006/relationships/hyperlink" Target="https://www.industriousoffice.com/m/new-york-city" TargetMode="External" Id="rId68"/><Relationship Type="http://schemas.openxmlformats.org/officeDocument/2006/relationships/hyperlink" Target="https://www.deskpass.com/us-en/ny/new-york-city" TargetMode="External" Id="rId69"/><Relationship Type="http://schemas.openxmlformats.org/officeDocument/2006/relationships/hyperlink" Target="https://residentcompanyclub.com/" TargetMode="External" Id="rId70"/><Relationship Type="http://schemas.openxmlformats.org/officeDocument/2006/relationships/hyperlink" Target="https://residentcompanyclub.com/" TargetMode="External" Id="rId71"/><Relationship Type="http://schemas.openxmlformats.org/officeDocument/2006/relationships/hyperlink" Target="https://commercialobserver.com/2025/12/coworking-resident-company-club-lease-113-university-place/" TargetMode="External" Id="rId72"/><Relationship Type="http://schemas.openxmlformats.org/officeDocument/2006/relationships/hyperlink" Target="https://old.regus.com/offices/united-states/new-york/new-york-city/office-space/ny-new-york-1250-broadway" TargetMode="External" Id="rId73"/><Relationship Type="http://schemas.openxmlformats.org/officeDocument/2006/relationships/hyperlink" Target="https://www.wework.com/buildings/135-madison-ave--new-york-city--NY" TargetMode="External" Id="rId74"/><Relationship Type="http://schemas.openxmlformats.org/officeDocument/2006/relationships/hyperlink" Target="https://www.wework.com/buildings/135-madison-ave--new-york-city--NY" TargetMode="External" Id="rId75"/><Relationship Type="http://schemas.openxmlformats.org/officeDocument/2006/relationships/hyperlink" Target="https://old.regus.com/offices/united-states/new-york/new-york-city/office-space/ny-new-york-city-136-madison-avenue" TargetMode="External" Id="rId76"/><Relationship Type="http://schemas.openxmlformats.org/officeDocument/2006/relationships/hyperlink" Target="https://api.deskpass.com/api/spaces/two-park-avenue-coworking" TargetMode="External" Id="rId77"/><Relationship Type="http://schemas.openxmlformats.org/officeDocument/2006/relationships/hyperlink" Target="https://www.corporatesuites.com/" TargetMode="External" Id="rId78"/><Relationship Type="http://schemas.openxmlformats.org/officeDocument/2006/relationships/hyperlink" Target="https://api.deskpass.com/api/spaces/two-park-avenue-coworking" TargetMode="External" Id="rId79"/></Relationships>
</file>

<file path=xl/worksheets/_rels/sheet4.xml.rels><Relationships xmlns="http://schemas.openxmlformats.org/package/2006/relationships"><Relationship Type="http://schemas.openxmlformats.org/officeDocument/2006/relationships/hyperlink" Target="https://www.eataly.com/us_en/stores/nyc-flatiron" TargetMode="External" Id="rId1"/><Relationship Type="http://schemas.openxmlformats.org/officeDocument/2006/relationships/hyperlink" Target="https://www.eataly.com/us_en/stores/nyc-flatiron" TargetMode="External" Id="rId2"/><Relationship Type="http://schemas.openxmlformats.org/officeDocument/2006/relationships/hyperlink" Target="https://edengourmet.com/" TargetMode="External" Id="rId3"/><Relationship Type="http://schemas.openxmlformats.org/officeDocument/2006/relationships/hyperlink" Target="https://edengourmet.com/" TargetMode="External" Id="rId4"/><Relationship Type="http://schemas.openxmlformats.org/officeDocument/2006/relationships/hyperlink" Target="https://www.fairwaymarket.com/" TargetMode="External" Id="rId5"/><Relationship Type="http://schemas.openxmlformats.org/officeDocument/2006/relationships/hyperlink" Target="https://www.fairwaymarket.com/" TargetMode="External" Id="rId6"/><Relationship Type="http://schemas.openxmlformats.org/officeDocument/2006/relationships/hyperlink" Target="https://www.mortonwilliams.com/our-locations" TargetMode="External" Id="rId7"/><Relationship Type="http://schemas.openxmlformats.org/officeDocument/2006/relationships/hyperlink" Target="https://www.mortonwilliams.com/our-locations" TargetMode="External" Id="rId8"/><Relationship Type="http://schemas.openxmlformats.org/officeDocument/2006/relationships/hyperlink" Target="https://data.ny.gov/resource/9a8c-vfzj.json?license_number=730366" TargetMode="External" Id="rId9"/><Relationship Type="http://schemas.openxmlformats.org/officeDocument/2006/relationships/hyperlink" Target="https://data.ny.gov/resource/9a8c-vfzj.json?license_number=730366" TargetMode="External" Id="rId10"/><Relationship Type="http://schemas.openxmlformats.org/officeDocument/2006/relationships/hyperlink" Target="https://data.ny.gov/resource/9a8c-vfzj.json?license_number=628556" TargetMode="External" Id="rId11"/><Relationship Type="http://schemas.openxmlformats.org/officeDocument/2006/relationships/hyperlink" Target="https://data.ny.gov/resource/9a8c-vfzj.json?license_number=628556" TargetMode="External" Id="rId12"/><Relationship Type="http://schemas.openxmlformats.org/officeDocument/2006/relationships/hyperlink" Target="https://www.target.com/sl/manhattan-union-square/3380" TargetMode="External" Id="rId13"/><Relationship Type="http://schemas.openxmlformats.org/officeDocument/2006/relationships/hyperlink" Target="https://www.target.com/sl/manhattan-union-square/3380" TargetMode="External" Id="rId14"/><Relationship Type="http://schemas.openxmlformats.org/officeDocument/2006/relationships/hyperlink" Target="https://locations.traderjoes.com/ny/new-york/" TargetMode="External" Id="rId15"/><Relationship Type="http://schemas.openxmlformats.org/officeDocument/2006/relationships/hyperlink" Target="https://locations.traderjoes.com/ny/new-york/" TargetMode="External" Id="rId16"/><Relationship Type="http://schemas.openxmlformats.org/officeDocument/2006/relationships/hyperlink" Target="https://locations.traderjoes.com/ny/new-york/" TargetMode="External" Id="rId17"/><Relationship Type="http://schemas.openxmlformats.org/officeDocument/2006/relationships/hyperlink" Target="https://locations.traderjoes.com/ny/new-york/" TargetMode="External" Id="rId18"/><Relationship Type="http://schemas.openxmlformats.org/officeDocument/2006/relationships/hyperlink" Target="https://www.wholefoodsmarket.com/stores/nomad" TargetMode="External" Id="rId19"/><Relationship Type="http://schemas.openxmlformats.org/officeDocument/2006/relationships/hyperlink" Target="https://www.wholefoodsmarket.com/stores/nomad" TargetMode="External" Id="rId20"/><Relationship Type="http://schemas.openxmlformats.org/officeDocument/2006/relationships/hyperlink" Target="https://www.wholefoodsmarket.com/stores/unionsquare" TargetMode="External" Id="rId21"/><Relationship Type="http://schemas.openxmlformats.org/officeDocument/2006/relationships/hyperlink" Target="https://www.wholefoodsmarket.com/stores/unionsquare" TargetMode="External" Id="rId22"/><Relationship Type="http://schemas.openxmlformats.org/officeDocument/2006/relationships/hyperlink" Target="https://mercimarketnyc.com/" TargetMode="External" Id="rId23"/><Relationship Type="http://schemas.openxmlformats.org/officeDocument/2006/relationships/hyperlink" Target="https://mercimarketnyc.com/" TargetMode="External" Id="rId24"/><Relationship Type="http://schemas.openxmlformats.org/officeDocument/2006/relationships/hyperlink" Target="https://data.ny.gov/resource/9a8c-vfzj.json?license_number=710893" TargetMode="External" Id="rId25"/><Relationship Type="http://schemas.openxmlformats.org/officeDocument/2006/relationships/hyperlink" Target="https://data.ny.gov/resource/9a8c-vfzj.json?license_number=710893" TargetMode="External" Id="rId26"/><Relationship Type="http://schemas.openxmlformats.org/officeDocument/2006/relationships/hyperlink" Target="https://www.wmarketnyc.com/" TargetMode="External" Id="rId27"/><Relationship Type="http://schemas.openxmlformats.org/officeDocument/2006/relationships/hyperlink" Target="https://www.wmarketnyc.com/" TargetMode="External" Id="rId28"/><Relationship Type="http://schemas.openxmlformats.org/officeDocument/2006/relationships/hyperlink" Target="https://data.ny.gov/resource/9a8c-vfzj.json?license_number=622971" TargetMode="External" Id="rId29"/><Relationship Type="http://schemas.openxmlformats.org/officeDocument/2006/relationships/hyperlink" Target="https://www.kalustyans.com/" TargetMode="External" Id="rId30"/><Relationship Type="http://schemas.openxmlformats.org/officeDocument/2006/relationships/hyperlink" Target="https://www.wmarketnyc.com/" TargetMode="External" Id="rId31"/><Relationship Type="http://schemas.openxmlformats.org/officeDocument/2006/relationships/hyperlink" Target="https://www.wmarketnyc.com/" TargetMode="External" Id="rId32"/><Relationship Type="http://schemas.openxmlformats.org/officeDocument/2006/relationships/hyperlink" Target="https://www.wmarketnyc.com/" TargetMode="External" Id="rId33"/><Relationship Type="http://schemas.openxmlformats.org/officeDocument/2006/relationships/hyperlink" Target="https://www.wmarketnyc.com/" TargetMode="External" Id="rId34"/><Relationship Type="http://schemas.openxmlformats.org/officeDocument/2006/relationships/hyperlink" Target="https://www.wmarketnyc.com/" TargetMode="External" Id="rId35"/><Relationship Type="http://schemas.openxmlformats.org/officeDocument/2006/relationships/hyperlink" Target="https://www.wmarketnyc.com/" TargetMode="External" Id="rId36"/><Relationship Type="http://schemas.openxmlformats.org/officeDocument/2006/relationships/hyperlink" Target="https://data.ny.gov/resource/9a8c-vfzj.json?license_number=629113" TargetMode="External" Id="rId37"/><Relationship Type="http://schemas.openxmlformats.org/officeDocument/2006/relationships/hyperlink" Target="https://data.ny.gov/resource/9a8c-vfzj.json?license_number=629113" TargetMode="External" Id="rId38"/><Relationship Type="http://schemas.openxmlformats.org/officeDocument/2006/relationships/hyperlink" Target="https://www.wholefoodsmarket.com/stores/chelsea" TargetMode="External" Id="rId39"/><Relationship Type="http://schemas.openxmlformats.org/officeDocument/2006/relationships/hyperlink" Target="https://www.wholefoodsmarket.com/stores/chelsea" TargetMode="External" Id="rId40"/><Relationship Type="http://schemas.openxmlformats.org/officeDocument/2006/relationships/hyperlink" Target="https://edengourmet.com/" TargetMode="External" Id="rId41"/><Relationship Type="http://schemas.openxmlformats.org/officeDocument/2006/relationships/hyperlink" Target="https://edengourmet.com/" TargetMode="External" Id="rId42"/><Relationship Type="http://schemas.openxmlformats.org/officeDocument/2006/relationships/hyperlink" Target="https://www.target.com/sl/manhattan-herald-square/3277" TargetMode="External" Id="rId43"/><Relationship Type="http://schemas.openxmlformats.org/officeDocument/2006/relationships/hyperlink" Target="https://www.target.com/sl/manhattan-herald-square/3277" TargetMode="External" Id="rId44"/><Relationship Type="http://schemas.openxmlformats.org/officeDocument/2006/relationships/hyperlink" Target="https://data.ny.gov/resource/9a8c-vfzj.json?license_number=624652" TargetMode="External" Id="rId45"/><Relationship Type="http://schemas.openxmlformats.org/officeDocument/2006/relationships/hyperlink" Target="https://data.ny.gov/resource/9a8c-vfzj.json?license_number=624652" TargetMode="External" Id="rId46"/><Relationship Type="http://schemas.openxmlformats.org/officeDocument/2006/relationships/hyperlink" Target="https://www.wegmans.com/stores/astor-place-ny/" TargetMode="External" Id="rId47"/><Relationship Type="http://schemas.openxmlformats.org/officeDocument/2006/relationships/hyperlink" Target="https://www.wegmans.com/stores/astor-place-ny/" TargetMode="External" Id="rId48"/><Relationship Type="http://schemas.openxmlformats.org/officeDocument/2006/relationships/hyperlink" Target="https://www.lifethymemarket.com/" TargetMode="External" Id="rId49"/><Relationship Type="http://schemas.openxmlformats.org/officeDocument/2006/relationships/hyperlink" Target="https://www.lifethymemarket.com/" TargetMode="External" Id="rId50"/><Relationship Type="http://schemas.openxmlformats.org/officeDocument/2006/relationships/hyperlink" Target="https://data.ny.gov/resource/9a8c-vfzj.json?license_number=752904" TargetMode="External" Id="rId51"/><Relationship Type="http://schemas.openxmlformats.org/officeDocument/2006/relationships/hyperlink" Target="https://data.ny.gov/resource/9a8c-vfzj.json?license_number=752904" TargetMode="External" Id="rId52"/><Relationship Type="http://schemas.openxmlformats.org/officeDocument/2006/relationships/hyperlink" Target="https://www.target.com/sl/chelsea-23rd-and-8th/3412" TargetMode="External" Id="rId53"/><Relationship Type="http://schemas.openxmlformats.org/officeDocument/2006/relationships/hyperlink" Target="https://www.target.com/sl/chelsea-23rd-and-8th/3412" TargetMode="External" Id="rId54"/><Relationship Type="http://schemas.openxmlformats.org/officeDocument/2006/relationships/hyperlink" Target="https://www.target.com/sl/kips-bay/3321" TargetMode="External" Id="rId55"/><Relationship Type="http://schemas.openxmlformats.org/officeDocument/2006/relationships/hyperlink" Target="https://www.target.com/sl/kips-bay/3321" TargetMode="External" Id="rId56"/><Relationship Type="http://schemas.openxmlformats.org/officeDocument/2006/relationships/hyperlink" Target="https://www.fairwaymarket.com/" TargetMode="External" Id="rId57"/><Relationship Type="http://schemas.openxmlformats.org/officeDocument/2006/relationships/hyperlink" Target="https://www.fairwaymarket.com/" TargetMode="External" Id="rId58"/><Relationship Type="http://schemas.openxmlformats.org/officeDocument/2006/relationships/hyperlink" Target="https://www.mortonwilliams.com/our-locations" TargetMode="External" Id="rId59"/><Relationship Type="http://schemas.openxmlformats.org/officeDocument/2006/relationships/hyperlink" Target="https://www.mortonwilliams.com/our-locations" TargetMode="External" Id="rId60"/></Relationships>
</file>

<file path=xl/worksheets/_rels/sheet7.xml.rels><Relationships xmlns="http://schemas.openxmlformats.org/package/2006/relationships"><Relationship Type="http://schemas.openxmlformats.org/officeDocument/2006/relationships/hyperlink" Target="https://movableink.com" TargetMode="External" Id="rId1"/><Relationship Type="http://schemas.openxmlformats.org/officeDocument/2006/relationships/hyperlink" Target="https://www.builtinnyc.com/company/movable-ink" TargetMode="External" Id="rId2"/><Relationship Type="http://schemas.openxmlformats.org/officeDocument/2006/relationships/hyperlink" Target="https://commercialobserver.com/2024/06/movable-ink-lease-841-broadway/" TargetMode="External" Id="rId3"/><Relationship Type="http://schemas.openxmlformats.org/officeDocument/2006/relationships/hyperlink" Target="https://www.robinhood.org" TargetMode="External" Id="rId4"/><Relationship Type="http://schemas.openxmlformats.org/officeDocument/2006/relationships/hyperlink" Target="https://www.builtinnyc.com/company/robin-hood" TargetMode="External" Id="rId5"/><Relationship Type="http://schemas.openxmlformats.org/officeDocument/2006/relationships/hyperlink" Target="https://rebusinessonline.com/robin-hood-signs-53000-sf-office-lease-at-841-broadway-in-manhattan/" TargetMode="External" Id="rId6"/><Relationship Type="http://schemas.openxmlformats.org/officeDocument/2006/relationships/hyperlink" Target="https://commercialobserver.com/2026/04/nonprofit-robin-hood-lease-841-broadway/" TargetMode="External" Id="rId7"/><Relationship Type="http://schemas.openxmlformats.org/officeDocument/2006/relationships/hyperlink" Target="https://www.usenourish.com" TargetMode="External" Id="rId8"/><Relationship Type="http://schemas.openxmlformats.org/officeDocument/2006/relationships/hyperlink" Target="https://www.reveliolabs.com/companies/nourish/employees" TargetMode="External" Id="rId9"/><Relationship Type="http://schemas.openxmlformats.org/officeDocument/2006/relationships/hyperlink" Target="https://nyrej.com/print/54591" TargetMode="External" Id="rId10"/><Relationship Type="http://schemas.openxmlformats.org/officeDocument/2006/relationships/hyperlink" Target="https://commercialobserver.com/2025/02/nourish-lease-853-broadway/" TargetMode="External" Id="rId11"/><Relationship Type="http://schemas.openxmlformats.org/officeDocument/2006/relationships/hyperlink" Target="https://gc.com" TargetMode="External" Id="rId12"/><Relationship Type="http://schemas.openxmlformats.org/officeDocument/2006/relationships/hyperlink" Target="https://www.reveliolabs.com/companies/gamechanger-media/employees" TargetMode="External" Id="rId13"/><Relationship Type="http://schemas.openxmlformats.org/officeDocument/2006/relationships/hyperlink" Target="https://gc.com/about" TargetMode="External" Id="rId14"/><Relationship Type="http://schemas.openxmlformats.org/officeDocument/2006/relationships/hyperlink" Target="https://commercialobserver.com/2024/08/senator-investment-group-lease-zero-irving/" TargetMode="External" Id="rId15"/><Relationship Type="http://schemas.openxmlformats.org/officeDocument/2006/relationships/hyperlink" Target="https://www.coned.com" TargetMode="External" Id="rId16"/><Relationship Type="http://schemas.openxmlformats.org/officeDocument/2006/relationships/hyperlink" Target="https://en.wikipedia.org/wiki/Consolidated_Edison" TargetMode="External" Id="rId17"/><Relationship Type="http://schemas.openxmlformats.org/officeDocument/2006/relationships/hyperlink" Target="https://en.wikipedia.org/wiki/Consolidated_Edison_Building" TargetMode="External" Id="rId18"/><Relationship Type="http://schemas.openxmlformats.org/officeDocument/2006/relationships/hyperlink" Target="https://www.adyen.com" TargetMode="External" Id="rId19"/><Relationship Type="http://schemas.openxmlformats.org/officeDocument/2006/relationships/hyperlink" Target="https://www.builtinnyc.com/company/adyen" TargetMode="External" Id="rId20"/><Relationship Type="http://schemas.openxmlformats.org/officeDocument/2006/relationships/hyperlink" Target="https://www.adyen.com/offices" TargetMode="External" Id="rId21"/><Relationship Type="http://schemas.openxmlformats.org/officeDocument/2006/relationships/hyperlink" Target="https://www.connectcre.com/stories/ayden-doubles-footprint-of-union-square-offices/" TargetMode="External" Id="rId22"/><Relationship Type="http://schemas.openxmlformats.org/officeDocument/2006/relationships/hyperlink" Target="https://www.capgemini.com/us-en/" TargetMode="External" Id="rId23"/><Relationship Type="http://schemas.openxmlformats.org/officeDocument/2006/relationships/hyperlink" Target="https://www.builtinnyc.com/company/capgemini" TargetMode="External" Id="rId24"/><Relationship Type="http://schemas.openxmlformats.org/officeDocument/2006/relationships/hyperlink" Target="https://commercialobserver.com/2026/08/thinking-machines-lab-79-fifth-avenue-lease/" TargetMode="External" Id="rId25"/><Relationship Type="http://schemas.openxmlformats.org/officeDocument/2006/relationships/hyperlink" Target="https://www.hulu.com" TargetMode="External" Id="rId26"/><Relationship Type="http://schemas.openxmlformats.org/officeDocument/2006/relationships/hyperlink" Target="https://www.builtinnyc.com/company/hulu" TargetMode="External" Id="rId27"/><Relationship Type="http://schemas.openxmlformats.org/officeDocument/2006/relationships/hyperlink" Target="https://commercialobserver.com/2026/08/thinking-machines-lab-79-fifth-avenue-lease/" TargetMode="External" Id="rId28"/><Relationship Type="http://schemas.openxmlformats.org/officeDocument/2006/relationships/hyperlink" Target="https://www.acxiom.com" TargetMode="External" Id="rId29"/><Relationship Type="http://schemas.openxmlformats.org/officeDocument/2006/relationships/hyperlink" Target="https://www.builtinnyc.com/company/acxiom" TargetMode="External" Id="rId30"/><Relationship Type="http://schemas.openxmlformats.org/officeDocument/2006/relationships/hyperlink" Target="https://commercialobserver.com/2025/02/capital-one-expansion-114-fifth-avenue/" TargetMode="External" Id="rId31"/><Relationship Type="http://schemas.openxmlformats.org/officeDocument/2006/relationships/hyperlink" Target="https://www.capitalone.com" TargetMode="External" Id="rId32"/><Relationship Type="http://schemas.openxmlformats.org/officeDocument/2006/relationships/hyperlink" Target="https://www.builtinnyc.com/company/capital-one" TargetMode="External" Id="rId33"/><Relationship Type="http://schemas.openxmlformats.org/officeDocument/2006/relationships/hyperlink" Target="https://commercialobserver.com/2025/02/capital-one-expansion-114-fifth-avenue/" TargetMode="External" Id="rId34"/><Relationship Type="http://schemas.openxmlformats.org/officeDocument/2006/relationships/hyperlink" Target="https://www.chainalysis.com" TargetMode="External" Id="rId35"/><Relationship Type="http://schemas.openxmlformats.org/officeDocument/2006/relationships/hyperlink" Target="https://www.builtinnyc.com/company/chainalysis" TargetMode="External" Id="rId36"/><Relationship Type="http://schemas.openxmlformats.org/officeDocument/2006/relationships/hyperlink" Target="https://commercialobserver.com/2022/01/chainalysis-78k-sf-114-fifth-avenue/" TargetMode="External" Id="rId37"/><Relationship Type="http://schemas.openxmlformats.org/officeDocument/2006/relationships/hyperlink" Target="https://www.faire.com" TargetMode="External" Id="rId38"/><Relationship Type="http://schemas.openxmlformats.org/officeDocument/2006/relationships/hyperlink" Target="https://www.builtinnyc.com/company/faire" TargetMode="External" Id="rId39"/><Relationship Type="http://schemas.openxmlformats.org/officeDocument/2006/relationships/hyperlink" Target="https://commercialobserver.com/2025/03/faire-lease-26-west-17th-street/" TargetMode="External" Id="rId40"/><Relationship Type="http://schemas.openxmlformats.org/officeDocument/2006/relationships/hyperlink" Target="https://mercury.com" TargetMode="External" Id="rId41"/><Relationship Type="http://schemas.openxmlformats.org/officeDocument/2006/relationships/hyperlink" Target="https://www.reveliolabs.com/companies/mercury/employees" TargetMode="External" Id="rId42"/><Relationship Type="http://schemas.openxmlformats.org/officeDocument/2006/relationships/hyperlink" Target="https://commercialobserver.com/2025/03/faire-lease-26-west-17th-street/" TargetMode="External" Id="rId43"/><Relationship Type="http://schemas.openxmlformats.org/officeDocument/2006/relationships/hyperlink" Target="https://www.similarweb.com" TargetMode="External" Id="rId44"/><Relationship Type="http://schemas.openxmlformats.org/officeDocument/2006/relationships/hyperlink" Target="https://www.builtinnyc.com/company/similarweb" TargetMode="External" Id="rId45"/><Relationship Type="http://schemas.openxmlformats.org/officeDocument/2006/relationships/hyperlink" Target="https://www.builtinnyc.com/company/similarweb/offices" TargetMode="External" Id="rId46"/><Relationship Type="http://schemas.openxmlformats.org/officeDocument/2006/relationships/hyperlink" Target="https://www.builtinnyc.com/company/us-news-world-report" TargetMode="External" Id="rId47"/><Relationship Type="http://schemas.openxmlformats.org/officeDocument/2006/relationships/hyperlink" Target="https://commercialobserver.com/2026/10/eagle-ai-lease-office-120-fifth-avenue/" TargetMode="External" Id="rId48"/><Relationship Type="http://schemas.openxmlformats.org/officeDocument/2006/relationships/hyperlink" Target="https://corp.kaltura.com" TargetMode="External" Id="rId49"/><Relationship Type="http://schemas.openxmlformats.org/officeDocument/2006/relationships/hyperlink" Target="https://www.builtinnyc.com/company/kaltura-inc" TargetMode="External" Id="rId50"/><Relationship Type="http://schemas.openxmlformats.org/officeDocument/2006/relationships/hyperlink" Target="https://commercialobserver.com/2026/08/selldorf-architects-renews-14k-sf-860-broadway-lease-for-10-years/" TargetMode="External" Id="rId51"/><Relationship Type="http://schemas.openxmlformats.org/officeDocument/2006/relationships/hyperlink" Target="https://commercialobserver.com/2022/01/kaltura-lease-860-broadway-gordon-property-group/" TargetMode="External" Id="rId52"/><Relationship Type="http://schemas.openxmlformats.org/officeDocument/2006/relationships/hyperlink" Target="https://valon.ai" TargetMode="External" Id="rId53"/><Relationship Type="http://schemas.openxmlformats.org/officeDocument/2006/relationships/hyperlink" Target="https://www.reveliolabs.com/companies/valon-mortgage/employees" TargetMode="External" Id="rId54"/><Relationship Type="http://schemas.openxmlformats.org/officeDocument/2006/relationships/hyperlink" Target="https://commercialobserver.com/2026/08/selldorf-architects-renews-14k-sf-860-broadway-lease-for-10-years/" TargetMode="External" Id="rId55"/><Relationship Type="http://schemas.openxmlformats.org/officeDocument/2006/relationships/hyperlink" Target="https://rebusinessonline.com/?p=388206" TargetMode="External" Id="rId56"/><Relationship Type="http://schemas.openxmlformats.org/officeDocument/2006/relationships/hyperlink" Target="https://www.chime.com" TargetMode="External" Id="rId57"/><Relationship Type="http://schemas.openxmlformats.org/officeDocument/2006/relationships/hyperlink" Target="https://www.builtinnyc.com/company/chime" TargetMode="External" Id="rId58"/><Relationship Type="http://schemas.openxmlformats.org/officeDocument/2006/relationships/hyperlink" Target="https://commercialobserver.com/?p=521355" TargetMode="External" Id="rId59"/><Relationship Type="http://schemas.openxmlformats.org/officeDocument/2006/relationships/hyperlink" Target="https://commercialobserver.com/2026/06/ebay-lease-bromley-companies-122-fifth-avenue/" TargetMode="External" Id="rId60"/><Relationship Type="http://schemas.openxmlformats.org/officeDocument/2006/relationships/hyperlink" Target="https://www.microsoft.com" TargetMode="External" Id="rId61"/><Relationship Type="http://schemas.openxmlformats.org/officeDocument/2006/relationships/hyperlink" Target="https://www.builtinnyc.com/company/microsoft" TargetMode="External" Id="rId62"/><Relationship Type="http://schemas.openxmlformats.org/officeDocument/2006/relationships/hyperlink" Target="https://commercialobserver.com/2026/06/ebay-lease-bromley-companies-122-fifth-avenue/" TargetMode="External" Id="rId63"/><Relationship Type="http://schemas.openxmlformats.org/officeDocument/2006/relationships/hyperlink" Target="https://commercialobserver.com/?p=521355" TargetMode="External" Id="rId64"/><Relationship Type="http://schemas.openxmlformats.org/officeDocument/2006/relationships/hyperlink" Target="https://www.ebay.com" TargetMode="External" Id="rId65"/><Relationship Type="http://schemas.openxmlformats.org/officeDocument/2006/relationships/hyperlink" Target="https://www.builtinnyc.com/company/ebay" TargetMode="External" Id="rId66"/><Relationship Type="http://schemas.openxmlformats.org/officeDocument/2006/relationships/hyperlink" Target="https://commercialobserver.com/2026/06/ebay-lease-bromley-companies-122-fifth-avenue/" TargetMode="External" Id="rId67"/><Relationship Type="http://schemas.openxmlformats.org/officeDocument/2006/relationships/hyperlink" Target="https://www.charliehealth.com" TargetMode="External" Id="rId68"/><Relationship Type="http://schemas.openxmlformats.org/officeDocument/2006/relationships/hyperlink" Target="https://www.builtinnyc.com/company/charlie-health" TargetMode="External" Id="rId69"/><Relationship Type="http://schemas.openxmlformats.org/officeDocument/2006/relationships/hyperlink" Target="https://www.sec.gov/Archives/edgar/data/1013454/000153949726000704/n5676_x5-424h.htm" TargetMode="External" Id="rId70"/><Relationship Type="http://schemas.openxmlformats.org/officeDocument/2006/relationships/hyperlink" Target="https://www.builtinnyc.com/company/rakuten-advertising" TargetMode="External" Id="rId71"/><Relationship Type="http://schemas.openxmlformats.org/officeDocument/2006/relationships/hyperlink" Target="https://www.sec.gov/Archives/edgar/data/1013454/000153949726000704/n5676_x5-424h.htm" TargetMode="External" Id="rId72"/><Relationship Type="http://schemas.openxmlformats.org/officeDocument/2006/relationships/hyperlink" Target="https://www.nyrej.com/sl-green-signs-29-915-s-f-lease-with-nayya-health-at-215-park-ave-south" TargetMode="External" Id="rId73"/><Relationship Type="http://schemas.openxmlformats.org/officeDocument/2006/relationships/hyperlink" Target="https://www.weightwatchers.com" TargetMode="External" Id="rId74"/><Relationship Type="http://schemas.openxmlformats.org/officeDocument/2006/relationships/hyperlink" Target="https://www.builtinnyc.com/company/weightwatchers" TargetMode="External" Id="rId75"/><Relationship Type="http://schemas.openxmlformats.org/officeDocument/2006/relationships/hyperlink" Target="https://www.sec.gov/Archives/edgar/data/105319/000119312526335166/ww-20260630.htm" TargetMode="External" Id="rId76"/><Relationship Type="http://schemas.openxmlformats.org/officeDocument/2006/relationships/hyperlink" Target="https://www.airbnb.com" TargetMode="External" Id="rId77"/><Relationship Type="http://schemas.openxmlformats.org/officeDocument/2006/relationships/hyperlink" Target="https://www.builtinnyc.com/company/airbnb" TargetMode="External" Id="rId78"/><Relationship Type="http://schemas.openxmlformats.org/officeDocument/2006/relationships/hyperlink" Target="https://commercialobserver.com/2024/12/airbnb-lease-130-fifth-avenue/" TargetMode="External" Id="rId79"/><Relationship Type="http://schemas.openxmlformats.org/officeDocument/2006/relationships/hyperlink" Target="https://commercialobserver.com/2026/07/airbnb-buys-281-park-avenue-south-office/" TargetMode="External" Id="rId80"/><Relationship Type="http://schemas.openxmlformats.org/officeDocument/2006/relationships/hyperlink" Target="https://monday.com" TargetMode="External" Id="rId81"/><Relationship Type="http://schemas.openxmlformats.org/officeDocument/2006/relationships/hyperlink" Target="https://www.builtinnyc.com/company/mondaycom" TargetMode="External" Id="rId82"/><Relationship Type="http://schemas.openxmlformats.org/officeDocument/2006/relationships/hyperlink" Target="https://commercialobserver.com/2025/12/expanding-monday-work-platform-takes-more-space-gramercy-park/" TargetMode="External" Id="rId83"/><Relationship Type="http://schemas.openxmlformats.org/officeDocument/2006/relationships/hyperlink" Target="https://ro.co" TargetMode="External" Id="rId84"/><Relationship Type="http://schemas.openxmlformats.org/officeDocument/2006/relationships/hyperlink" Target="https://www.builtinnyc.com/company/ro" TargetMode="External" Id="rId85"/><Relationship Type="http://schemas.openxmlformats.org/officeDocument/2006/relationships/hyperlink" Target="https://www.builtinnyc.com/company/ro/offices" TargetMode="External" Id="rId86"/><Relationship Type="http://schemas.openxmlformats.org/officeDocument/2006/relationships/hyperlink" Target="https://commercialobserver.com/2024/11/trading-firm-gts-lease-625-avenue-of-the-americas/" TargetMode="External" Id="rId87"/><Relationship Type="http://schemas.openxmlformats.org/officeDocument/2006/relationships/hyperlink" Target="https://www.colehaan.com" TargetMode="External" Id="rId88"/><Relationship Type="http://schemas.openxmlformats.org/officeDocument/2006/relationships/hyperlink" Target="https://www.builtinnyc.com/company/cole-haan" TargetMode="External" Id="rId89"/><Relationship Type="http://schemas.openxmlformats.org/officeDocument/2006/relationships/hyperlink" Target="https://commercialobserver.com/2024/09/cole-haan-32bj-lease-620-avenue-of-the-americas/" TargetMode="External" Id="rId90"/><Relationship Type="http://schemas.openxmlformats.org/officeDocument/2006/relationships/hyperlink" Target="https://www.builtinnyc.com/company/cole-haan/offices" TargetMode="External" Id="rId91"/><Relationship Type="http://schemas.openxmlformats.org/officeDocument/2006/relationships/hyperlink" Target="https://www.palantir.com" TargetMode="External" Id="rId92"/><Relationship Type="http://schemas.openxmlformats.org/officeDocument/2006/relationships/hyperlink" Target="https://en.wikipedia.org/wiki/Palantir_Technologies" TargetMode="External" Id="rId93"/><Relationship Type="http://schemas.openxmlformats.org/officeDocument/2006/relationships/hyperlink" Target="https://commercialobserver.com/2024/05/palantir-lease-620-avenue-of-the-americas/" TargetMode="External" Id="rId94"/><Relationship Type="http://schemas.openxmlformats.org/officeDocument/2006/relationships/hyperlink" Target="https://www.perkinseastman.com" TargetMode="External" Id="rId95"/><Relationship Type="http://schemas.openxmlformats.org/officeDocument/2006/relationships/hyperlink" Target="https://www.builtinnyc.com/company/perkins-eastman" TargetMode="External" Id="rId96"/><Relationship Type="http://schemas.openxmlformats.org/officeDocument/2006/relationships/hyperlink" Target="https://www.perkinseastman.com/studios/new-york/" TargetMode="External" Id="rId97"/><Relationship Type="http://schemas.openxmlformats.org/officeDocument/2006/relationships/hyperlink" Target="https://www.prophet.com" TargetMode="External" Id="rId98"/><Relationship Type="http://schemas.openxmlformats.org/officeDocument/2006/relationships/hyperlink" Target="https://www.builtinnyc.com/company/prophet" TargetMode="External" Id="rId99"/><Relationship Type="http://schemas.openxmlformats.org/officeDocument/2006/relationships/hyperlink" Target="https://commercialobserver.com/2026/04/adyen-lease-111-115-fifth-avenue/" TargetMode="External" Id="rId100"/><Relationship Type="http://schemas.openxmlformats.org/officeDocument/2006/relationships/hyperlink" Target="https://www.netflix.com" TargetMode="External" Id="rId101"/><Relationship Type="http://schemas.openxmlformats.org/officeDocument/2006/relationships/hyperlink" Target="https://www.builtinnyc.com/company/netflix" TargetMode="External" Id="rId102"/><Relationship Type="http://schemas.openxmlformats.org/officeDocument/2006/relationships/hyperlink" Target="https://commercialobserver.com/2026/10/williams-equities-michael-t-cohen-robert-getreu-andrew-roos-office-new-york/" TargetMode="External" Id="rId103"/><Relationship Type="http://schemas.openxmlformats.org/officeDocument/2006/relationships/hyperlink" Target="https://therealdeal.com/new-york/2025/02/14/cannon-hill-recaps-888-broadway-at-amount-above-200m/" TargetMode="External" Id="rId104"/><Relationship Type="http://schemas.openxmlformats.org/officeDocument/2006/relationships/hyperlink" Target="https://www.wbd.com" TargetMode="External" Id="rId105"/><Relationship Type="http://schemas.openxmlformats.org/officeDocument/2006/relationships/hyperlink" Target="https://www.builtinnyc.com/company/warner-bros-discovery" TargetMode="External" Id="rId106"/><Relationship Type="http://schemas.openxmlformats.org/officeDocument/2006/relationships/hyperlink" Target="https://data.sec.gov/submissions/CIK0001437107.json" TargetMode="External" Id="rId107"/><Relationship Type="http://schemas.openxmlformats.org/officeDocument/2006/relationships/hyperlink" Target="https://commercialobserver.com/2023/01/warner-brothers-discovery-park-avenue-south/" TargetMode="External" Id="rId108"/><Relationship Type="http://schemas.openxmlformats.org/officeDocument/2006/relationships/hyperlink" Target="https://www.zgf.com" TargetMode="External" Id="rId109"/><Relationship Type="http://schemas.openxmlformats.org/officeDocument/2006/relationships/hyperlink" Target="https://en.wikipedia.org/wiki/ZGF_Architects" TargetMode="External" Id="rId110"/><Relationship Type="http://schemas.openxmlformats.org/officeDocument/2006/relationships/hyperlink" Target="https://www.zgf.com/contact" TargetMode="External" Id="rId111"/><Relationship Type="http://schemas.openxmlformats.org/officeDocument/2006/relationships/hyperlink" Target="https://commercialobserver.com/2020/01/zgf-architects-lease-39-west-19th-street-rosen-family/" TargetMode="External" Id="rId112"/><Relationship Type="http://schemas.openxmlformats.org/officeDocument/2006/relationships/hyperlink" Target="https://www.toryburch.com" TargetMode="External" Id="rId113"/><Relationship Type="http://schemas.openxmlformats.org/officeDocument/2006/relationships/hyperlink" Target="https://www.builtinnyc.com/company/tory-burch" TargetMode="External" Id="rId114"/><Relationship Type="http://schemas.openxmlformats.org/officeDocument/2006/relationships/hyperlink" Target="https://www.builtinnyc.com/company/tory-burch/offices" TargetMode="External" Id="rId115"/><Relationship Type="http://schemas.openxmlformats.org/officeDocument/2006/relationships/hyperlink" Target="https://commercialobserver.com/2022/08/tory-burch-renewal-11-west-19th-street/" TargetMode="External" Id="rId116"/><Relationship Type="http://schemas.openxmlformats.org/officeDocument/2006/relationships/hyperlink" Target="https://www.infor.com" TargetMode="External" Id="rId117"/><Relationship Type="http://schemas.openxmlformats.org/officeDocument/2006/relationships/hyperlink" Target="https://www.builtinnyc.com/company/infor" TargetMode="External" Id="rId118"/><Relationship Type="http://schemas.openxmlformats.org/officeDocument/2006/relationships/hyperlink" Target="https://commercialobserver.com/2026/09/stash-financial-lease-641-avenue-of-the-americas/" TargetMode="External" Id="rId119"/><Relationship Type="http://schemas.openxmlformats.org/officeDocument/2006/relationships/hyperlink" Target="https://commercialobserver.com/2021/05/software-company-infor-reups-90k-sf-at-635-641-avenue-of-the-americas/" TargetMode="External" Id="rId120"/><Relationship Type="http://schemas.openxmlformats.org/officeDocument/2006/relationships/hyperlink" Target="https://www.dsm-firmenich.com" TargetMode="External" Id="rId121"/><Relationship Type="http://schemas.openxmlformats.org/officeDocument/2006/relationships/hyperlink" Target="https://en.wikipedia.org/wiki/DSM-Firmenich" TargetMode="External" Id="rId122"/><Relationship Type="http://schemas.openxmlformats.org/officeDocument/2006/relationships/hyperlink" Target="https://commercialobserver.com/2026/09/stash-financial-lease-641-avenue-of-the-americas/" TargetMode="External" Id="rId123"/><Relationship Type="http://schemas.openxmlformats.org/officeDocument/2006/relationships/hyperlink" Target="https://commercialobserver.com/2024/10/dsm-firmenich-lease-641-avenue-of-the-americas/" TargetMode="External" Id="rId124"/><Relationship Type="http://schemas.openxmlformats.org/officeDocument/2006/relationships/hyperlink" Target="https://www.mastercard.com" TargetMode="External" Id="rId125"/><Relationship Type="http://schemas.openxmlformats.org/officeDocument/2006/relationships/hyperlink" Target="https://www.builtinnyc.com/company/mastercard" TargetMode="External" Id="rId126"/><Relationship Type="http://schemas.openxmlformats.org/officeDocument/2006/relationships/hyperlink" Target="https://commercialobserver.com/2025/09/bam-labs-150-fifth-avenue-first-u-s-location/" TargetMode="External" Id="rId127"/><Relationship Type="http://schemas.openxmlformats.org/officeDocument/2006/relationships/hyperlink" Target="https://commercialobserver.com/2021/10/150-fifth-avenue-debuts-as-mastercards-new-tech-hq/" TargetMode="External" Id="rId128"/><Relationship Type="http://schemas.openxmlformats.org/officeDocument/2006/relationships/hyperlink" Target="https://www.fenwick.com" TargetMode="External" Id="rId129"/><Relationship Type="http://schemas.openxmlformats.org/officeDocument/2006/relationships/hyperlink" Target="https://www.builtinnyc.com/company/fenwick-west" TargetMode="External" Id="rId130"/><Relationship Type="http://schemas.openxmlformats.org/officeDocument/2006/relationships/hyperlink" Target="https://commercialobserver.com/2026/06/fenwick-west-lease-expansion-rosen-902-broadway/" TargetMode="External" Id="rId131"/><Relationship Type="http://schemas.openxmlformats.org/officeDocument/2006/relationships/hyperlink" Target="https://www.builtinnyc.com/company/fenwick-west/offices" TargetMode="External" Id="rId132"/><Relationship Type="http://schemas.openxmlformats.org/officeDocument/2006/relationships/hyperlink" Target="https://seatgeek.com" TargetMode="External" Id="rId133"/><Relationship Type="http://schemas.openxmlformats.org/officeDocument/2006/relationships/hyperlink" Target="https://www.builtinnyc.com/company/seatgeek" TargetMode="External" Id="rId134"/><Relationship Type="http://schemas.openxmlformats.org/officeDocument/2006/relationships/hyperlink" Target="https://commercialobserver.com/2018/10/seatgeek-leases-72k-sf-for-new-flatiron-offices/" TargetMode="External" Id="rId135"/><Relationship Type="http://schemas.openxmlformats.org/officeDocument/2006/relationships/hyperlink" Target="https://www.metro-manhattan.com/buildings/902-broadway/" TargetMode="External" Id="rId136"/><Relationship Type="http://schemas.openxmlformats.org/officeDocument/2006/relationships/hyperlink" Target="https://www.millerknoll.com" TargetMode="External" Id="rId137"/><Relationship Type="http://schemas.openxmlformats.org/officeDocument/2006/relationships/hyperlink" Target="https://www.builtinnyc.com/company/millerknoll" TargetMode="External" Id="rId138"/><Relationship Type="http://schemas.openxmlformats.org/officeDocument/2006/relationships/hyperlink" Target="https://commercialobserver.com/2023/05/office-furniture-giant-millerknoll-adds-15k-sf-to-251-park-avenue-south-footprint/" TargetMode="External" Id="rId139"/><Relationship Type="http://schemas.openxmlformats.org/officeDocument/2006/relationships/hyperlink" Target="https://www.angellist.com" TargetMode="External" Id="rId140"/><Relationship Type="http://schemas.openxmlformats.org/officeDocument/2006/relationships/hyperlink" Target="https://www.builtinnyc.com/company/angellist" TargetMode="External" Id="rId141"/><Relationship Type="http://schemas.openxmlformats.org/officeDocument/2006/relationships/hyperlink" Target="https://commercialobserver.com/2025/09/angellist-lease-257-park-avenue-south/" TargetMode="External" Id="rId142"/><Relationship Type="http://schemas.openxmlformats.org/officeDocument/2006/relationships/hyperlink" Target="https://www.reaktor.com" TargetMode="External" Id="rId143"/><Relationship Type="http://schemas.openxmlformats.org/officeDocument/2006/relationships/hyperlink" Target="https://www.builtinnyc.com/company/reaktor" TargetMode="External" Id="rId144"/><Relationship Type="http://schemas.openxmlformats.org/officeDocument/2006/relationships/hyperlink" Target="https://www.builtinnyc.com/company/reaktor/offices" TargetMode="External" Id="rId145"/><Relationship Type="http://schemas.openxmlformats.org/officeDocument/2006/relationships/hyperlink" Target="https://commercialobserver.com/2025/04/actively-ai-lease-30-west-21st-street/" TargetMode="External" Id="rId146"/><Relationship Type="http://schemas.openxmlformats.org/officeDocument/2006/relationships/hyperlink" Target="https://www.airtable.com" TargetMode="External" Id="rId147"/><Relationship Type="http://schemas.openxmlformats.org/officeDocument/2006/relationships/hyperlink" Target="https://www.builtinnyc.com/company/airtable" TargetMode="External" Id="rId148"/><Relationship Type="http://schemas.openxmlformats.org/officeDocument/2006/relationships/hyperlink" Target="https://www.builtinnyc.com/company/airtable/offices" TargetMode="External" Id="rId149"/><Relationship Type="http://schemas.openxmlformats.org/officeDocument/2006/relationships/hyperlink" Target="https://www.synthesia.io" TargetMode="External" Id="rId150"/><Relationship Type="http://schemas.openxmlformats.org/officeDocument/2006/relationships/hyperlink" Target="https://www.reveliolabs.com/companies/synthesia/employees" TargetMode="External" Id="rId151"/><Relationship Type="http://schemas.openxmlformats.org/officeDocument/2006/relationships/hyperlink" Target="https://commercialobserver.com/2026/10/synthesia-lease-gfp-675-avenue-of-the-americas/" TargetMode="External" Id="rId152"/><Relationship Type="http://schemas.openxmlformats.org/officeDocument/2006/relationships/hyperlink" Target="https://www.mcsaatchi.com/" TargetMode="External" Id="rId153"/><Relationship Type="http://schemas.openxmlformats.org/officeDocument/2006/relationships/hyperlink" Target="https://en.wikipedia.org/wiki/M%26C_Saatchi" TargetMode="External" Id="rId154"/><Relationship Type="http://schemas.openxmlformats.org/officeDocument/2006/relationships/hyperlink" Target="https://www.builtinnyc.com/company/m-c-saatchi-group/offices" TargetMode="External" Id="rId155"/><Relationship Type="http://schemas.openxmlformats.org/officeDocument/2006/relationships/hyperlink" Target="https://flatironnomad.nyc/2024/01/03/december-news-roundup-4/" TargetMode="External" Id="rId156"/><Relationship Type="http://schemas.openxmlformats.org/officeDocument/2006/relationships/hyperlink" Target="https://www.elfcosmetics.com" TargetMode="External" Id="rId157"/><Relationship Type="http://schemas.openxmlformats.org/officeDocument/2006/relationships/hyperlink" Target="https://www.builtinnyc.com/company/elf-beauty" TargetMode="External" Id="rId158"/><Relationship Type="http://schemas.openxmlformats.org/officeDocument/2006/relationships/hyperlink" Target="https://commercialobserver.com/2024/08/elf-beauty-lease-gfp-real-estate-16-west-22nd-street/" TargetMode="External" Id="rId159"/><Relationship Type="http://schemas.openxmlformats.org/officeDocument/2006/relationships/hyperlink" Target="https://www.fanduel.com/" TargetMode="External" Id="rId160"/><Relationship Type="http://schemas.openxmlformats.org/officeDocument/2006/relationships/hyperlink" Target="https://www.builtinnyc.com/company/fanduel/offices" TargetMode="External" Id="rId161"/><Relationship Type="http://schemas.openxmlformats.org/officeDocument/2006/relationships/hyperlink" Target="https://rockrose.com/office/300-park-ave-s/" TargetMode="External" Id="rId162"/><Relationship Type="http://schemas.openxmlformats.org/officeDocument/2006/relationships/hyperlink" Target="https://www.builtinnyc.com/company/fanduel/offices" TargetMode="External" Id="rId163"/><Relationship Type="http://schemas.openxmlformats.org/officeDocument/2006/relationships/hyperlink" Target="https://ramp.com/" TargetMode="External" Id="rId164"/><Relationship Type="http://schemas.openxmlformats.org/officeDocument/2006/relationships/hyperlink" Target="https://en.wikipedia.org/wiki/Ramp_(company)" TargetMode="External" Id="rId165"/><Relationship Type="http://schemas.openxmlformats.org/officeDocument/2006/relationships/hyperlink" Target="https://commercialobserver.com/2026/04/manhattan-office-leasing-2026-class-a/" TargetMode="External" Id="rId166"/><Relationship Type="http://schemas.openxmlformats.org/officeDocument/2006/relationships/hyperlink" Target="https://www.metro-manhattan.com/neighborhoods/midtown-south/flatiron/" TargetMode="External" Id="rId167"/><Relationship Type="http://schemas.openxmlformats.org/officeDocument/2006/relationships/hyperlink" Target="https://www.img.com" TargetMode="External" Id="rId168"/><Relationship Type="http://schemas.openxmlformats.org/officeDocument/2006/relationships/hyperlink" Target="https://en.wikipedia.org/wiki/IMG_(company)" TargetMode="External" Id="rId169"/><Relationship Type="http://schemas.openxmlformats.org/officeDocument/2006/relationships/hyperlink" Target="https://commercialobserver.com/2026/09/img-worldwide-lease-renewal-304-park-avenue-south/" TargetMode="External" Id="rId170"/><Relationship Type="http://schemas.openxmlformats.org/officeDocument/2006/relationships/hyperlink" Target="https://therealdeal.com/new-york/2026/10/07/new-york-citys-top-office-leases-in-september/" TargetMode="External" Id="rId171"/><Relationship Type="http://schemas.openxmlformats.org/officeDocument/2006/relationships/hyperlink" Target="https://www.buzzfeed.com/" TargetMode="External" Id="rId172"/><Relationship Type="http://schemas.openxmlformats.org/officeDocument/2006/relationships/hyperlink" Target="https://www.builtinnyc.com/company/buzzfeed/offices" TargetMode="External" Id="rId173"/><Relationship Type="http://schemas.openxmlformats.org/officeDocument/2006/relationships/hyperlink" Target="https://commercialobserver.com/2025/03/buzfeed-lease-50-west-23rd-street/" TargetMode="External" Id="rId174"/><Relationship Type="http://schemas.openxmlformats.org/officeDocument/2006/relationships/hyperlink" Target="https://commercialobserver.com/?p=544473" TargetMode="External" Id="rId175"/><Relationship Type="http://schemas.openxmlformats.org/officeDocument/2006/relationships/hyperlink" Target="https://www.instacart.com/" TargetMode="External" Id="rId176"/><Relationship Type="http://schemas.openxmlformats.org/officeDocument/2006/relationships/hyperlink" Target="https://www.builtinnyc.com/company/instacart/offices" TargetMode="External" Id="rId177"/><Relationship Type="http://schemas.openxmlformats.org/officeDocument/2006/relationships/hyperlink" Target="https://nyrej.com/index.php/two-new-leases-signed-at-50-west-23rd-st" TargetMode="External" Id="rId178"/><Relationship Type="http://schemas.openxmlformats.org/officeDocument/2006/relationships/hyperlink" Target="https://commercialobserver.com/2026/07/instacart-lease-esrt-111-west-33rd-street/" TargetMode="External" Id="rId179"/><Relationship Type="http://schemas.openxmlformats.org/officeDocument/2006/relationships/hyperlink" Target="https://www.msqpartners.com/" TargetMode="External" Id="rId180"/><Relationship Type="http://schemas.openxmlformats.org/officeDocument/2006/relationships/hyperlink" Target="https://www.msqpartners.com/about" TargetMode="External" Id="rId181"/><Relationship Type="http://schemas.openxmlformats.org/officeDocument/2006/relationships/hyperlink" Target="https://commercialobserver.com/?p=544473" TargetMode="External" Id="rId182"/><Relationship Type="http://schemas.openxmlformats.org/officeDocument/2006/relationships/hyperlink" Target="https://nyrej.com/index.php/two-new-leases-signed-at-50-west-23rd-st" TargetMode="External" Id="rId183"/><Relationship Type="http://schemas.openxmlformats.org/officeDocument/2006/relationships/hyperlink" Target="https://www.trustpilot.com/" TargetMode="External" Id="rId184"/><Relationship Type="http://schemas.openxmlformats.org/officeDocument/2006/relationships/hyperlink" Target="https://www.builtinnyc.com/company/trustpilot/offices" TargetMode="External" Id="rId185"/><Relationship Type="http://schemas.openxmlformats.org/officeDocument/2006/relationships/hyperlink" Target="https://nyrej.com/index.php/two-new-leases-signed-at-50-west-23rd-st" TargetMode="External" Id="rId186"/><Relationship Type="http://schemas.openxmlformats.org/officeDocument/2006/relationships/hyperlink" Target="https://www.builtinnyc.com/company/trustpilot/offices" TargetMode="External" Id="rId187"/><Relationship Type="http://schemas.openxmlformats.org/officeDocument/2006/relationships/hyperlink" Target="https://www.hugeinc.com/" TargetMode="External" Id="rId188"/><Relationship Type="http://schemas.openxmlformats.org/officeDocument/2006/relationships/hyperlink" Target="https://www.builtinnyc.com/company/huge/offices" TargetMode="External" Id="rId189"/><Relationship Type="http://schemas.openxmlformats.org/officeDocument/2006/relationships/hyperlink" Target="https://commercialobserver.com/2025/10/huge-lease-adams-53-west-23rd-street/" TargetMode="External" Id="rId190"/><Relationship Type="http://schemas.openxmlformats.org/officeDocument/2006/relationships/hyperlink" Target="https://flatironnomad.nyc/2025/11/05/october-news-roundup-6/" TargetMode="External" Id="rId191"/><Relationship Type="http://schemas.openxmlformats.org/officeDocument/2006/relationships/hyperlink" Target="https://www.tilebar.com/" TargetMode="External" Id="rId192"/><Relationship Type="http://schemas.openxmlformats.org/officeDocument/2006/relationships/hyperlink" Target="https://www.builtinnyc.com/company/tilebar/offices" TargetMode="External" Id="rId193"/><Relationship Type="http://schemas.openxmlformats.org/officeDocument/2006/relationships/hyperlink" Target="https://rebusinessonline.com/tilebar-signs-34000-sf-office-lease-in-manhattans-flatiron-district/" TargetMode="External" Id="rId194"/><Relationship Type="http://schemas.openxmlformats.org/officeDocument/2006/relationships/hyperlink" Target="https://commercialobserver.com/2025/10/huge-lease-adams-53-west-23rd-street/" TargetMode="External" Id="rId195"/><Relationship Type="http://schemas.openxmlformats.org/officeDocument/2006/relationships/hyperlink" Target="https://www.doordash.com/" TargetMode="External" Id="rId196"/><Relationship Type="http://schemas.openxmlformats.org/officeDocument/2006/relationships/hyperlink" Target="https://en.wikipedia.org/wiki/DoorDash" TargetMode="External" Id="rId197"/><Relationship Type="http://schemas.openxmlformats.org/officeDocument/2006/relationships/hyperlink" Target="https://therealdeal.com/new-york/2025/04/03/bxps-200-fifth-avenue-lands-law-firm-tenant" TargetMode="External" Id="rId198"/><Relationship Type="http://schemas.openxmlformats.org/officeDocument/2006/relationships/hyperlink" Target="https://www.goodwinlaw.com/" TargetMode="External" Id="rId199"/><Relationship Type="http://schemas.openxmlformats.org/officeDocument/2006/relationships/hyperlink" Target="https://en.wikipedia.org/wiki/Goodwin_Procter" TargetMode="External" Id="rId200"/><Relationship Type="http://schemas.openxmlformats.org/officeDocument/2006/relationships/hyperlink" Target="https://therealdeal.com/new-york/2025/04/03/bxps-200-fifth-avenue-lands-law-firm-tenant" TargetMode="External" Id="rId201"/><Relationship Type="http://schemas.openxmlformats.org/officeDocument/2006/relationships/hyperlink" Target="https://flatironnomad.nyc/2025/05/07/april-news-roundup-6/" TargetMode="External" Id="rId202"/><Relationship Type="http://schemas.openxmlformats.org/officeDocument/2006/relationships/hyperlink" Target="https://www.grey.com/" TargetMode="External" Id="rId203"/><Relationship Type="http://schemas.openxmlformats.org/officeDocument/2006/relationships/hyperlink" Target="https://www.builtinnyc.com/company/grey-group/offices" TargetMode="External" Id="rId204"/><Relationship Type="http://schemas.openxmlformats.org/officeDocument/2006/relationships/hyperlink" Target="https://therealdeal.com/new-york/2025/04/03/bxps-200-fifth-avenue-lands-law-firm-tenant" TargetMode="External" Id="rId205"/><Relationship Type="http://schemas.openxmlformats.org/officeDocument/2006/relationships/hyperlink" Target="https://tkogrp.com/" TargetMode="External" Id="rId206"/><Relationship Type="http://schemas.openxmlformats.org/officeDocument/2006/relationships/hyperlink" Target="https://en.wikipedia.org/wiki/TKO_Group_Holdings" TargetMode="External" Id="rId207"/><Relationship Type="http://schemas.openxmlformats.org/officeDocument/2006/relationships/hyperlink" Target="https://tkogrp.com/privacy-policy/" TargetMode="External" Id="rId208"/><Relationship Type="http://schemas.openxmlformats.org/officeDocument/2006/relationships/hyperlink" Target="https://en.wikipedia.org/wiki/200_Fifth_Avenue" TargetMode="External" Id="rId209"/><Relationship Type="http://schemas.openxmlformats.org/officeDocument/2006/relationships/hyperlink" Target="https://www.tiffany.com/" TargetMode="External" Id="rId210"/><Relationship Type="http://schemas.openxmlformats.org/officeDocument/2006/relationships/hyperlink" Target="https://www.builtinnyc.com/company/tiffany-co/offices" TargetMode="External" Id="rId211"/><Relationship Type="http://schemas.openxmlformats.org/officeDocument/2006/relationships/hyperlink" Target="https://therealdeal.com/new-york/2025/04/03/bxps-200-fifth-avenue-lands-law-firm-tenant" TargetMode="External" Id="rId212"/><Relationship Type="http://schemas.openxmlformats.org/officeDocument/2006/relationships/hyperlink" Target="https://www.builtinnyc.com/company/tiffany-co/offices" TargetMode="External" Id="rId213"/><Relationship Type="http://schemas.openxmlformats.org/officeDocument/2006/relationships/hyperlink" Target="https://www.coinbase.com/" TargetMode="External" Id="rId214"/><Relationship Type="http://schemas.openxmlformats.org/officeDocument/2006/relationships/hyperlink" Target="https://en.wikipedia.org/wiki/Coinbase" TargetMode="External" Id="rId215"/><Relationship Type="http://schemas.openxmlformats.org/officeDocument/2006/relationships/hyperlink" Target="https://slgreen.com/sl-green-signs-new-64000-square-foot-lease-with-sigma-computing-at-one-madison-avenue/" TargetMode="External" Id="rId216"/><Relationship Type="http://schemas.openxmlformats.org/officeDocument/2006/relationships/hyperlink" Target="https://www.flutter.com/" TargetMode="External" Id="rId217"/><Relationship Type="http://schemas.openxmlformats.org/officeDocument/2006/relationships/hyperlink" Target="https://en.wikipedia.org/wiki/Flutter_Entertainment" TargetMode="External" Id="rId218"/><Relationship Type="http://schemas.openxmlformats.org/officeDocument/2006/relationships/hyperlink" Target="https://slgreen.com/sl-green-signs-new-64000-square-foot-lease-with-sigma-computing-at-one-madison-avenue/" TargetMode="External" Id="rId219"/><Relationship Type="http://schemas.openxmlformats.org/officeDocument/2006/relationships/hyperlink" Target="https://www.franklintempleton.com/" TargetMode="External" Id="rId220"/><Relationship Type="http://schemas.openxmlformats.org/officeDocument/2006/relationships/hyperlink" Target="https://en.wikipedia.org/wiki/Franklin_Templeton" TargetMode="External" Id="rId221"/><Relationship Type="http://schemas.openxmlformats.org/officeDocument/2006/relationships/hyperlink" Target="https://slgreen.com/sl-green-signs-new-64000-square-foot-lease-with-sigma-computing-at-one-madison-avenue/" TargetMode="External" Id="rId222"/><Relationship Type="http://schemas.openxmlformats.org/officeDocument/2006/relationships/hyperlink" Target="https://rebusinessonline.com/franklin-templeton-signs-347474-sf-office-lease-at-one-madison-avenue-in-manhattan/" TargetMode="External" Id="rId223"/><Relationship Type="http://schemas.openxmlformats.org/officeDocument/2006/relationships/hyperlink" Target="https://www.harvey.ai/" TargetMode="External" Id="rId224"/><Relationship Type="http://schemas.openxmlformats.org/officeDocument/2006/relationships/hyperlink" Target="https://www.reveliolabs.com/companies/harvey-ai/employees" TargetMode="External" Id="rId225"/><Relationship Type="http://schemas.openxmlformats.org/officeDocument/2006/relationships/hyperlink" Target="https://commercialobserver.com/2026/03/harvey-ai-expansion-lease-sl-green-one-madison-avenue/" TargetMode="External" Id="rId226"/><Relationship Type="http://schemas.openxmlformats.org/officeDocument/2006/relationships/hyperlink" Target="https://flatironnomad.nyc/newsletter/april-23-2026-flatiron-nomad-economic-development-snapshot-q1-2026/" TargetMode="External" Id="rId227"/><Relationship Type="http://schemas.openxmlformats.org/officeDocument/2006/relationships/hyperlink" Target="https://www.ibm.com/" TargetMode="External" Id="rId228"/><Relationship Type="http://schemas.openxmlformats.org/officeDocument/2006/relationships/hyperlink" Target="https://en.wikipedia.org/wiki/IBM" TargetMode="External" Id="rId229"/><Relationship Type="http://schemas.openxmlformats.org/officeDocument/2006/relationships/hyperlink" Target="https://commercialobserver.com/2026/03/harvey-ai-expansion-lease-sl-green-one-madison-avenue/" TargetMode="External" Id="rId230"/><Relationship Type="http://schemas.openxmlformats.org/officeDocument/2006/relationships/hyperlink" Target="https://slgreen.com/sl-green-signs-new-64000-square-foot-lease-with-sigma-computing-at-one-madison-avenue/" TargetMode="External" Id="rId231"/><Relationship Type="http://schemas.openxmlformats.org/officeDocument/2006/relationships/hyperlink" Target="https://www.paloaltonetworks.com/" TargetMode="External" Id="rId232"/><Relationship Type="http://schemas.openxmlformats.org/officeDocument/2006/relationships/hyperlink" Target="https://en.wikipedia.org/wiki/Palo_Alto_Networks" TargetMode="External" Id="rId233"/><Relationship Type="http://schemas.openxmlformats.org/officeDocument/2006/relationships/hyperlink" Target="https://slgreen.com/sl-green-signs-new-64000-square-foot-lease-with-sigma-computing-at-one-madison-avenue/" TargetMode="External" Id="rId234"/><Relationship Type="http://schemas.openxmlformats.org/officeDocument/2006/relationships/hyperlink" Target="https://www.amazon.com/" TargetMode="External" Id="rId235"/><Relationship Type="http://schemas.openxmlformats.org/officeDocument/2006/relationships/hyperlink" Target="https://en.wikipedia.org/wiki/Amazon_(company)" TargetMode="External" Id="rId236"/><Relationship Type="http://schemas.openxmlformats.org/officeDocument/2006/relationships/hyperlink" Target="https://commercialobserver.com/2026/02/bluefish-lease-315-park-avenue-south/" TargetMode="External" Id="rId237"/><Relationship Type="http://schemas.openxmlformats.org/officeDocument/2006/relationships/hyperlink" Target="https://pitchbook.com/" TargetMode="External" Id="rId238"/><Relationship Type="http://schemas.openxmlformats.org/officeDocument/2006/relationships/hyperlink" Target="https://www.builtinnyc.com/company/pitchbook/offices" TargetMode="External" Id="rId239"/><Relationship Type="http://schemas.openxmlformats.org/officeDocument/2006/relationships/hyperlink" Target="https://commercialobserver.com/2026/02/bluefish-lease-315-park-avenue-south/" TargetMode="External" Id="rId240"/><Relationship Type="http://schemas.openxmlformats.org/officeDocument/2006/relationships/hyperlink" Target="https://www.builtinnyc.com/company/pitchbook/offices" TargetMode="External" Id="rId241"/><Relationship Type="http://schemas.openxmlformats.org/officeDocument/2006/relationships/hyperlink" Target="https://www.unitedtalent.com/" TargetMode="External" Id="rId242"/><Relationship Type="http://schemas.openxmlformats.org/officeDocument/2006/relationships/hyperlink" Target="https://en.wikipedia.org/wiki/United_Talent_Agency" TargetMode="External" Id="rId243"/><Relationship Type="http://schemas.openxmlformats.org/officeDocument/2006/relationships/hyperlink" Target="https://commercialobserver.com/2026/07/united-talent-agency-lease-esrt-empire-state-building/" TargetMode="External" Id="rId244"/><Relationship Type="http://schemas.openxmlformats.org/officeDocument/2006/relationships/hyperlink" Target="https://www.clay.com/" TargetMode="External" Id="rId245"/><Relationship Type="http://schemas.openxmlformats.org/officeDocument/2006/relationships/hyperlink" Target="https://www.reveliolabs.com/companies/clay-labs/employees" TargetMode="External" Id="rId246"/><Relationship Type="http://schemas.openxmlformats.org/officeDocument/2006/relationships/hyperlink" Target="https://commercialobserver.com/2026/03/clay-ai-lease-sl-green-11-madison-avenue/" TargetMode="External" Id="rId247"/><Relationship Type="http://schemas.openxmlformats.org/officeDocument/2006/relationships/hyperlink" Target="https://www.metro-manhattan.com/neighborhoods/midtown-south/flatiron/" TargetMode="External" Id="rId248"/><Relationship Type="http://schemas.openxmlformats.org/officeDocument/2006/relationships/hyperlink" Target="https://legora.com/" TargetMode="External" Id="rId249"/><Relationship Type="http://schemas.openxmlformats.org/officeDocument/2006/relationships/hyperlink" Target="https://www.builtinnyc.com/company/legora/offices" TargetMode="External" Id="rId250"/><Relationship Type="http://schemas.openxmlformats.org/officeDocument/2006/relationships/hyperlink" Target="https://commercialobserver.com/2026/07/ai-firm-legora-takes-98k-sl-greens-11-madison-avenue/" TargetMode="External" Id="rId251"/><Relationship Type="http://schemas.openxmlformats.org/officeDocument/2006/relationships/hyperlink" Target="https://flatironnomad.nyc/2026/08/05/july-news-roundup-6/" TargetMode="External" Id="rId252"/><Relationship Type="http://schemas.openxmlformats.org/officeDocument/2006/relationships/hyperlink" Target="https://www.pinterest.com/" TargetMode="External" Id="rId253"/><Relationship Type="http://schemas.openxmlformats.org/officeDocument/2006/relationships/hyperlink" Target="https://en.wikipedia.org/wiki/Pinterest" TargetMode="External" Id="rId254"/><Relationship Type="http://schemas.openxmlformats.org/officeDocument/2006/relationships/hyperlink" Target="https://commercialobserver.com/2026/07/ai-firm-legora-takes-98k-sl-greens-11-madison-avenue/" TargetMode="External" Id="rId255"/><Relationship Type="http://schemas.openxmlformats.org/officeDocument/2006/relationships/hyperlink" Target="https://slgreen.com/?p=12833" TargetMode="External" Id="rId256"/><Relationship Type="http://schemas.openxmlformats.org/officeDocument/2006/relationships/hyperlink" Target="https://www.sonymusic.com/" TargetMode="External" Id="rId257"/><Relationship Type="http://schemas.openxmlformats.org/officeDocument/2006/relationships/hyperlink" Target="https://en.wikipedia.org/wiki/Sony_Music" TargetMode="External" Id="rId258"/><Relationship Type="http://schemas.openxmlformats.org/officeDocument/2006/relationships/hyperlink" Target="https://slgreen.com/?p=12833" TargetMode="External" Id="rId259"/><Relationship Type="http://schemas.openxmlformats.org/officeDocument/2006/relationships/hyperlink" Target="https://en.wikipedia.org/wiki/Sony_Music" TargetMode="External" Id="rId260"/><Relationship Type="http://schemas.openxmlformats.org/officeDocument/2006/relationships/hyperlink" Target="https://www.suntoryglobalspirits.com/" TargetMode="External" Id="rId261"/><Relationship Type="http://schemas.openxmlformats.org/officeDocument/2006/relationships/hyperlink" Target="https://en.wikipedia.org/wiki/Suntory_Global_Spirits" TargetMode="External" Id="rId262"/><Relationship Type="http://schemas.openxmlformats.org/officeDocument/2006/relationships/hyperlink" Target="https://slgreen.com/?p=12833" TargetMode="External" Id="rId263"/><Relationship Type="http://schemas.openxmlformats.org/officeDocument/2006/relationships/hyperlink" Target="https://commercialobserver.com/2026/07/ai-firm-legora-takes-98k-sl-greens-11-madison-avenue/" TargetMode="External" Id="rId264"/><Relationship Type="http://schemas.openxmlformats.org/officeDocument/2006/relationships/hyperlink" Target="https://www.tempus.com/" TargetMode="External" Id="rId265"/><Relationship Type="http://schemas.openxmlformats.org/officeDocument/2006/relationships/hyperlink" Target="https://en.wikipedia.org/wiki/Tempus_AI" TargetMode="External" Id="rId266"/><Relationship Type="http://schemas.openxmlformats.org/officeDocument/2006/relationships/hyperlink" Target="https://commercialobserver.com/2026/03/clay-ai-lease-sl-green-11-madison-avenue/" TargetMode="External" Id="rId267"/><Relationship Type="http://schemas.openxmlformats.org/officeDocument/2006/relationships/hyperlink" Target="https://commercialobserver.com/2026/07/ai-firm-legora-takes-98k-sl-greens-11-madison-avenue/" TargetMode="External" Id="rId268"/><Relationship Type="http://schemas.openxmlformats.org/officeDocument/2006/relationships/hyperlink" Target="https://www.ubs.com/" TargetMode="External" Id="rId269"/><Relationship Type="http://schemas.openxmlformats.org/officeDocument/2006/relationships/hyperlink" Target="https://en.wikipedia.org/wiki/UBS" TargetMode="External" Id="rId270"/><Relationship Type="http://schemas.openxmlformats.org/officeDocument/2006/relationships/hyperlink" Target="https://slgreen.com/?p=12833" TargetMode="External" Id="rId271"/><Relationship Type="http://schemas.openxmlformats.org/officeDocument/2006/relationships/hyperlink" Target="https://commercialobserver.com/2026/07/ai-firm-legora-takes-98k-sl-greens-11-madison-avenue/" TargetMode="External" Id="rId272"/><Relationship Type="http://schemas.openxmlformats.org/officeDocument/2006/relationships/hyperlink" Target="https://www.wmeagency.com/" TargetMode="External" Id="rId273"/><Relationship Type="http://schemas.openxmlformats.org/officeDocument/2006/relationships/hyperlink" Target="https://en.wikipedia.org/wiki/William_Morris_Endeavor" TargetMode="External" Id="rId274"/><Relationship Type="http://schemas.openxmlformats.org/officeDocument/2006/relationships/hyperlink" Target="https://slgreen.com/?p=12833" TargetMode="External" Id="rId275"/><Relationship Type="http://schemas.openxmlformats.org/officeDocument/2006/relationships/hyperlink" Target="https://commercialobserver.com/2026/07/ai-firm-legora-takes-98k-sl-greens-11-madison-avenue/" TargetMode="External" Id="rId276"/><Relationship Type="http://schemas.openxmlformats.org/officeDocument/2006/relationships/hyperlink" Target="https://withpersona.com/" TargetMode="External" Id="rId277"/><Relationship Type="http://schemas.openxmlformats.org/officeDocument/2006/relationships/hyperlink" Target="https://www.builtinnyc.com/company/persona/offices" TargetMode="External" Id="rId278"/><Relationship Type="http://schemas.openxmlformats.org/officeDocument/2006/relationships/hyperlink" Target="https://www.builtinnyc.com/company/persona/offices" TargetMode="External" Id="rId279"/><Relationship Type="http://schemas.openxmlformats.org/officeDocument/2006/relationships/hyperlink" Target="https://www.mphasis.com" TargetMode="External" Id="rId280"/><Relationship Type="http://schemas.openxmlformats.org/officeDocument/2006/relationships/hyperlink" Target="https://www.builtinnyc.com/company/mphasis/offices" TargetMode="External" Id="rId281"/><Relationship Type="http://schemas.openxmlformats.org/officeDocument/2006/relationships/hyperlink" Target="https://commercialobserver.com/2026/10/mphasis-lease-expansion-rudin-41-madison-avenue/" TargetMode="External" Id="rId282"/><Relationship Type="http://schemas.openxmlformats.org/officeDocument/2006/relationships/hyperlink" Target="https://www.sharkninja.com" TargetMode="External" Id="rId283"/><Relationship Type="http://schemas.openxmlformats.org/officeDocument/2006/relationships/hyperlink" Target="https://www.builtinnyc.com/company/sharkninja/offices" TargetMode="External" Id="rId284"/><Relationship Type="http://schemas.openxmlformats.org/officeDocument/2006/relationships/hyperlink" Target="https://www.builtinnyc.com/articles/sharkninja-opens-nyc-office-20251105" TargetMode="External" Id="rId285"/><Relationship Type="http://schemas.openxmlformats.org/officeDocument/2006/relationships/hyperlink" Target="https://commercialobserver.com/2025/01/sharkninja-rudin-41-madison-avenue/" TargetMode="External" Id="rId286"/><Relationship Type="http://schemas.openxmlformats.org/officeDocument/2006/relationships/hyperlink" Target="https://www.marriott.com/" TargetMode="External" Id="rId287"/><Relationship Type="http://schemas.openxmlformats.org/officeDocument/2006/relationships/hyperlink" Target="https://en.wikipedia.org/wiki/Marriott_International" TargetMode="External" Id="rId288"/><Relationship Type="http://schemas.openxmlformats.org/officeDocument/2006/relationships/hyperlink" Target="https://www.connectcre.com/stories/bxp-secures-230k-sf-of-leases-at-360-park-ave-south/" TargetMode="External" Id="rId289"/><Relationship Type="http://schemas.openxmlformats.org/officeDocument/2006/relationships/hyperlink" Target="https://commercialobserver.com/2026/09/rogo-technologies-360-park-avenue-south-lease-expansion/" TargetMode="External" Id="rId290"/><Relationship Type="http://schemas.openxmlformats.org/officeDocument/2006/relationships/hyperlink" Target="https://optiver.com" TargetMode="External" Id="rId291"/><Relationship Type="http://schemas.openxmlformats.org/officeDocument/2006/relationships/hyperlink" Target="https://www.builtinnyc.com/company/optiver/offices" TargetMode="External" Id="rId292"/><Relationship Type="http://schemas.openxmlformats.org/officeDocument/2006/relationships/hyperlink" Target="https://commercialobserver.com/2025/05/optiver-lease-360-park-avenue-south/" TargetMode="External" Id="rId293"/><Relationship Type="http://schemas.openxmlformats.org/officeDocument/2006/relationships/hyperlink" Target="https://www.builtinnyc.com/company/optiver/offices" TargetMode="External" Id="rId294"/><Relationship Type="http://schemas.openxmlformats.org/officeDocument/2006/relationships/hyperlink" Target="https://www.grammarly.com/" TargetMode="External" Id="rId295"/><Relationship Type="http://schemas.openxmlformats.org/officeDocument/2006/relationships/hyperlink" Target="https://www.builtinnyc.com/company/superhuman-1/offices" TargetMode="External" Id="rId296"/><Relationship Type="http://schemas.openxmlformats.org/officeDocument/2006/relationships/hyperlink" Target="https://commercialobserver.com/2025/09/grammarly-bxps-360-park-avenue-south/" TargetMode="External" Id="rId297"/><Relationship Type="http://schemas.openxmlformats.org/officeDocument/2006/relationships/hyperlink" Target="https://commercialobserver.com/2026/01/betches-coming-360-park-avenue-south/" TargetMode="External" Id="rId298"/><Relationship Type="http://schemas.openxmlformats.org/officeDocument/2006/relationships/hyperlink" Target="https://vercel.com/" TargetMode="External" Id="rId299"/><Relationship Type="http://schemas.openxmlformats.org/officeDocument/2006/relationships/hyperlink" Target="https://en.wikipedia.org/wiki/Vercel" TargetMode="External" Id="rId300"/><Relationship Type="http://schemas.openxmlformats.org/officeDocument/2006/relationships/hyperlink" Target="https://www.connectcre.com/stories/bxp-secures-230k-sf-of-leases-at-360-park-ave-south/" TargetMode="External" Id="rId301"/><Relationship Type="http://schemas.openxmlformats.org/officeDocument/2006/relationships/hyperlink" Target="https://commercialobserver.com/2026/09/rogo-technologies-360-park-avenue-south-lease-expansion/" TargetMode="External" Id="rId302"/><Relationship Type="http://schemas.openxmlformats.org/officeDocument/2006/relationships/hyperlink" Target="https://www.ziffdavis.com" TargetMode="External" Id="rId303"/><Relationship Type="http://schemas.openxmlformats.org/officeDocument/2006/relationships/hyperlink" Target="https://www.builtinnyc.com/company/ziff-davis/offices" TargetMode="External" Id="rId304"/><Relationship Type="http://schemas.openxmlformats.org/officeDocument/2006/relationships/hyperlink" Target="https://commercialobserver.com/2025/05/optiver-lease-360-park-avenue-south/" TargetMode="External" Id="rId305"/><Relationship Type="http://schemas.openxmlformats.org/officeDocument/2006/relationships/hyperlink" Target="https://www.ziffdavis.com/" TargetMode="External" Id="rId306"/><Relationship Type="http://schemas.openxmlformats.org/officeDocument/2006/relationships/hyperlink" Target="https://www.jumptrading.com" TargetMode="External" Id="rId307"/><Relationship Type="http://schemas.openxmlformats.org/officeDocument/2006/relationships/hyperlink" Target="https://en.wikipedia.org/wiki/Jump_Trading" TargetMode="External" Id="rId308"/><Relationship Type="http://schemas.openxmlformats.org/officeDocument/2006/relationships/hyperlink" Target="https://commercialobserver.com/2025/10/lutron-electronics-office-lease-11-east-26th-street/" TargetMode="External" Id="rId309"/><Relationship Type="http://schemas.openxmlformats.org/officeDocument/2006/relationships/hyperlink" Target="https://commercialobserver.com/2025/03/reckoner-capital-management-lease-11-east-26th-street/" TargetMode="External" Id="rId310"/><Relationship Type="http://schemas.openxmlformats.org/officeDocument/2006/relationships/hyperlink" Target="https://www.lutron.com" TargetMode="External" Id="rId311"/><Relationship Type="http://schemas.openxmlformats.org/officeDocument/2006/relationships/hyperlink" Target="https://www.builtinnyc.com/company/lutron-electronics/offices" TargetMode="External" Id="rId312"/><Relationship Type="http://schemas.openxmlformats.org/officeDocument/2006/relationships/hyperlink" Target="https://commercialobserver.com/2025/10/lutron-electronics-office-lease-11-east-26th-street/" TargetMode="External" Id="rId313"/><Relationship Type="http://schemas.openxmlformats.org/officeDocument/2006/relationships/hyperlink" Target="https://sierra.ai" TargetMode="External" Id="rId314"/><Relationship Type="http://schemas.openxmlformats.org/officeDocument/2006/relationships/hyperlink" Target="https://www.reveliolabs.com/companies/sierra/employees" TargetMode="External" Id="rId315"/><Relationship Type="http://schemas.openxmlformats.org/officeDocument/2006/relationships/hyperlink" Target="https://commercialobserver.com/2026/05/sierra-lease-rockrose-11-east-26th-street/" TargetMode="External" Id="rId316"/><Relationship Type="http://schemas.openxmlformats.org/officeDocument/2006/relationships/hyperlink" Target="https://commercialobserver.com/2026/09/vestal-point-capital-lease-rockrose-development-11-east-26th-street/" TargetMode="External" Id="rId317"/><Relationship Type="http://schemas.openxmlformats.org/officeDocument/2006/relationships/hyperlink" Target="https://www.kohler.com" TargetMode="External" Id="rId318"/><Relationship Type="http://schemas.openxmlformats.org/officeDocument/2006/relationships/hyperlink" Target="https://en.wikipedia.org/wiki/Kohler_Co." TargetMode="External" Id="rId319"/><Relationship Type="http://schemas.openxmlformats.org/officeDocument/2006/relationships/hyperlink" Target="https://commercialobserver.com/2023/04/kohler-lease-1140-broadway/" TargetMode="External" Id="rId320"/><Relationship Type="http://schemas.openxmlformats.org/officeDocument/2006/relationships/hyperlink" Target="https://grimshaw.global" TargetMode="External" Id="rId321"/><Relationship Type="http://schemas.openxmlformats.org/officeDocument/2006/relationships/hyperlink" Target="https://en.wikipedia.org/wiki/Grimshaw_Architects" TargetMode="External" Id="rId322"/><Relationship Type="http://schemas.openxmlformats.org/officeDocument/2006/relationships/hyperlink" Target="https://grimshaw.global/contact/" TargetMode="External" Id="rId323"/><Relationship Type="http://schemas.openxmlformats.org/officeDocument/2006/relationships/hyperlink" Target="https://commercialobserver.com/2022/12/grimshaw-architects-takes-19k-sf-offices-by-madison-square-park/" TargetMode="External" Id="rId324"/><Relationship Type="http://schemas.openxmlformats.org/officeDocument/2006/relationships/hyperlink" Target="https://www.springhealth.com" TargetMode="External" Id="rId325"/><Relationship Type="http://schemas.openxmlformats.org/officeDocument/2006/relationships/hyperlink" Target="https://www.builtinnyc.com/company/spring-health/offices" TargetMode="External" Id="rId326"/><Relationship Type="http://schemas.openxmlformats.org/officeDocument/2006/relationships/hyperlink" Target="https://www.builtinnyc.com/company/spring-health/offices" TargetMode="External" Id="rId327"/><Relationship Type="http://schemas.openxmlformats.org/officeDocument/2006/relationships/hyperlink" Target="https://commercialobserver.com/2022/08/spring-health-takes-30k-sf-60-madison-office-vacated-by-knotel/" TargetMode="External" Id="rId328"/><Relationship Type="http://schemas.openxmlformats.org/officeDocument/2006/relationships/hyperlink" Target="https://www.seedtag.com" TargetMode="External" Id="rId329"/><Relationship Type="http://schemas.openxmlformats.org/officeDocument/2006/relationships/hyperlink" Target="https://www.reveliolabs.com/companies/seedtag-advertising/employees" TargetMode="External" Id="rId330"/><Relationship Type="http://schemas.openxmlformats.org/officeDocument/2006/relationships/hyperlink" Target="https://www.seedtag.com/contact" TargetMode="External" Id="rId331"/><Relationship Type="http://schemas.openxmlformats.org/officeDocument/2006/relationships/hyperlink" Target="https://commercialobserver.com/2023/03/kaufman-organization-seedtag-advertising-15-west-27th-street/" TargetMode="External" Id="rId332"/><Relationship Type="http://schemas.openxmlformats.org/officeDocument/2006/relationships/hyperlink" Target="https://www.criteo.com" TargetMode="External" Id="rId333"/><Relationship Type="http://schemas.openxmlformats.org/officeDocument/2006/relationships/hyperlink" Target="https://www.builtinnyc.com/company/criteo/offices" TargetMode="External" Id="rId334"/><Relationship Type="http://schemas.openxmlformats.org/officeDocument/2006/relationships/hyperlink" Target="https://commercialobserver.com/2024/11/criteo-lease-387-park-avenue-south/" TargetMode="External" Id="rId335"/><Relationship Type="http://schemas.openxmlformats.org/officeDocument/2006/relationships/hyperlink" Target="https://www.builtinnyc.com/company/criteo/offices" TargetMode="External" Id="rId336"/><Relationship Type="http://schemas.openxmlformats.org/officeDocument/2006/relationships/hyperlink" Target="https://www.pmg.com" TargetMode="External" Id="rId337"/><Relationship Type="http://schemas.openxmlformats.org/officeDocument/2006/relationships/hyperlink" Target="https://www.builtinnyc.com/company/pmg/offices" TargetMode="External" Id="rId338"/><Relationship Type="http://schemas.openxmlformats.org/officeDocument/2006/relationships/hyperlink" Target="https://commercialobserver.com/2026/08/hanover-park-lease-tf-cornerstone-387-park-avenue-south/" TargetMode="External" Id="rId339"/><Relationship Type="http://schemas.openxmlformats.org/officeDocument/2006/relationships/hyperlink" Target="https://www.builtinnyc.com/company/pmg/offices" TargetMode="External" Id="rId340"/><Relationship Type="http://schemas.openxmlformats.org/officeDocument/2006/relationships/hyperlink" Target="https://www.sigmacomputing.com" TargetMode="External" Id="rId341"/><Relationship Type="http://schemas.openxmlformats.org/officeDocument/2006/relationships/hyperlink" Target="https://www.reveliolabs.com/companies/sigma-computing/employees" TargetMode="External" Id="rId342"/><Relationship Type="http://schemas.openxmlformats.org/officeDocument/2006/relationships/hyperlink" Target="https://commercialobserver.com/2026/02/primary-ventures-sigma-computing-leases-386-park-avenue-south/" TargetMode="External" Id="rId343"/><Relationship Type="http://schemas.openxmlformats.org/officeDocument/2006/relationships/hyperlink" Target="https://www.ae.com" TargetMode="External" Id="rId344"/><Relationship Type="http://schemas.openxmlformats.org/officeDocument/2006/relationships/hyperlink" Target="https://www.builtinnyc.com/company/american-eagle-outfitters/offices" TargetMode="External" Id="rId345"/><Relationship Type="http://schemas.openxmlformats.org/officeDocument/2006/relationships/hyperlink" Target="https://commercialobserver.com/2025/08/american-eagle-outfitters-expansion-63-madison-avenue/" TargetMode="External" Id="rId346"/><Relationship Type="http://schemas.openxmlformats.org/officeDocument/2006/relationships/hyperlink" Target="https://www.prosek.com" TargetMode="External" Id="rId347"/><Relationship Type="http://schemas.openxmlformats.org/officeDocument/2006/relationships/hyperlink" Target="https://www.builtinnyc.com/company/prosek-partners/offices" TargetMode="External" Id="rId348"/><Relationship Type="http://schemas.openxmlformats.org/officeDocument/2006/relationships/hyperlink" Target="https://www.prosek.com/contact-us/" TargetMode="External" Id="rId349"/><Relationship Type="http://schemas.openxmlformats.org/officeDocument/2006/relationships/hyperlink" Target="https://commercialobserver.com/2022/06/communication-firm-prosek-partners-leases-34k-sf-at-28-east-28th-street/" TargetMode="External" Id="rId350"/><Relationship Type="http://schemas.openxmlformats.org/officeDocument/2006/relationships/hyperlink" Target="https://global.lockton.com/re/en" TargetMode="External" Id="rId351"/><Relationship Type="http://schemas.openxmlformats.org/officeDocument/2006/relationships/hyperlink" Target="https://en.wikipedia.org/wiki/Lockton_Companies" TargetMode="External" Id="rId352"/><Relationship Type="http://schemas.openxmlformats.org/officeDocument/2006/relationships/hyperlink" Target="https://commercialobserver.com/2023/07/lockton-re-relocating-to-19k-sf-at-261-fifth-avenue/" TargetMode="External" Id="rId353"/><Relationship Type="http://schemas.openxmlformats.org/officeDocument/2006/relationships/hyperlink" Target="https://rebusinessonline.com/lockton-re-signs-19326-sf-office-lease-in-manhattans-nomad-district/" TargetMode="External" Id="rId354"/><Relationship Type="http://schemas.openxmlformats.org/officeDocument/2006/relationships/hyperlink" Target="https://www.wearemiq.com" TargetMode="External" Id="rId355"/><Relationship Type="http://schemas.openxmlformats.org/officeDocument/2006/relationships/hyperlink" Target="https://www.builtinnyc.com/company/miq-digital/offices" TargetMode="External" Id="rId356"/><Relationship Type="http://schemas.openxmlformats.org/officeDocument/2006/relationships/hyperlink" Target="https://nyrej.com/print/57401" TargetMode="External" Id="rId357"/><Relationship Type="http://schemas.openxmlformats.org/officeDocument/2006/relationships/hyperlink" Target="https://www.builtinnyc.com/company/bridgewater-associates/offices" TargetMode="External" Id="rId358"/><Relationship Type="http://schemas.openxmlformats.org/officeDocument/2006/relationships/hyperlink" Target="https://commercialobserver.com/2024/09/bridgewater-associates-lease-295-fifth-avenue/" TargetMode="External" Id="rId359"/><Relationship Type="http://schemas.openxmlformats.org/officeDocument/2006/relationships/hyperlink" Target="https://octus.com" TargetMode="External" Id="rId360"/><Relationship Type="http://schemas.openxmlformats.org/officeDocument/2006/relationships/hyperlink" Target="https://www.builtinnyc.com/company/octus/offices" TargetMode="External" Id="rId361"/><Relationship Type="http://schemas.openxmlformats.org/officeDocument/2006/relationships/hyperlink" Target="https://commercialobserver.com/2025/03/octus-lease-295-fifth-avenue/" TargetMode="External" Id="rId362"/><Relationship Type="http://schemas.openxmlformats.org/officeDocument/2006/relationships/hyperlink" Target="https://www.builtinnyc.com/company/the-knot-worldwide/offices" TargetMode="External" Id="rId363"/><Relationship Type="http://schemas.openxmlformats.org/officeDocument/2006/relationships/hyperlink" Target="https://commercialobserver.com/2025/11/the-knot-settle-down-295-fifth-avenue/" TargetMode="External" Id="rId364"/><Relationship Type="http://schemas.openxmlformats.org/officeDocument/2006/relationships/hyperlink" Target="https://www.reprally.com/" TargetMode="External" Id="rId365"/><Relationship Type="http://schemas.openxmlformats.org/officeDocument/2006/relationships/hyperlink" Target="https://www.builtinnyc.com/company/reprally/offices" TargetMode="External" Id="rId366"/><Relationship Type="http://schemas.openxmlformats.org/officeDocument/2006/relationships/hyperlink" Target="https://www.reprally.com/company/msa" TargetMode="External" Id="rId367"/><Relationship Type="http://schemas.openxmlformats.org/officeDocument/2006/relationships/hyperlink" Target="https://commercialobserver.com/2025/09/reprally-lease-137-east-25th-street/" TargetMode="External" Id="rId368"/><Relationship Type="http://schemas.openxmlformats.org/officeDocument/2006/relationships/hyperlink" Target="https://www.runwise.com" TargetMode="External" Id="rId369"/><Relationship Type="http://schemas.openxmlformats.org/officeDocument/2006/relationships/hyperlink" Target="https://www.builtinnyc.com/company/runwise-2/offices" TargetMode="External" Id="rId370"/><Relationship Type="http://schemas.openxmlformats.org/officeDocument/2006/relationships/hyperlink" Target="https://www.builtinnyc.com/company/runwise-2/offices" TargetMode="External" Id="rId371"/><Relationship Type="http://schemas.openxmlformats.org/officeDocument/2006/relationships/hyperlink" Target="https://www.builtinnyc.com/company/gumgum/offices" TargetMode="External" Id="rId372"/><Relationship Type="http://schemas.openxmlformats.org/officeDocument/2006/relationships/hyperlink" Target="https://commercialobserver.com/2022/10/online-advertising-firm-gumgum-heads-to-1245-broadway/" TargetMode="External" Id="rId373"/><Relationship Type="http://schemas.openxmlformats.org/officeDocument/2006/relationships/hyperlink" Target="https://www.parloa.com" TargetMode="External" Id="rId374"/><Relationship Type="http://schemas.openxmlformats.org/officeDocument/2006/relationships/hyperlink" Target="https://www.builtinnyc.com/company/parloa/offices" TargetMode="External" Id="rId375"/><Relationship Type="http://schemas.openxmlformats.org/officeDocument/2006/relationships/hyperlink" Target="https://commercialobserver.com/2026/06/parloa-lease-expansion-gdsny-1245-broadway/" TargetMode="External" Id="rId376"/><Relationship Type="http://schemas.openxmlformats.org/officeDocument/2006/relationships/hyperlink" Target="https://www.parloa.com/contact/" TargetMode="External" Id="rId377"/><Relationship Type="http://schemas.openxmlformats.org/officeDocument/2006/relationships/hyperlink" Target="https://fordmodels.com" TargetMode="External" Id="rId378"/><Relationship Type="http://schemas.openxmlformats.org/officeDocument/2006/relationships/hyperlink" Target="https://fordmodels.com/contact" TargetMode="External" Id="rId379"/><Relationship Type="http://schemas.openxmlformats.org/officeDocument/2006/relationships/hyperlink" Target="https://commercialobserver.com/2026/03/ford-models-office-lease-36-east-31st-street/" TargetMode="External" Id="rId380"/><Relationship Type="http://schemas.openxmlformats.org/officeDocument/2006/relationships/hyperlink" Target="https://theancillaryproject.com" TargetMode="External" Id="rId381"/><Relationship Type="http://schemas.openxmlformats.org/officeDocument/2006/relationships/hyperlink" Target="https://commercialobserver.com/2026/01/ancillary-project-lease-36-east-31st-street/" TargetMode="External" Id="rId382"/><Relationship Type="http://schemas.openxmlformats.org/officeDocument/2006/relationships/hyperlink" Target="https://theancillaryproject.com/" TargetMode="External" Id="rId383"/></Relationships>
</file>

<file path=xl/worksheets/sheet1.xml><?xml version="1.0" encoding="utf-8"?>
<worksheet xmlns="http://schemas.openxmlformats.org/spreadsheetml/2006/main">
  <sheetPr>
    <outlinePr summaryBelow="1" summaryRight="1"/>
    <pageSetUpPr/>
  </sheetPr>
  <dimension ref="A1:AT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row>
    <row r="2">
      <c r="A2" t="inlineStr">
        <is>
          <t>B-C-001</t>
        </is>
      </c>
      <c r="B2" t="inlineStr">
        <is>
          <t>HUMAN Security</t>
        </is>
      </c>
      <c r="C2" s="2" t="inlineStr">
        <is>
          <t>https://www.humansecurity.com</t>
        </is>
      </c>
      <c r="D2" t="inlineStr">
        <is>
          <t>cybersecurity</t>
        </is>
      </c>
      <c r="E2" t="inlineStr">
        <is>
          <t>B-B-001</t>
        </is>
      </c>
      <c r="F2" t="inlineStr">
        <is>
          <t>841 Broadway</t>
        </is>
      </c>
      <c r="G2" t="inlineStr">
        <is>
          <t>2</t>
        </is>
      </c>
      <c r="H2" t="inlineStr">
        <is>
          <t>10003</t>
        </is>
      </c>
      <c r="I2" t="n">
        <v>40.734305</v>
      </c>
      <c r="J2" t="n">
        <v>-73.99105900000001</v>
      </c>
      <c r="K2" t="inlineStr">
        <is>
          <t>Y</t>
        </is>
      </c>
      <c r="L2" t="inlineStr">
        <is>
          <t>251-500</t>
        </is>
      </c>
      <c r="M2" t="inlineStr">
        <is>
          <t>whole-company</t>
        </is>
      </c>
      <c r="N2" s="2" t="inlineStr">
        <is>
          <t>https://www.builtinnyc.com/company/human</t>
        </is>
      </c>
      <c r="O2" s="2" t="inlineStr">
        <is>
          <t>https://commercialobserver.com/2024/06/movable-ink-lease-841-broadway/</t>
        </is>
      </c>
      <c r="P2" t="inlineStr">
        <is>
          <t>2024-06</t>
        </is>
      </c>
      <c r="Q2" s="2" t="inlineStr">
        <is>
          <t>https://builtinnyc.com/articles/nyc-tech-headquarters-openings-2023</t>
        </is>
      </c>
      <c r="R2" t="inlineStr">
        <is>
          <t>low</t>
        </is>
      </c>
      <c r="S2" t="inlineStr">
        <is>
          <t>N</t>
        </is>
      </c>
      <c r="T2" t="inlineStr"/>
      <c r="U2" t="inlineStr"/>
      <c r="V2" s="3" t="inlineStr">
        <is>
          <t>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https://www.builtinnyc.com/company/human/offices</t>
        </is>
      </c>
      <c r="AA2" t="inlineStr">
        <is>
          <t>393</t>
        </is>
      </c>
      <c r="AB2" t="inlineStr">
        <is>
          <t>single-source</t>
        </is>
      </c>
      <c r="AC2" t="inlineStr"/>
      <c r="AD2" t="inlineStr"/>
      <c r="AE2" t="inlineStr"/>
      <c r="AF2" t="inlineStr">
        <is>
          <t>unknown</t>
        </is>
      </c>
      <c r="AG2" t="inlineStr"/>
      <c r="AH2" t="inlineStr">
        <is>
          <t>security desk</t>
        </is>
      </c>
      <c r="AI2" t="inlineStr">
        <is>
          <t>candidate</t>
        </is>
      </c>
      <c r="AJ2" t="inlineStr">
        <is>
          <t>occupancy-unconfirmed</t>
        </is>
      </c>
      <c r="AK2" t="inlineStr"/>
      <c r="AL2" t="inlineStr">
        <is>
          <t>2026-10-23</t>
        </is>
      </c>
      <c r="AM2" s="3" t="inlineStr"/>
      <c r="AN2" t="inlineStr">
        <is>
          <t>leasing-press</t>
        </is>
      </c>
      <c r="AO2" t="inlineStr">
        <is>
          <t>2023</t>
        </is>
      </c>
      <c r="AP2" t="inlineStr">
        <is>
          <t>no-coworking-in-building</t>
        </is>
      </c>
      <c r="AQ2" t="inlineStr">
        <is>
          <t>1005650015</t>
        </is>
      </c>
      <c r="AR2" t="n">
        <v>0</v>
      </c>
      <c r="AS2" t="inlineStr">
        <is>
          <t>13,809 sf</t>
        </is>
      </c>
      <c r="AT2" t="inlineStr">
        <is>
          <t>S1</t>
        </is>
      </c>
    </row>
    <row r="3">
      <c r="A3" t="inlineStr">
        <is>
          <t>B-C-002</t>
        </is>
      </c>
      <c r="B3" t="inlineStr">
        <is>
          <t>Casa Komos Brand Group</t>
        </is>
      </c>
      <c r="C3" t="inlineStr">
        <is>
          <t>unknown</t>
        </is>
      </c>
      <c r="D3" t="inlineStr">
        <is>
          <t>consumer beverage brand (tequila)</t>
        </is>
      </c>
      <c r="E3" t="inlineStr">
        <is>
          <t>B-B-001</t>
        </is>
      </c>
      <c r="F3" t="inlineStr">
        <is>
          <t>853 Broadway</t>
        </is>
      </c>
      <c r="G3" t="inlineStr">
        <is>
          <t>2; part of 9</t>
        </is>
      </c>
      <c r="H3" t="inlineStr">
        <is>
          <t>10003</t>
        </is>
      </c>
      <c r="I3" t="n">
        <v>40.734626</v>
      </c>
      <c r="J3" t="n">
        <v>-73.9911</v>
      </c>
      <c r="K3" t="inlineStr">
        <is>
          <t>Y</t>
        </is>
      </c>
      <c r="L3" t="inlineStr">
        <is>
          <t>unknown</t>
        </is>
      </c>
      <c r="M3" t="inlineStr">
        <is>
          <t>unknown</t>
        </is>
      </c>
      <c r="N3" t="inlineStr"/>
      <c r="O3" s="2" t="inlineStr">
        <is>
          <t>https://commercialobserver.com/2026/01/perplexity-lease-841-broadway-union-square/</t>
        </is>
      </c>
      <c r="P3" t="inlineStr">
        <is>
          <t>2026-01-27</t>
        </is>
      </c>
      <c r="Q3" s="2" t="inlineStr">
        <is>
          <t>https://commercialobserver.com/2024/02/tequila-brand-casa-komos-moving-offices-to-10k-sf-at-853-broadway/</t>
        </is>
      </c>
      <c r="R3" t="inlineStr">
        <is>
          <t>medium</t>
        </is>
      </c>
      <c r="S3" t="inlineStr">
        <is>
          <t>N</t>
        </is>
      </c>
      <c r="T3" t="inlineStr"/>
      <c r="U3" t="inlineStr"/>
      <c r="V3" s="3" t="inlineStr">
        <is>
          <t>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is>
      </c>
      <c r="W3" t="inlineStr">
        <is>
          <t>2026-10-23</t>
        </is>
      </c>
      <c r="X3" t="inlineStr">
        <is>
          <t>unknown</t>
        </is>
      </c>
      <c r="Y3" t="inlineStr">
        <is>
          <t>unknown</t>
        </is>
      </c>
      <c r="Z3" t="inlineStr"/>
      <c r="AA3" t="inlineStr"/>
      <c r="AB3" t="inlineStr">
        <is>
          <t>no-count</t>
        </is>
      </c>
      <c r="AC3" t="inlineStr"/>
      <c r="AD3" t="inlineStr"/>
      <c r="AE3" t="inlineStr"/>
      <c r="AF3" t="inlineStr">
        <is>
          <t>unknown</t>
        </is>
      </c>
      <c r="AG3" t="inlineStr"/>
      <c r="AH3" t="inlineStr">
        <is>
          <t>security desk</t>
        </is>
      </c>
      <c r="AI3" t="inlineStr">
        <is>
          <t>candidate</t>
        </is>
      </c>
      <c r="AJ3" t="inlineStr">
        <is>
          <t>occupied</t>
        </is>
      </c>
      <c r="AK3" t="inlineStr"/>
      <c r="AL3" t="inlineStr"/>
      <c r="AM3" s="3" t="inlineStr">
        <is>
          <t>No opened source gives a count: no Built In profile with a total, the company site publishes none, and LinkedIn was off-limits. Founder to confirm at intake.</t>
        </is>
      </c>
      <c r="AN3" t="inlineStr">
        <is>
          <t>leasing-press</t>
        </is>
      </c>
      <c r="AO3" t="inlineStr">
        <is>
          <t>2024-02</t>
        </is>
      </c>
      <c r="AP3" t="inlineStr">
        <is>
          <t>no-coworking-in-building</t>
        </is>
      </c>
      <c r="AQ3" t="inlineStr">
        <is>
          <t>1005650015</t>
        </is>
      </c>
      <c r="AR3" t="n">
        <v>0</v>
      </c>
      <c r="AS3" t="inlineStr">
        <is>
          <t>10,300 sf</t>
        </is>
      </c>
      <c r="AT3" t="inlineStr">
        <is>
          <t>S1</t>
        </is>
      </c>
    </row>
    <row r="4">
      <c r="A4" t="inlineStr">
        <is>
          <t>B-C-003</t>
        </is>
      </c>
      <c r="B4" t="inlineStr">
        <is>
          <t>First Look Media</t>
        </is>
      </c>
      <c r="C4" t="inlineStr">
        <is>
          <t>unknown</t>
        </is>
      </c>
      <c r="D4" t="inlineStr">
        <is>
          <t>nonprofit media (streaming and production)</t>
        </is>
      </c>
      <c r="E4" t="inlineStr">
        <is>
          <t>B-B-001</t>
        </is>
      </c>
      <c r="F4" t="inlineStr">
        <is>
          <t>853 Broadway</t>
        </is>
      </c>
      <c r="G4" t="inlineStr">
        <is>
          <t>10</t>
        </is>
      </c>
      <c r="H4" t="inlineStr">
        <is>
          <t>10003</t>
        </is>
      </c>
      <c r="I4" t="n">
        <v>40.734626</v>
      </c>
      <c r="J4" t="n">
        <v>-73.9911</v>
      </c>
      <c r="K4" t="inlineStr">
        <is>
          <t>Y</t>
        </is>
      </c>
      <c r="L4" t="inlineStr">
        <is>
          <t>unknown</t>
        </is>
      </c>
      <c r="M4" t="inlineStr">
        <is>
          <t>unknown</t>
        </is>
      </c>
      <c r="N4" s="2" t="inlineStr">
        <is>
          <t>https://www.builtinnyc.com/company/first-look-media</t>
        </is>
      </c>
      <c r="O4" s="2" t="inlineStr">
        <is>
          <t>https://rebusinessonline.com/first-look-media-signs-7896-sf-office-lease-at-853-broadway-in-manhattan/</t>
        </is>
      </c>
      <c r="P4" t="inlineStr">
        <is>
          <t>2023-06-07</t>
        </is>
      </c>
      <c r="Q4" t="inlineStr"/>
      <c r="R4" t="inlineStr">
        <is>
          <t>low</t>
        </is>
      </c>
      <c r="S4" t="inlineStr">
        <is>
          <t>N</t>
        </is>
      </c>
      <c r="T4" t="inlineStr"/>
      <c r="U4" t="inlineStr"/>
      <c r="V4" s="3" t="inlineStr">
        <is>
          <t>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is>
      </c>
      <c r="W4" t="inlineStr">
        <is>
          <t>2026-10-23</t>
        </is>
      </c>
      <c r="X4" t="inlineStr">
        <is>
          <t>New York</t>
        </is>
      </c>
      <c r="Y4" t="inlineStr">
        <is>
          <t>Y</t>
        </is>
      </c>
      <c r="Z4" t="inlineStr">
        <is>
          <t>https://www.builtinnyc.com/company/first-look-media/offices</t>
        </is>
      </c>
      <c r="AA4" t="inlineStr">
        <is>
          <t>129</t>
        </is>
      </c>
      <c r="AB4" t="inlineStr">
        <is>
          <t>disagree</t>
        </is>
      </c>
      <c r="AC4" t="inlineStr">
        <is>
          <t>32</t>
        </is>
      </c>
      <c r="AD4" t="inlineStr">
        <is>
          <t>https://www.reveliolabs.com/companies/first-look-media/employees</t>
        </is>
      </c>
      <c r="AE4" t="inlineStr">
        <is>
          <t>2026-08-31</t>
        </is>
      </c>
      <c r="AF4" t="inlineStr">
        <is>
          <t>unknown</t>
        </is>
      </c>
      <c r="AG4" t="inlineStr"/>
      <c r="AH4" t="inlineStr">
        <is>
          <t>security desk</t>
        </is>
      </c>
      <c r="AI4" t="inlineStr">
        <is>
          <t>candidate</t>
        </is>
      </c>
      <c r="AJ4" t="inlineStr">
        <is>
          <t>occupancy-unconfirmed</t>
        </is>
      </c>
      <c r="AK4" t="inlineStr"/>
      <c r="AL4" t="inlineStr">
        <is>
          <t>2026-10-23</t>
        </is>
      </c>
      <c r="AM4" s="3" t="inlineStr">
        <is>
          <t>Sources disagree: Built In shows 129 (76-150) and Revelio Labs (First Look Media, Inc., HQ Los Angeles): about 32 employees worldwide as of March 2026 (under-40). Band left unknown; founder to confirm at intake.</t>
        </is>
      </c>
      <c r="AN4" t="inlineStr">
        <is>
          <t>leasing-press</t>
        </is>
      </c>
      <c r="AO4" t="inlineStr"/>
      <c r="AP4" t="inlineStr">
        <is>
          <t>no-coworking-in-building</t>
        </is>
      </c>
      <c r="AQ4" t="inlineStr">
        <is>
          <t>1005650015</t>
        </is>
      </c>
      <c r="AR4" t="n">
        <v>0</v>
      </c>
      <c r="AS4" t="inlineStr">
        <is>
          <t>7,896 sf</t>
        </is>
      </c>
      <c r="AT4" t="inlineStr">
        <is>
          <t>S1</t>
        </is>
      </c>
    </row>
    <row r="5">
      <c r="A5" t="inlineStr">
        <is>
          <t>B-C-004</t>
        </is>
      </c>
      <c r="B5" t="inlineStr">
        <is>
          <t>Lepercq de Neuflize &amp; Co.</t>
        </is>
      </c>
      <c r="C5" s="2" t="inlineStr">
        <is>
          <t>https://www.lepercq.com</t>
        </is>
      </c>
      <c r="D5" t="inlineStr">
        <is>
          <t>investment management</t>
        </is>
      </c>
      <c r="E5" t="inlineStr">
        <is>
          <t>B-B-001</t>
        </is>
      </c>
      <c r="F5" t="inlineStr">
        <is>
          <t>853 Broadway</t>
        </is>
      </c>
      <c r="G5" t="inlineStr">
        <is>
          <t>16</t>
        </is>
      </c>
      <c r="H5" t="inlineStr">
        <is>
          <t>10003</t>
        </is>
      </c>
      <c r="I5" t="n">
        <v>40.734626</v>
      </c>
      <c r="J5" t="n">
        <v>-73.9911</v>
      </c>
      <c r="K5" t="inlineStr">
        <is>
          <t>Y</t>
        </is>
      </c>
      <c r="L5" t="inlineStr">
        <is>
          <t>unknown</t>
        </is>
      </c>
      <c r="M5" t="inlineStr">
        <is>
          <t>unknown</t>
        </is>
      </c>
      <c r="N5" t="inlineStr"/>
      <c r="O5" s="2" t="inlineStr">
        <is>
          <t>https://www.lepercq.com/</t>
        </is>
      </c>
      <c r="P5" t="inlineStr">
        <is>
          <t>2026-10-23</t>
        </is>
      </c>
      <c r="Q5" s="2" t="inlineStr">
        <is>
          <t>https://nyrej.com/print/54591</t>
        </is>
      </c>
      <c r="R5" t="inlineStr">
        <is>
          <t>high</t>
        </is>
      </c>
      <c r="S5" t="inlineStr">
        <is>
          <t>N</t>
        </is>
      </c>
      <c r="T5" t="inlineStr"/>
      <c r="U5" t="inlineStr"/>
      <c r="V5" s="3" t="inlineStr">
        <is>
          <t>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is>
      </c>
      <c r="W5" t="inlineStr">
        <is>
          <t>2026-10-23</t>
        </is>
      </c>
      <c r="X5" t="inlineStr">
        <is>
          <t>unknown</t>
        </is>
      </c>
      <c r="Y5" t="inlineStr">
        <is>
          <t>unknown</t>
        </is>
      </c>
      <c r="Z5" t="inlineStr"/>
      <c r="AA5" t="inlineStr"/>
      <c r="AB5" t="inlineStr">
        <is>
          <t>no-count</t>
        </is>
      </c>
      <c r="AC5" t="inlineStr"/>
      <c r="AD5" t="inlineStr"/>
      <c r="AE5" t="inlineStr"/>
      <c r="AF5" t="inlineStr">
        <is>
          <t>unknown</t>
        </is>
      </c>
      <c r="AG5" t="inlineStr"/>
      <c r="AH5" t="inlineStr">
        <is>
          <t>security desk</t>
        </is>
      </c>
      <c r="AI5" t="inlineStr">
        <is>
          <t>candidate</t>
        </is>
      </c>
      <c r="AJ5" t="inlineStr">
        <is>
          <t>occupied</t>
        </is>
      </c>
      <c r="AK5" t="inlineStr"/>
      <c r="AL5" t="inlineStr"/>
      <c r="AM5" s="3" t="inlineStr">
        <is>
          <t>No opened source gives a count: no Built In profile with a total, the company site publishes none, and LinkedIn was off-limits. Founder to confirm at intake.</t>
        </is>
      </c>
      <c r="AN5" t="inlineStr">
        <is>
          <t>company-site</t>
        </is>
      </c>
      <c r="AO5" t="inlineStr">
        <is>
          <t>2025-04-08</t>
        </is>
      </c>
      <c r="AP5" t="inlineStr">
        <is>
          <t>no-coworking-in-building</t>
        </is>
      </c>
      <c r="AQ5" t="inlineStr">
        <is>
          <t>1005650015</t>
        </is>
      </c>
      <c r="AR5" t="n">
        <v>0</v>
      </c>
      <c r="AS5" t="inlineStr">
        <is>
          <t>7,563 sf</t>
        </is>
      </c>
      <c r="AT5" t="inlineStr">
        <is>
          <t>S1</t>
        </is>
      </c>
    </row>
    <row r="6">
      <c r="A6" t="inlineStr">
        <is>
          <t>B-C-006</t>
        </is>
      </c>
      <c r="B6" t="inlineStr">
        <is>
          <t>Perplexity</t>
        </is>
      </c>
      <c r="C6" s="2" t="inlineStr">
        <is>
          <t>https://www.perplexity.ai</t>
        </is>
      </c>
      <c r="D6" t="inlineStr">
        <is>
          <t>AI search</t>
        </is>
      </c>
      <c r="E6" t="inlineStr">
        <is>
          <t>B-B-001</t>
        </is>
      </c>
      <c r="F6" t="inlineStr">
        <is>
          <t>853 Broadway</t>
        </is>
      </c>
      <c r="G6" t="inlineStr">
        <is>
          <t>4 (plus 4th floor of adjoining 841 Broadway)</t>
        </is>
      </c>
      <c r="H6" t="inlineStr">
        <is>
          <t>10003</t>
        </is>
      </c>
      <c r="I6" t="n">
        <v>40.734626</v>
      </c>
      <c r="J6" t="n">
        <v>-73.9911</v>
      </c>
      <c r="K6" t="inlineStr">
        <is>
          <t>Y</t>
        </is>
      </c>
      <c r="L6" t="inlineStr">
        <is>
          <t>unknown</t>
        </is>
      </c>
      <c r="M6" t="inlineStr">
        <is>
          <t>unknown</t>
        </is>
      </c>
      <c r="N6" t="inlineStr"/>
      <c r="O6" s="2" t="inlineStr">
        <is>
          <t>https://nyrej.com/perplexity-expands-presence-at-841-853-broadway</t>
        </is>
      </c>
      <c r="P6" t="inlineStr">
        <is>
          <t>2026-03-05</t>
        </is>
      </c>
      <c r="Q6" s="2" t="inlineStr">
        <is>
          <t>https://commercialobserver.com/2026/01/perplexity-lease-841-broadway-union-square/</t>
        </is>
      </c>
      <c r="R6" t="inlineStr">
        <is>
          <t>high</t>
        </is>
      </c>
      <c r="S6" t="inlineStr">
        <is>
          <t>N</t>
        </is>
      </c>
      <c r="T6" t="inlineStr"/>
      <c r="U6" t="inlineStr"/>
      <c r="V6" s="3" t="inlineStr">
        <is>
          <t>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is>
      </c>
      <c r="W6" t="inlineStr">
        <is>
          <t>2026-10-23</t>
        </is>
      </c>
      <c r="X6" t="inlineStr">
        <is>
          <t>San Francisco</t>
        </is>
      </c>
      <c r="Y6" t="inlineStr">
        <is>
          <t>N</t>
        </is>
      </c>
      <c r="Z6" t="inlineStr">
        <is>
          <t>row notes</t>
        </is>
      </c>
      <c r="AA6" t="inlineStr"/>
      <c r="AB6" t="inlineStr">
        <is>
          <t>no-count</t>
        </is>
      </c>
      <c r="AC6" t="inlineStr"/>
      <c r="AD6" t="inlineStr"/>
      <c r="AE6" t="inlineStr"/>
      <c r="AF6" t="inlineStr">
        <is>
          <t>unknown</t>
        </is>
      </c>
      <c r="AG6" t="inlineStr"/>
      <c r="AH6" t="inlineStr">
        <is>
          <t>security desk</t>
        </is>
      </c>
      <c r="AI6" t="inlineStr">
        <is>
          <t>candidate</t>
        </is>
      </c>
      <c r="AJ6" t="inlineStr">
        <is>
          <t>occupancy-unconfirmed</t>
        </is>
      </c>
      <c r="AK6" t="inlineStr"/>
      <c r="AL6" t="inlineStr"/>
      <c r="AM6" s="3" t="inlineStr">
        <is>
          <t>Built In shows 41 and Wikipedia's infobox shows 52 (2024), both of which conflict with a 22,000 sf NYC office leased in 2025-26; band left unknown rather than set from stale counts.</t>
        </is>
      </c>
      <c r="AN6" t="inlineStr">
        <is>
          <t>leasing-press</t>
        </is>
      </c>
      <c r="AO6" t="inlineStr">
        <is>
          <t>2026-01-27</t>
        </is>
      </c>
      <c r="AP6" t="inlineStr">
        <is>
          <t>no-coworking-in-building</t>
        </is>
      </c>
      <c r="AQ6" t="inlineStr">
        <is>
          <t>1005650015</t>
        </is>
      </c>
      <c r="AR6" t="n">
        <v>0</v>
      </c>
      <c r="AS6" t="inlineStr">
        <is>
          <t>22,000 sf; 14,000 sf; 8,000 sf</t>
        </is>
      </c>
      <c r="AT6" t="inlineStr">
        <is>
          <t>S1</t>
        </is>
      </c>
    </row>
    <row r="7">
      <c r="A7" t="inlineStr">
        <is>
          <t>B-C-007</t>
        </is>
      </c>
      <c r="B7" t="inlineStr">
        <is>
          <t>Personetics</t>
        </is>
      </c>
      <c r="C7" s="2" t="inlineStr">
        <is>
          <t>https://personetics.com</t>
        </is>
      </c>
      <c r="D7" t="inlineStr">
        <is>
          <t>fintech software (banking AI)</t>
        </is>
      </c>
      <c r="E7" t="inlineStr">
        <is>
          <t>B-B-001</t>
        </is>
      </c>
      <c r="F7" t="inlineStr">
        <is>
          <t>853 Broadway</t>
        </is>
      </c>
      <c r="G7" t="inlineStr">
        <is>
          <t>19</t>
        </is>
      </c>
      <c r="H7" t="inlineStr">
        <is>
          <t>10003</t>
        </is>
      </c>
      <c r="I7" t="n">
        <v>40.734626</v>
      </c>
      <c r="J7" t="n">
        <v>-73.9911</v>
      </c>
      <c r="K7" t="inlineStr">
        <is>
          <t>Y</t>
        </is>
      </c>
      <c r="L7" t="inlineStr">
        <is>
          <t>251-500</t>
        </is>
      </c>
      <c r="M7" t="inlineStr">
        <is>
          <t>whole-company</t>
        </is>
      </c>
      <c r="N7" s="2" t="inlineStr">
        <is>
          <t>https://www.builtinnyc.com/company/personetics</t>
        </is>
      </c>
      <c r="O7" s="2" t="inlineStr">
        <is>
          <t>https://nyrej.com/print/54591</t>
        </is>
      </c>
      <c r="P7" t="inlineStr">
        <is>
          <t>2025-04-08</t>
        </is>
      </c>
      <c r="Q7" t="inlineStr"/>
      <c r="R7" t="inlineStr">
        <is>
          <t>medium</t>
        </is>
      </c>
      <c r="S7" t="inlineStr">
        <is>
          <t>N</t>
        </is>
      </c>
      <c r="T7" t="inlineStr"/>
      <c r="U7" t="inlineStr"/>
      <c r="V7" s="3" t="inlineStr">
        <is>
          <t>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is>
      </c>
      <c r="W7" t="inlineStr">
        <is>
          <t>2026-10-23</t>
        </is>
      </c>
      <c r="X7" t="inlineStr">
        <is>
          <t>New York</t>
        </is>
      </c>
      <c r="Y7" t="inlineStr">
        <is>
          <t>Y</t>
        </is>
      </c>
      <c r="Z7" t="inlineStr">
        <is>
          <t>https://www.reveliolabs.com/companies/personetics/employees</t>
        </is>
      </c>
      <c r="AA7" t="inlineStr">
        <is>
          <t>371</t>
        </is>
      </c>
      <c r="AB7" t="inlineStr">
        <is>
          <t>agree</t>
        </is>
      </c>
      <c r="AC7" t="inlineStr">
        <is>
          <t>336</t>
        </is>
      </c>
      <c r="AD7" t="inlineStr">
        <is>
          <t>https://www.reveliolabs.com/companies/personetics/employees</t>
        </is>
      </c>
      <c r="AE7" t="inlineStr">
        <is>
          <t>2026-08-31</t>
        </is>
      </c>
      <c r="AF7" t="inlineStr">
        <is>
          <t>unknown</t>
        </is>
      </c>
      <c r="AG7" t="inlineStr"/>
      <c r="AH7" t="inlineStr">
        <is>
          <t>security desk</t>
        </is>
      </c>
      <c r="AI7" t="inlineStr">
        <is>
          <t>candidate</t>
        </is>
      </c>
      <c r="AJ7" t="inlineStr">
        <is>
          <t>occupancy-unconfirmed</t>
        </is>
      </c>
      <c r="AK7" t="inlineStr"/>
      <c r="AL7" t="inlineStr">
        <is>
          <t>2026-10-23</t>
        </is>
      </c>
      <c r="AM7" s="3" t="inlineStr"/>
      <c r="AN7" t="inlineStr">
        <is>
          <t>leasing-press</t>
        </is>
      </c>
      <c r="AO7" t="inlineStr"/>
      <c r="AP7" t="inlineStr">
        <is>
          <t>no-coworking-in-building</t>
        </is>
      </c>
      <c r="AQ7" t="inlineStr">
        <is>
          <t>1005650015</t>
        </is>
      </c>
      <c r="AR7" t="n">
        <v>0</v>
      </c>
      <c r="AS7" t="inlineStr">
        <is>
          <t>7,004 sf</t>
        </is>
      </c>
      <c r="AT7" t="inlineStr">
        <is>
          <t>S1</t>
        </is>
      </c>
    </row>
    <row r="8">
      <c r="A8" t="inlineStr">
        <is>
          <t>B-C-008</t>
        </is>
      </c>
      <c r="B8" t="inlineStr">
        <is>
          <t>Union Square Hospitality Group</t>
        </is>
      </c>
      <c r="C8" s="2" t="inlineStr">
        <is>
          <t>https://www.ushg.com</t>
        </is>
      </c>
      <c r="D8" t="inlineStr">
        <is>
          <t>hospitality (restaurant group corporate office)</t>
        </is>
      </c>
      <c r="E8" t="inlineStr">
        <is>
          <t>B-B-001</t>
        </is>
      </c>
      <c r="F8" t="inlineStr">
        <is>
          <t>853 Broadway</t>
        </is>
      </c>
      <c r="G8" t="inlineStr">
        <is>
          <t>17</t>
        </is>
      </c>
      <c r="H8" t="inlineStr">
        <is>
          <t>10003</t>
        </is>
      </c>
      <c r="I8" t="n">
        <v>40.734626</v>
      </c>
      <c r="J8" t="n">
        <v>-73.9911</v>
      </c>
      <c r="K8" t="inlineStr">
        <is>
          <t>Y</t>
        </is>
      </c>
      <c r="L8" t="inlineStr">
        <is>
          <t>unknown</t>
        </is>
      </c>
      <c r="M8" t="inlineStr">
        <is>
          <t>unknown</t>
        </is>
      </c>
      <c r="N8" t="inlineStr"/>
      <c r="O8" s="2" t="inlineStr">
        <is>
          <t>https://www.ushg.com/contact</t>
        </is>
      </c>
      <c r="P8" t="inlineStr">
        <is>
          <t>2026-10-23</t>
        </is>
      </c>
      <c r="Q8" s="2" t="inlineStr">
        <is>
          <t>https://commercialobserver.com/2018/02/danny-meyers-union-square-hospitality-moving-within-union-square/</t>
        </is>
      </c>
      <c r="R8" t="inlineStr">
        <is>
          <t>high</t>
        </is>
      </c>
      <c r="S8" t="inlineStr">
        <is>
          <t>N</t>
        </is>
      </c>
      <c r="T8" t="inlineStr"/>
      <c r="U8" t="inlineStr"/>
      <c r="V8" s="3" t="inlineStr">
        <is>
          <t>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is>
      </c>
      <c r="W8" t="inlineStr">
        <is>
          <t>2026-10-23</t>
        </is>
      </c>
      <c r="X8" t="inlineStr">
        <is>
          <t>unknown</t>
        </is>
      </c>
      <c r="Y8" t="inlineStr">
        <is>
          <t>unknown</t>
        </is>
      </c>
      <c r="Z8" t="inlineStr"/>
      <c r="AA8" t="inlineStr"/>
      <c r="AB8" t="inlineStr">
        <is>
          <t>no-count</t>
        </is>
      </c>
      <c r="AC8" t="inlineStr"/>
      <c r="AD8" t="inlineStr"/>
      <c r="AE8" t="inlineStr"/>
      <c r="AF8" t="inlineStr">
        <is>
          <t>unknown</t>
        </is>
      </c>
      <c r="AG8" t="inlineStr"/>
      <c r="AH8" t="inlineStr">
        <is>
          <t>security desk</t>
        </is>
      </c>
      <c r="AI8" t="inlineStr">
        <is>
          <t>candidate</t>
        </is>
      </c>
      <c r="AJ8" t="inlineStr">
        <is>
          <t>occupied</t>
        </is>
      </c>
      <c r="AK8" t="inlineStr"/>
      <c r="AL8" t="inlineStr"/>
      <c r="AM8" s="3" t="inlineStr">
        <is>
          <t>No opened source gives a count: no Built In profile with a total, the company site publishes none, and LinkedIn was off-limits. Founder to confirm at intake.</t>
        </is>
      </c>
      <c r="AN8" t="inlineStr">
        <is>
          <t>company-site</t>
        </is>
      </c>
      <c r="AO8" t="inlineStr">
        <is>
          <t>2018-02</t>
        </is>
      </c>
      <c r="AP8" t="inlineStr">
        <is>
          <t>no-coworking-in-building</t>
        </is>
      </c>
      <c r="AQ8" t="inlineStr">
        <is>
          <t>1005650015</t>
        </is>
      </c>
      <c r="AR8" t="n">
        <v>0</v>
      </c>
      <c r="AS8" t="inlineStr">
        <is>
          <t>15,000 sf</t>
        </is>
      </c>
      <c r="AT8" t="inlineStr">
        <is>
          <t>S1</t>
        </is>
      </c>
    </row>
    <row r="9">
      <c r="A9" t="inlineStr">
        <is>
          <t>B-C-009</t>
        </is>
      </c>
      <c r="B9" t="inlineStr">
        <is>
          <t>Alpine Investors</t>
        </is>
      </c>
      <c r="C9" s="2" t="inlineStr">
        <is>
          <t>https://www.alpineinvestors.com</t>
        </is>
      </c>
      <c r="D9" t="inlineStr">
        <is>
          <t>private equity</t>
        </is>
      </c>
      <c r="E9" t="inlineStr">
        <is>
          <t>B-B-002</t>
        </is>
      </c>
      <c r="F9" t="inlineStr">
        <is>
          <t>124 East 14th Street</t>
        </is>
      </c>
      <c r="G9" t="inlineStr">
        <is>
          <t>12</t>
        </is>
      </c>
      <c r="H9" t="inlineStr">
        <is>
          <t>10003</t>
        </is>
      </c>
      <c r="I9" t="n">
        <v>40.733674</v>
      </c>
      <c r="J9" t="n">
        <v>-73.988766</v>
      </c>
      <c r="K9" t="inlineStr">
        <is>
          <t>Y</t>
        </is>
      </c>
      <c r="L9" t="inlineStr">
        <is>
          <t>151-250</t>
        </is>
      </c>
      <c r="M9" t="inlineStr">
        <is>
          <t>whole-company</t>
        </is>
      </c>
      <c r="N9" s="2" t="inlineStr">
        <is>
          <t>https://www.builtinnyc.com/company/alpine-investors</t>
        </is>
      </c>
      <c r="O9" s="2" t="inlineStr">
        <is>
          <t>https://www.alpineinvestors.com/contact/</t>
        </is>
      </c>
      <c r="P9" t="inlineStr">
        <is>
          <t>2026-10-24</t>
        </is>
      </c>
      <c r="Q9" s="2" t="inlineStr">
        <is>
          <t>https://commercialobserver.com/2022/11/alpine-investors-lease-zero-irving/</t>
        </is>
      </c>
      <c r="R9" t="inlineStr">
        <is>
          <t>high</t>
        </is>
      </c>
      <c r="S9" t="inlineStr">
        <is>
          <t>N</t>
        </is>
      </c>
      <c r="T9" t="inlineStr"/>
      <c r="U9" t="inlineStr"/>
      <c r="V9" s="3" t="inlineStr">
        <is>
          <t>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is>
      </c>
      <c r="W9" t="inlineStr">
        <is>
          <t>2026-10-23</t>
        </is>
      </c>
      <c r="X9" t="inlineStr">
        <is>
          <t>San Francisco</t>
        </is>
      </c>
      <c r="Y9" t="inlineStr">
        <is>
          <t>N</t>
        </is>
      </c>
      <c r="Z9" t="inlineStr">
        <is>
          <t>https://www.builtinnyc.com/company/alpine-investors/offices</t>
        </is>
      </c>
      <c r="AA9" t="inlineStr">
        <is>
          <t>203</t>
        </is>
      </c>
      <c r="AB9" t="inlineStr">
        <is>
          <t>single-source</t>
        </is>
      </c>
      <c r="AC9" t="inlineStr"/>
      <c r="AD9" t="inlineStr"/>
      <c r="AE9" t="inlineStr"/>
      <c r="AF9" t="inlineStr">
        <is>
          <t>unknown</t>
        </is>
      </c>
      <c r="AG9" t="inlineStr"/>
      <c r="AH9" t="inlineStr">
        <is>
          <t>unknown</t>
        </is>
      </c>
      <c r="AI9" t="inlineStr">
        <is>
          <t>candidate</t>
        </is>
      </c>
      <c r="AJ9" t="inlineStr">
        <is>
          <t>occupied</t>
        </is>
      </c>
      <c r="AK9" t="inlineStr"/>
      <c r="AL9" t="inlineStr">
        <is>
          <t>2026-10-24</t>
        </is>
      </c>
      <c r="AM9" s="3" t="inlineStr"/>
      <c r="AN9" t="inlineStr">
        <is>
          <t>company-site</t>
        </is>
      </c>
      <c r="AO9" t="inlineStr">
        <is>
          <t>2022-11-17</t>
        </is>
      </c>
      <c r="AP9" t="inlineStr">
        <is>
          <t>direct-lease-documented</t>
        </is>
      </c>
      <c r="AQ9" t="inlineStr">
        <is>
          <t>1005590016</t>
        </is>
      </c>
      <c r="AR9" t="n">
        <v>0</v>
      </c>
      <c r="AS9" t="inlineStr">
        <is>
          <t>22,000 sf</t>
        </is>
      </c>
      <c r="AT9" t="inlineStr">
        <is>
          <t>S1</t>
        </is>
      </c>
    </row>
    <row r="10">
      <c r="A10" t="inlineStr">
        <is>
          <t>B-C-011</t>
        </is>
      </c>
      <c r="B10" t="inlineStr">
        <is>
          <t>Senator Investment Group</t>
        </is>
      </c>
      <c r="C10" s="2" t="inlineStr">
        <is>
          <t>https://www.senatorlp.com</t>
        </is>
      </c>
      <c r="D10" t="inlineStr">
        <is>
          <t>investment management (hedge fund)</t>
        </is>
      </c>
      <c r="E10" t="inlineStr">
        <is>
          <t>B-B-002</t>
        </is>
      </c>
      <c r="F10" t="inlineStr">
        <is>
          <t>124 East 14th Street</t>
        </is>
      </c>
      <c r="G10" t="inlineStr">
        <is>
          <t>20</t>
        </is>
      </c>
      <c r="H10" t="inlineStr">
        <is>
          <t>10003</t>
        </is>
      </c>
      <c r="I10" t="n">
        <v>40.733674</v>
      </c>
      <c r="J10" t="n">
        <v>-73.988766</v>
      </c>
      <c r="K10" t="inlineStr">
        <is>
          <t>Y</t>
        </is>
      </c>
      <c r="L10" t="inlineStr">
        <is>
          <t>unknown</t>
        </is>
      </c>
      <c r="M10" t="inlineStr">
        <is>
          <t>unknown</t>
        </is>
      </c>
      <c r="N10" t="inlineStr"/>
      <c r="O10" s="2" t="inlineStr">
        <is>
          <t>https://www.senatorlp.com/</t>
        </is>
      </c>
      <c r="P10" t="inlineStr">
        <is>
          <t>2026-10-24</t>
        </is>
      </c>
      <c r="Q10" s="2" t="inlineStr">
        <is>
          <t>https://commercialobserver.com/2024/08/senator-investment-group-lease-zero-irving/</t>
        </is>
      </c>
      <c r="R10" t="inlineStr">
        <is>
          <t>high</t>
        </is>
      </c>
      <c r="S10" t="inlineStr">
        <is>
          <t>N</t>
        </is>
      </c>
      <c r="T10" t="inlineStr"/>
      <c r="U10" t="inlineStr"/>
      <c r="V10" s="3" t="inlineStr">
        <is>
          <t>Site: '124 E. 14th Street 20th Floor New York, NY 10003'. CO 2024-08: 12,455 sf lease that filled the 240,000 sf building. Headcount not found. Margin: south side of 14th between Irving Pl and Third Ave.</t>
        </is>
      </c>
      <c r="W10" t="inlineStr">
        <is>
          <t>2026-10-23</t>
        </is>
      </c>
      <c r="X10" t="inlineStr">
        <is>
          <t>unknown</t>
        </is>
      </c>
      <c r="Y10" t="inlineStr">
        <is>
          <t>unknown</t>
        </is>
      </c>
      <c r="Z10" t="inlineStr"/>
      <c r="AA10" t="inlineStr"/>
      <c r="AB10" t="inlineStr">
        <is>
          <t>no-count</t>
        </is>
      </c>
      <c r="AC10" t="inlineStr"/>
      <c r="AD10" t="inlineStr"/>
      <c r="AE10" t="inlineStr"/>
      <c r="AF10" t="inlineStr">
        <is>
          <t>unknown</t>
        </is>
      </c>
      <c r="AG10" t="inlineStr"/>
      <c r="AH10" t="inlineStr">
        <is>
          <t>unknown</t>
        </is>
      </c>
      <c r="AI10" t="inlineStr">
        <is>
          <t>candidate</t>
        </is>
      </c>
      <c r="AJ10" t="inlineStr">
        <is>
          <t>occupied</t>
        </is>
      </c>
      <c r="AK10" t="inlineStr"/>
      <c r="AL10" t="inlineStr"/>
      <c r="AM10" s="3" t="inlineStr">
        <is>
          <t>No opened source gives a count: no Built In profile with a total, the company site publishes none, and LinkedIn was off-limits. Founder to confirm at intake.</t>
        </is>
      </c>
      <c r="AN10" t="inlineStr">
        <is>
          <t>company-site</t>
        </is>
      </c>
      <c r="AO10" t="inlineStr">
        <is>
          <t>2024-08</t>
        </is>
      </c>
      <c r="AP10" t="inlineStr">
        <is>
          <t>direct-lease-documented</t>
        </is>
      </c>
      <c r="AQ10" t="inlineStr">
        <is>
          <t>1005590016</t>
        </is>
      </c>
      <c r="AR10" t="n">
        <v>0</v>
      </c>
      <c r="AS10" t="inlineStr">
        <is>
          <t>12,455 sf; 240,000 sf</t>
        </is>
      </c>
      <c r="AT10" t="inlineStr">
        <is>
          <t>S1</t>
        </is>
      </c>
    </row>
    <row r="11">
      <c r="A11" t="inlineStr">
        <is>
          <t>B-C-012</t>
        </is>
      </c>
      <c r="B11" t="inlineStr">
        <is>
          <t>Profound</t>
        </is>
      </c>
      <c r="C11" s="2" t="inlineStr">
        <is>
          <t>https://www.tryprofound.com</t>
        </is>
      </c>
      <c r="D11" t="inlineStr">
        <is>
          <t>marketing tech (AI search analytics)</t>
        </is>
      </c>
      <c r="E11" t="inlineStr">
        <is>
          <t>B-B-003</t>
        </is>
      </c>
      <c r="F11" t="inlineStr">
        <is>
          <t>5 Union Square West</t>
        </is>
      </c>
      <c r="G11" t="inlineStr">
        <is>
          <t>2 full floors (not named)</t>
        </is>
      </c>
      <c r="H11" t="inlineStr">
        <is>
          <t>10003</t>
        </is>
      </c>
      <c r="I11" t="n">
        <v>40.7357</v>
      </c>
      <c r="J11" t="n">
        <v>-73.991754</v>
      </c>
      <c r="K11" t="inlineStr">
        <is>
          <t>Y</t>
        </is>
      </c>
      <c r="L11" t="inlineStr">
        <is>
          <t>unknown</t>
        </is>
      </c>
      <c r="M11" t="inlineStr">
        <is>
          <t>unknown</t>
        </is>
      </c>
      <c r="N11" s="2" t="inlineStr">
        <is>
          <t>https://fortune.com/2026/02/24/exclusive-as-ai-threatens-search-profound-raises-96-million-to-help-brands-stay-visible/</t>
        </is>
      </c>
      <c r="O11" s="2" t="inlineStr">
        <is>
          <t>https://commercialobserver.com/2026/05/profound-lease-gfp-5-9-union-square-west/</t>
        </is>
      </c>
      <c r="P11" t="inlineStr">
        <is>
          <t>2026-05-18</t>
        </is>
      </c>
      <c r="Q11" t="inlineStr"/>
      <c r="R11" t="inlineStr">
        <is>
          <t>medium</t>
        </is>
      </c>
      <c r="S11" t="inlineStr">
        <is>
          <t>N</t>
        </is>
      </c>
      <c r="T11" t="inlineStr"/>
      <c r="U11" t="inlineStr"/>
      <c r="V11" s="3" t="inlineStr">
        <is>
          <t>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is>
      </c>
      <c r="W11" t="inlineStr">
        <is>
          <t>2026-10-23</t>
        </is>
      </c>
      <c r="X11" t="inlineStr">
        <is>
          <t>New York</t>
        </is>
      </c>
      <c r="Y11" t="inlineStr">
        <is>
          <t>Y</t>
        </is>
      </c>
      <c r="Z11" t="inlineStr">
        <is>
          <t>row notes</t>
        </is>
      </c>
      <c r="AA11" t="inlineStr"/>
      <c r="AB11" t="inlineStr">
        <is>
          <t>no-count</t>
        </is>
      </c>
      <c r="AC11" t="inlineStr"/>
      <c r="AD11" t="inlineStr"/>
      <c r="AE11" t="inlineStr"/>
      <c r="AF11" t="inlineStr">
        <is>
          <t>unknown</t>
        </is>
      </c>
      <c r="AG11" t="inlineStr"/>
      <c r="AH11" t="inlineStr">
        <is>
          <t>unknown</t>
        </is>
      </c>
      <c r="AI11" t="inlineStr">
        <is>
          <t>candidate</t>
        </is>
      </c>
      <c r="AJ11" t="inlineStr">
        <is>
          <t>signed-not-occupied</t>
        </is>
      </c>
      <c r="AK11" t="inlineStr">
        <is>
          <t>unknown</t>
        </is>
      </c>
      <c r="AL11" t="inlineStr">
        <is>
          <t>2026-02-24</t>
        </is>
      </c>
      <c r="AM11" s="3" t="inlineStr">
        <is>
          <t>Fortune 2026-02-24 says 'fewer than 120 employees', which spans two bands (40-75 and 76-150).</t>
        </is>
      </c>
      <c r="AN11" t="inlineStr">
        <is>
          <t>leasing-press</t>
        </is>
      </c>
      <c r="AO11" t="inlineStr"/>
      <c r="AP11" t="inlineStr">
        <is>
          <t>no-coworking-in-building</t>
        </is>
      </c>
      <c r="AQ11" t="inlineStr">
        <is>
          <t>1008420023</t>
        </is>
      </c>
      <c r="AR11" t="n">
        <v>0</v>
      </c>
      <c r="AS11" t="inlineStr">
        <is>
          <t>30,000 sf; 7,500 sf</t>
        </is>
      </c>
      <c r="AT11" t="inlineStr">
        <is>
          <t>S1</t>
        </is>
      </c>
    </row>
    <row r="12">
      <c r="A12" t="inlineStr">
        <is>
          <t>B-C-013</t>
        </is>
      </c>
      <c r="B12" t="inlineStr">
        <is>
          <t>Rockwell Group</t>
        </is>
      </c>
      <c r="C12" s="2" t="inlineStr">
        <is>
          <t>https://www.rockwellgroup.com</t>
        </is>
      </c>
      <c r="D12" t="inlineStr">
        <is>
          <t>architecture and design</t>
        </is>
      </c>
      <c r="E12" t="inlineStr">
        <is>
          <t>B-B-003</t>
        </is>
      </c>
      <c r="F12" t="inlineStr">
        <is>
          <t>5 Union Square West</t>
        </is>
      </c>
      <c r="G12" t="inlineStr">
        <is>
          <t>8</t>
        </is>
      </c>
      <c r="H12" t="inlineStr">
        <is>
          <t>10003</t>
        </is>
      </c>
      <c r="I12" t="n">
        <v>40.7357</v>
      </c>
      <c r="J12" t="n">
        <v>-73.991754</v>
      </c>
      <c r="K12" t="inlineStr">
        <is>
          <t>Y</t>
        </is>
      </c>
      <c r="L12" t="inlineStr">
        <is>
          <t>unknown</t>
        </is>
      </c>
      <c r="M12" t="inlineStr">
        <is>
          <t>unknown</t>
        </is>
      </c>
      <c r="N12" s="2" t="inlineStr">
        <is>
          <t>https://www.rockwellgroup.com/about</t>
        </is>
      </c>
      <c r="O12" s="2" t="inlineStr">
        <is>
          <t>https://www.rockwellgroup.com/about</t>
        </is>
      </c>
      <c r="P12" t="inlineStr">
        <is>
          <t>2026-10-23</t>
        </is>
      </c>
      <c r="Q12" s="2" t="inlineStr">
        <is>
          <t>https://commercialobserver.com/2026/05/profound-lease-gfp-5-9-union-square-west/</t>
        </is>
      </c>
      <c r="R12" t="inlineStr">
        <is>
          <t>high</t>
        </is>
      </c>
      <c r="S12" t="inlineStr">
        <is>
          <t>N</t>
        </is>
      </c>
      <c r="T12" t="inlineStr"/>
      <c r="U12" t="inlineStr"/>
      <c r="V12" s="3" t="inlineStr">
        <is>
          <t>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is>
      </c>
      <c r="W12" t="inlineStr">
        <is>
          <t>2026-10-23</t>
        </is>
      </c>
      <c r="X12" t="inlineStr">
        <is>
          <t>New York</t>
        </is>
      </c>
      <c r="Y12" t="inlineStr">
        <is>
          <t>Y</t>
        </is>
      </c>
      <c r="Z12" t="inlineStr">
        <is>
          <t>https://www.rockwellgroup.com/about</t>
        </is>
      </c>
      <c r="AA12" t="inlineStr">
        <is>
          <t>350</t>
        </is>
      </c>
      <c r="AB12" t="inlineStr">
        <is>
          <t>disagree</t>
        </is>
      </c>
      <c r="AC12" t="inlineStr">
        <is>
          <t>542</t>
        </is>
      </c>
      <c r="AD12" t="inlineStr">
        <is>
          <t>https://www.reveliolabs.com/companies/rockwell-group/employees</t>
        </is>
      </c>
      <c r="AE12" t="inlineStr">
        <is>
          <t>2026-08-31</t>
        </is>
      </c>
      <c r="AF12" t="inlineStr">
        <is>
          <t>unknown</t>
        </is>
      </c>
      <c r="AG12" t="inlineStr"/>
      <c r="AH12" t="inlineStr">
        <is>
          <t>unknown</t>
        </is>
      </c>
      <c r="AI12" t="inlineStr">
        <is>
          <t>candidate</t>
        </is>
      </c>
      <c r="AJ12" t="inlineStr">
        <is>
          <t>occupied</t>
        </is>
      </c>
      <c r="AK12" t="inlineStr"/>
      <c r="AL12" t="inlineStr">
        <is>
          <t>2026-10-23</t>
        </is>
      </c>
      <c r="AM12" s="3" t="inlineStr">
        <is>
          <t>Sources disagree: the company's own page shows 350 (251-500) and Revelio Labs (Rockwell Group, HQ New York City): about 542 employees worldwide as of March 2026 (over-500). Band left unknown; founder to confirm at intake.</t>
        </is>
      </c>
      <c r="AN12" t="inlineStr">
        <is>
          <t>company-site</t>
        </is>
      </c>
      <c r="AO12" t="inlineStr">
        <is>
          <t>2026-05-18</t>
        </is>
      </c>
      <c r="AP12" t="inlineStr">
        <is>
          <t>no-coworking-in-building</t>
        </is>
      </c>
      <c r="AQ12" t="inlineStr">
        <is>
          <t>1008420023</t>
        </is>
      </c>
      <c r="AR12" t="n">
        <v>0</v>
      </c>
      <c r="AS12" t="inlineStr"/>
      <c r="AT12" t="inlineStr">
        <is>
          <t>S1</t>
        </is>
      </c>
    </row>
    <row r="13">
      <c r="A13" t="inlineStr">
        <is>
          <t>B-C-014</t>
        </is>
      </c>
      <c r="B13" t="inlineStr">
        <is>
          <t>Mirage (formerly Captions)</t>
        </is>
      </c>
      <c r="C13" s="2" t="inlineStr">
        <is>
          <t>https://www.captions.ai</t>
        </is>
      </c>
      <c r="D13" t="inlineStr">
        <is>
          <t>AI video software</t>
        </is>
      </c>
      <c r="E13" t="inlineStr">
        <is>
          <t>B-B-004</t>
        </is>
      </c>
      <c r="F13" t="inlineStr">
        <is>
          <t>71 Fifth Avenue</t>
        </is>
      </c>
      <c r="G13" t="inlineStr">
        <is>
          <t>6</t>
        </is>
      </c>
      <c r="H13" t="inlineStr">
        <is>
          <t>10003</t>
        </is>
      </c>
      <c r="I13" t="n">
        <v>40.736419</v>
      </c>
      <c r="J13" t="n">
        <v>-73.99309599999999</v>
      </c>
      <c r="K13" t="inlineStr">
        <is>
          <t>Y</t>
        </is>
      </c>
      <c r="L13" t="inlineStr">
        <is>
          <t>40-75</t>
        </is>
      </c>
      <c r="M13" t="inlineStr">
        <is>
          <t>whole-company</t>
        </is>
      </c>
      <c r="N13" s="2" t="inlineStr">
        <is>
          <t>https://www.builtinnyc.com/company/captions</t>
        </is>
      </c>
      <c r="O13" s="2" t="inlineStr">
        <is>
          <t>https://rebusinessonline.com/?p=393709</t>
        </is>
      </c>
      <c r="P13" t="inlineStr">
        <is>
          <t>2024-03-01</t>
        </is>
      </c>
      <c r="Q13" t="inlineStr"/>
      <c r="R13" t="inlineStr">
        <is>
          <t>low</t>
        </is>
      </c>
      <c r="S13" t="inlineStr">
        <is>
          <t>N</t>
        </is>
      </c>
      <c r="T13" t="inlineStr"/>
      <c r="U13" t="inlineStr"/>
      <c r="V13" s="3" t="inlineStr">
        <is>
          <t>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is>
      </c>
      <c r="W13" t="inlineStr">
        <is>
          <t>2026-10-23</t>
        </is>
      </c>
      <c r="X13" t="inlineStr">
        <is>
          <t>unknown</t>
        </is>
      </c>
      <c r="Y13" t="inlineStr">
        <is>
          <t>unknown</t>
        </is>
      </c>
      <c r="Z13" t="inlineStr">
        <is>
          <t>https://www.builtinnyc.com/company/captions/offices</t>
        </is>
      </c>
      <c r="AA13" t="inlineStr">
        <is>
          <t>75</t>
        </is>
      </c>
      <c r="AB13" t="inlineStr">
        <is>
          <t>single-source</t>
        </is>
      </c>
      <c r="AC13" t="inlineStr"/>
      <c r="AD13" t="inlineStr"/>
      <c r="AE13" t="inlineStr"/>
      <c r="AF13" t="inlineStr">
        <is>
          <t>unknown</t>
        </is>
      </c>
      <c r="AG13" t="inlineStr"/>
      <c r="AH13" t="inlineStr">
        <is>
          <t>unknown</t>
        </is>
      </c>
      <c r="AI13" t="inlineStr">
        <is>
          <t>candidate</t>
        </is>
      </c>
      <c r="AJ13" t="inlineStr">
        <is>
          <t>occupancy-unconfirmed</t>
        </is>
      </c>
      <c r="AK13" t="inlineStr"/>
      <c r="AL13" t="inlineStr">
        <is>
          <t>2026-10-23</t>
        </is>
      </c>
      <c r="AM13" s="3" t="inlineStr"/>
      <c r="AN13" t="inlineStr">
        <is>
          <t>leasing-press</t>
        </is>
      </c>
      <c r="AO13" t="inlineStr"/>
      <c r="AP13" t="inlineStr">
        <is>
          <t>no-coworking-in-building</t>
        </is>
      </c>
      <c r="AQ13" t="inlineStr">
        <is>
          <t>1008420042</t>
        </is>
      </c>
      <c r="AR13" t="n">
        <v>0</v>
      </c>
      <c r="AS13" t="inlineStr">
        <is>
          <t>15,202 sf</t>
        </is>
      </c>
      <c r="AT13" t="inlineStr">
        <is>
          <t>S1</t>
        </is>
      </c>
    </row>
    <row r="14">
      <c r="A14" t="inlineStr">
        <is>
          <t>B-C-016</t>
        </is>
      </c>
      <c r="B14" t="inlineStr">
        <is>
          <t>Battery Ventures</t>
        </is>
      </c>
      <c r="C14" s="2" t="inlineStr">
        <is>
          <t>https://www.battery.com</t>
        </is>
      </c>
      <c r="D14" t="inlineStr">
        <is>
          <t>venture capital</t>
        </is>
      </c>
      <c r="E14" t="inlineStr">
        <is>
          <t>B-B-006</t>
        </is>
      </c>
      <c r="F14" t="inlineStr">
        <is>
          <t>100 Fifth Avenue</t>
        </is>
      </c>
      <c r="G14" t="inlineStr">
        <is>
          <t>3</t>
        </is>
      </c>
      <c r="H14" t="inlineStr">
        <is>
          <t>10011</t>
        </is>
      </c>
      <c r="I14" t="n">
        <v>40.736981</v>
      </c>
      <c r="J14" t="n">
        <v>-73.993144</v>
      </c>
      <c r="K14" t="inlineStr">
        <is>
          <t>Y</t>
        </is>
      </c>
      <c r="L14" t="inlineStr">
        <is>
          <t>unknown</t>
        </is>
      </c>
      <c r="M14" t="inlineStr">
        <is>
          <t>unknown</t>
        </is>
      </c>
      <c r="N14" t="inlineStr"/>
      <c r="O14" s="2" t="inlineStr">
        <is>
          <t>https://www.battery.com/contact/</t>
        </is>
      </c>
      <c r="P14" t="inlineStr">
        <is>
          <t>2026-10-23</t>
        </is>
      </c>
      <c r="Q14" s="2" t="inlineStr">
        <is>
          <t>https://commercialobserver.com/2026/08/biohub-fundraise-up-leases-100-104-fifth-avenue/</t>
        </is>
      </c>
      <c r="R14" t="inlineStr">
        <is>
          <t>high</t>
        </is>
      </c>
      <c r="S14" t="inlineStr">
        <is>
          <t>N</t>
        </is>
      </c>
      <c r="T14" t="inlineStr"/>
      <c r="U14" t="inlineStr"/>
      <c r="V14" s="3" t="inlineStr">
        <is>
          <t>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is>
      </c>
      <c r="W14" t="inlineStr">
        <is>
          <t>2026-10-23</t>
        </is>
      </c>
      <c r="X14" t="inlineStr">
        <is>
          <t>unknown</t>
        </is>
      </c>
      <c r="Y14" t="inlineStr">
        <is>
          <t>unknown</t>
        </is>
      </c>
      <c r="Z14" t="inlineStr"/>
      <c r="AA14" t="inlineStr"/>
      <c r="AB14" t="inlineStr">
        <is>
          <t>no-count</t>
        </is>
      </c>
      <c r="AC14" t="inlineStr"/>
      <c r="AD14" t="inlineStr"/>
      <c r="AE14" t="inlineStr"/>
      <c r="AF14" t="inlineStr">
        <is>
          <t>unknown</t>
        </is>
      </c>
      <c r="AG14" t="inlineStr"/>
      <c r="AH14" t="inlineStr">
        <is>
          <t>unknown</t>
        </is>
      </c>
      <c r="AI14" t="inlineStr">
        <is>
          <t>candidate</t>
        </is>
      </c>
      <c r="AJ14" t="inlineStr">
        <is>
          <t>occupied</t>
        </is>
      </c>
      <c r="AK14" t="inlineStr"/>
      <c r="AL14" t="inlineStr"/>
      <c r="AM14" s="3" t="inlineStr">
        <is>
          <t>No opened source gives a count: no Built In profile with a total, the company site publishes none, and LinkedIn was off-limits. Founder to confirm at intake.</t>
        </is>
      </c>
      <c r="AN14" t="inlineStr">
        <is>
          <t>company-site</t>
        </is>
      </c>
      <c r="AO14" t="inlineStr">
        <is>
          <t>2026-08-26</t>
        </is>
      </c>
      <c r="AP14" t="inlineStr">
        <is>
          <t>no-coworking-in-building</t>
        </is>
      </c>
      <c r="AQ14" t="inlineStr">
        <is>
          <t>1008177502</t>
        </is>
      </c>
      <c r="AR14" t="n">
        <v>0</v>
      </c>
      <c r="AS14" t="inlineStr">
        <is>
          <t>10,600 sf</t>
        </is>
      </c>
      <c r="AT14" t="inlineStr">
        <is>
          <t>S1</t>
        </is>
      </c>
    </row>
    <row r="15">
      <c r="A15" t="inlineStr">
        <is>
          <t>B-C-017</t>
        </is>
      </c>
      <c r="B15" t="inlineStr">
        <is>
          <t>Biohub (Chan Zuckerberg Biohub)</t>
        </is>
      </c>
      <c r="C15" s="2" t="inlineStr">
        <is>
          <t>https://biohub.org</t>
        </is>
      </c>
      <c r="D15" t="inlineStr">
        <is>
          <t>nonprofit biomedical research</t>
        </is>
      </c>
      <c r="E15" t="inlineStr">
        <is>
          <t>B-B-006</t>
        </is>
      </c>
      <c r="F15" t="inlineStr">
        <is>
          <t>100 Fifth Avenue</t>
        </is>
      </c>
      <c r="G15" t="inlineStr">
        <is>
          <t>9</t>
        </is>
      </c>
      <c r="H15" t="inlineStr">
        <is>
          <t>10011</t>
        </is>
      </c>
      <c r="I15" t="n">
        <v>40.736981</v>
      </c>
      <c r="J15" t="n">
        <v>-73.993144</v>
      </c>
      <c r="K15" t="inlineStr">
        <is>
          <t>Y</t>
        </is>
      </c>
      <c r="L15" t="inlineStr">
        <is>
          <t>251-500</t>
        </is>
      </c>
      <c r="M15" t="inlineStr">
        <is>
          <t>whole-company</t>
        </is>
      </c>
      <c r="N15" s="2" t="inlineStr">
        <is>
          <t>https://www.builtinnyc.com/company/biohub</t>
        </is>
      </c>
      <c r="O15" s="2" t="inlineStr">
        <is>
          <t>https://commercialobserver.com/2026/08/biohub-fundraise-up-leases-100-104-fifth-avenue/</t>
        </is>
      </c>
      <c r="P15" t="inlineStr">
        <is>
          <t>2026-08-26</t>
        </is>
      </c>
      <c r="Q15" t="inlineStr"/>
      <c r="R15" t="inlineStr">
        <is>
          <t>medium</t>
        </is>
      </c>
      <c r="S15" t="inlineStr">
        <is>
          <t>N</t>
        </is>
      </c>
      <c r="T15" t="inlineStr"/>
      <c r="U15" t="inlineStr"/>
      <c r="V15" s="3" t="inlineStr">
        <is>
          <t>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is>
      </c>
      <c r="W15" t="inlineStr">
        <is>
          <t>2026-10-23</t>
        </is>
      </c>
      <c r="X15" t="inlineStr">
        <is>
          <t>San Francisco</t>
        </is>
      </c>
      <c r="Y15" t="inlineStr">
        <is>
          <t>N</t>
        </is>
      </c>
      <c r="Z15" t="inlineStr">
        <is>
          <t>https://www.builtinnyc.com/company/biohub/offices</t>
        </is>
      </c>
      <c r="AA15" t="inlineStr">
        <is>
          <t>468</t>
        </is>
      </c>
      <c r="AB15" t="inlineStr">
        <is>
          <t>agree</t>
        </is>
      </c>
      <c r="AC15" t="inlineStr">
        <is>
          <t>436</t>
        </is>
      </c>
      <c r="AD15" t="inlineStr">
        <is>
          <t>https://www.reveliolabs.com/companies/biohub/employees</t>
        </is>
      </c>
      <c r="AE15" t="inlineStr">
        <is>
          <t>2026-08-31</t>
        </is>
      </c>
      <c r="AF15" t="inlineStr">
        <is>
          <t>unknown</t>
        </is>
      </c>
      <c r="AG15" t="inlineStr"/>
      <c r="AH15" t="inlineStr">
        <is>
          <t>unknown</t>
        </is>
      </c>
      <c r="AI15" t="inlineStr">
        <is>
          <t>candidate</t>
        </is>
      </c>
      <c r="AJ15" t="inlineStr">
        <is>
          <t>signed-not-occupied</t>
        </is>
      </c>
      <c r="AK15" t="inlineStr">
        <is>
          <t>unknown</t>
        </is>
      </c>
      <c r="AL15" t="inlineStr">
        <is>
          <t>2026-10-23</t>
        </is>
      </c>
      <c r="AM15" s="3" t="inlineStr"/>
      <c r="AN15" t="inlineStr">
        <is>
          <t>leasing-press</t>
        </is>
      </c>
      <c r="AO15" t="inlineStr"/>
      <c r="AP15" t="inlineStr">
        <is>
          <t>no-coworking-in-building</t>
        </is>
      </c>
      <c r="AQ15" t="inlineStr">
        <is>
          <t>1008177502</t>
        </is>
      </c>
      <c r="AR15" t="n">
        <v>0</v>
      </c>
      <c r="AS15" t="inlineStr">
        <is>
          <t>10,666 sf</t>
        </is>
      </c>
      <c r="AT15" t="inlineStr">
        <is>
          <t>S1</t>
        </is>
      </c>
    </row>
    <row r="16">
      <c r="A16" t="inlineStr">
        <is>
          <t>B-C-018</t>
        </is>
      </c>
      <c r="B16" t="inlineStr">
        <is>
          <t>Fundraise Up</t>
        </is>
      </c>
      <c r="C16" s="2" t="inlineStr">
        <is>
          <t>https://fundraiseup.com</t>
        </is>
      </c>
      <c r="D16" t="inlineStr">
        <is>
          <t>nonprofit fundraising software</t>
        </is>
      </c>
      <c r="E16" t="inlineStr">
        <is>
          <t>B-B-006</t>
        </is>
      </c>
      <c r="F16" t="inlineStr">
        <is>
          <t>100 Fifth Avenue</t>
        </is>
      </c>
      <c r="G16" t="inlineStr">
        <is>
          <t>7</t>
        </is>
      </c>
      <c r="H16" t="inlineStr">
        <is>
          <t>10011</t>
        </is>
      </c>
      <c r="I16" t="n">
        <v>40.736981</v>
      </c>
      <c r="J16" t="n">
        <v>-73.993144</v>
      </c>
      <c r="K16" t="inlineStr">
        <is>
          <t>Y</t>
        </is>
      </c>
      <c r="L16" t="inlineStr">
        <is>
          <t>unknown</t>
        </is>
      </c>
      <c r="M16" t="inlineStr">
        <is>
          <t>unknown</t>
        </is>
      </c>
      <c r="N16" t="inlineStr"/>
      <c r="O16" s="2" t="inlineStr">
        <is>
          <t>https://commercialobserver.com/2026/08/biohub-fundraise-up-leases-100-104-fifth-avenue/</t>
        </is>
      </c>
      <c r="P16" t="inlineStr">
        <is>
          <t>2026-08-26</t>
        </is>
      </c>
      <c r="Q16" t="inlineStr"/>
      <c r="R16" t="inlineStr">
        <is>
          <t>medium</t>
        </is>
      </c>
      <c r="S16" t="inlineStr">
        <is>
          <t>N</t>
        </is>
      </c>
      <c r="T16" t="inlineStr"/>
      <c r="U16" t="inlineStr"/>
      <c r="V16" s="3" t="inlineStr">
        <is>
          <t>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is>
      </c>
      <c r="W16" t="inlineStr">
        <is>
          <t>2026-10-23</t>
        </is>
      </c>
      <c r="X16" t="inlineStr">
        <is>
          <t>unknown</t>
        </is>
      </c>
      <c r="Y16" t="inlineStr">
        <is>
          <t>unknown</t>
        </is>
      </c>
      <c r="Z16" t="inlineStr"/>
      <c r="AA16" t="inlineStr"/>
      <c r="AB16" t="inlineStr">
        <is>
          <t>no-count</t>
        </is>
      </c>
      <c r="AC16" t="inlineStr"/>
      <c r="AD16" t="inlineStr"/>
      <c r="AE16" t="inlineStr"/>
      <c r="AF16" t="inlineStr">
        <is>
          <t>unknown</t>
        </is>
      </c>
      <c r="AG16" t="inlineStr"/>
      <c r="AH16" t="inlineStr">
        <is>
          <t>unknown</t>
        </is>
      </c>
      <c r="AI16" t="inlineStr">
        <is>
          <t>candidate</t>
        </is>
      </c>
      <c r="AJ16" t="inlineStr">
        <is>
          <t>signed-not-occupied</t>
        </is>
      </c>
      <c r="AK16" t="inlineStr">
        <is>
          <t>unknown</t>
        </is>
      </c>
      <c r="AL16" t="inlineStr"/>
      <c r="AM16" s="3" t="inlineStr">
        <is>
          <t>No opened source gives a count: no Built In profile with a total, the company site publishes none, and LinkedIn was off-limits. Founder to confirm at intake.</t>
        </is>
      </c>
      <c r="AN16" t="inlineStr">
        <is>
          <t>leasing-press</t>
        </is>
      </c>
      <c r="AO16" t="inlineStr"/>
      <c r="AP16" t="inlineStr">
        <is>
          <t>no-coworking-in-building</t>
        </is>
      </c>
      <c r="AQ16" t="inlineStr">
        <is>
          <t>1008177502</t>
        </is>
      </c>
      <c r="AR16" t="n">
        <v>0</v>
      </c>
      <c r="AS16" t="inlineStr">
        <is>
          <t>9,522 sf</t>
        </is>
      </c>
      <c r="AT16" t="inlineStr">
        <is>
          <t>S1</t>
        </is>
      </c>
    </row>
    <row r="17">
      <c r="A17" t="inlineStr">
        <is>
          <t>B-C-015</t>
        </is>
      </c>
      <c r="B17" t="inlineStr">
        <is>
          <t>Gresham Investment Management</t>
        </is>
      </c>
      <c r="C17" s="2" t="inlineStr">
        <is>
          <t>https://www.greshamllc.com</t>
        </is>
      </c>
      <c r="D17" t="inlineStr">
        <is>
          <t>investment management (commodities)</t>
        </is>
      </c>
      <c r="E17" t="inlineStr">
        <is>
          <t>B-B-005</t>
        </is>
      </c>
      <c r="F17" t="inlineStr">
        <is>
          <t>19 Union Square West</t>
        </is>
      </c>
      <c r="G17" t="inlineStr">
        <is>
          <t>11</t>
        </is>
      </c>
      <c r="H17" t="inlineStr">
        <is>
          <t>10003</t>
        </is>
      </c>
      <c r="I17" t="n">
        <v>40.73616</v>
      </c>
      <c r="J17" t="n">
        <v>-73.991181</v>
      </c>
      <c r="K17" t="inlineStr">
        <is>
          <t>Y</t>
        </is>
      </c>
      <c r="L17" t="inlineStr">
        <is>
          <t>unknown</t>
        </is>
      </c>
      <c r="M17" t="inlineStr">
        <is>
          <t>unknown</t>
        </is>
      </c>
      <c r="N17" t="inlineStr"/>
      <c r="O17" s="2" t="inlineStr">
        <is>
          <t>https://www.greshamllc.com/contact</t>
        </is>
      </c>
      <c r="P17" t="inlineStr">
        <is>
          <t>2026-10-23</t>
        </is>
      </c>
      <c r="Q17" s="2" t="inlineStr">
        <is>
          <t>https://www.mannpublications.com/mannreport/2024/06/10/hedge-fund-manager-relocates-to-19-union-square-west/</t>
        </is>
      </c>
      <c r="R17" t="inlineStr">
        <is>
          <t>medium</t>
        </is>
      </c>
      <c r="S17" t="inlineStr">
        <is>
          <t>N</t>
        </is>
      </c>
      <c r="T17" t="inlineStr"/>
      <c r="U17" t="inlineStr"/>
      <c r="V17" s="3" t="inlineStr">
        <is>
          <t>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t>
        </is>
      </c>
      <c r="W17" t="inlineStr">
        <is>
          <t>2026-10-23</t>
        </is>
      </c>
      <c r="X17" t="inlineStr">
        <is>
          <t>unknown</t>
        </is>
      </c>
      <c r="Y17" t="inlineStr">
        <is>
          <t>unknown</t>
        </is>
      </c>
      <c r="Z17" t="inlineStr"/>
      <c r="AA17" t="inlineStr"/>
      <c r="AB17" t="inlineStr">
        <is>
          <t>no-count</t>
        </is>
      </c>
      <c r="AC17" t="inlineStr"/>
      <c r="AD17" t="inlineStr"/>
      <c r="AE17" t="inlineStr"/>
      <c r="AF17" t="inlineStr">
        <is>
          <t>Nuveen</t>
        </is>
      </c>
      <c r="AG17" t="inlineStr">
        <is>
          <t>row notes</t>
        </is>
      </c>
      <c r="AH17" t="inlineStr">
        <is>
          <t>unknown</t>
        </is>
      </c>
      <c r="AI17" t="inlineStr">
        <is>
          <t>candidate</t>
        </is>
      </c>
      <c r="AJ17" t="inlineStr">
        <is>
          <t>occupied</t>
        </is>
      </c>
      <c r="AK17" t="inlineStr"/>
      <c r="AL17" t="inlineStr"/>
      <c r="AM17" s="3" t="inlineStr">
        <is>
          <t>No opened source gives a count: no Built In profile with a total, the company site publishes none, and LinkedIn was off-limits. Founder to confirm at intake.</t>
        </is>
      </c>
      <c r="AN17" t="inlineStr">
        <is>
          <t>company-site</t>
        </is>
      </c>
      <c r="AO17" t="inlineStr">
        <is>
          <t>2024-06-10</t>
        </is>
      </c>
      <c r="AP17" t="inlineStr">
        <is>
          <t>no-coworking-in-building</t>
        </is>
      </c>
      <c r="AQ17" t="inlineStr">
        <is>
          <t>1008430020</t>
        </is>
      </c>
      <c r="AR17" t="n">
        <v>0</v>
      </c>
      <c r="AS17" t="inlineStr"/>
      <c r="AT17" t="inlineStr">
        <is>
          <t>S1</t>
        </is>
      </c>
    </row>
    <row r="18">
      <c r="A18" t="inlineStr">
        <is>
          <t>B-C-019</t>
        </is>
      </c>
      <c r="B18" t="inlineStr">
        <is>
          <t>Thinking Machines Lab</t>
        </is>
      </c>
      <c r="C18" s="2" t="inlineStr">
        <is>
          <t>https://thinkingmachines.ai</t>
        </is>
      </c>
      <c r="D18" t="inlineStr">
        <is>
          <t>AI research</t>
        </is>
      </c>
      <c r="E18" t="inlineStr">
        <is>
          <t>B-B-007</t>
        </is>
      </c>
      <c r="F18" t="inlineStr">
        <is>
          <t>79 Fifth Avenue</t>
        </is>
      </c>
      <c r="G18" t="inlineStr">
        <is>
          <t>4</t>
        </is>
      </c>
      <c r="H18" t="inlineStr">
        <is>
          <t>10003</t>
        </is>
      </c>
      <c r="I18" t="n">
        <v>40.737054</v>
      </c>
      <c r="J18" t="n">
        <v>-73.99263500000001</v>
      </c>
      <c r="K18" t="inlineStr">
        <is>
          <t>Y</t>
        </is>
      </c>
      <c r="L18" t="inlineStr">
        <is>
          <t>unknown</t>
        </is>
      </c>
      <c r="M18" t="inlineStr">
        <is>
          <t>unknown</t>
        </is>
      </c>
      <c r="N18" s="2" t="inlineStr">
        <is>
          <t>https://www.builtinnyc.com/company/thinking-machines-lab</t>
        </is>
      </c>
      <c r="O18" s="2" t="inlineStr">
        <is>
          <t>https://commercialobserver.com/2026/08/thinking-machines-lab-79-fifth-avenue-lease/</t>
        </is>
      </c>
      <c r="P18" t="inlineStr">
        <is>
          <t>2026-08-26</t>
        </is>
      </c>
      <c r="Q18" t="inlineStr"/>
      <c r="R18" t="inlineStr">
        <is>
          <t>medium</t>
        </is>
      </c>
      <c r="S18" t="inlineStr">
        <is>
          <t>N</t>
        </is>
      </c>
      <c r="T18" t="inlineStr"/>
      <c r="U18" t="inlineStr"/>
      <c r="V18" s="3" t="inlineStr">
        <is>
          <t>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is>
      </c>
      <c r="W18" t="inlineStr">
        <is>
          <t>2026-10-23</t>
        </is>
      </c>
      <c r="X18" t="inlineStr">
        <is>
          <t>San Francisco</t>
        </is>
      </c>
      <c r="Y18" t="inlineStr">
        <is>
          <t>N</t>
        </is>
      </c>
      <c r="Z18" t="inlineStr">
        <is>
          <t>https://www.reveliolabs.com/companies/thinking-machines-lab/employees</t>
        </is>
      </c>
      <c r="AA18" t="inlineStr">
        <is>
          <t>91</t>
        </is>
      </c>
      <c r="AB18" t="inlineStr">
        <is>
          <t>disagree</t>
        </is>
      </c>
      <c r="AC18" t="inlineStr">
        <is>
          <t>153</t>
        </is>
      </c>
      <c r="AD18" t="inlineStr">
        <is>
          <t>https://www.reveliolabs.com/companies/thinking-machines-lab/employees</t>
        </is>
      </c>
      <c r="AE18" t="inlineStr">
        <is>
          <t>2026-08-31</t>
        </is>
      </c>
      <c r="AF18" t="inlineStr">
        <is>
          <t>unknown</t>
        </is>
      </c>
      <c r="AG18" t="inlineStr"/>
      <c r="AH18" t="inlineStr">
        <is>
          <t>unknown</t>
        </is>
      </c>
      <c r="AI18" t="inlineStr">
        <is>
          <t>candidate</t>
        </is>
      </c>
      <c r="AJ18" t="inlineStr">
        <is>
          <t>signed-not-occupied</t>
        </is>
      </c>
      <c r="AK18" t="inlineStr">
        <is>
          <t>unknown</t>
        </is>
      </c>
      <c r="AL18" t="inlineStr">
        <is>
          <t>2026-10-23</t>
        </is>
      </c>
      <c r="AM18" s="3" t="inlineStr">
        <is>
          <t>Sources disagree: Built In shows 91 (76-150) and Revelio Labs (Thinking Machines Lab, Inc., HQ San Francisco): about 153 employees worldwide as of March 2026 (151-250). Band left unknown; founder to confirm at intake.</t>
        </is>
      </c>
      <c r="AN18" t="inlineStr">
        <is>
          <t>leasing-press</t>
        </is>
      </c>
      <c r="AO18" t="inlineStr"/>
      <c r="AP18" t="inlineStr">
        <is>
          <t>no-coworking-in-building</t>
        </is>
      </c>
      <c r="AQ18" t="inlineStr">
        <is>
          <t>1008430045</t>
        </is>
      </c>
      <c r="AR18" t="n">
        <v>0</v>
      </c>
      <c r="AS18" t="inlineStr">
        <is>
          <t>21,500 sf</t>
        </is>
      </c>
      <c r="AT18" t="inlineStr">
        <is>
          <t>S1</t>
        </is>
      </c>
    </row>
    <row r="19">
      <c r="A19" t="inlineStr">
        <is>
          <t>B-C-021</t>
        </is>
      </c>
      <c r="B19" t="inlineStr">
        <is>
          <t>Scale Microgrids</t>
        </is>
      </c>
      <c r="C19" s="2" t="inlineStr">
        <is>
          <t>https://www.scalemicrogrids.com</t>
        </is>
      </c>
      <c r="D19" t="inlineStr">
        <is>
          <t>energy infrastructure finance</t>
        </is>
      </c>
      <c r="E19" t="inlineStr">
        <is>
          <t>B-B-008</t>
        </is>
      </c>
      <c r="F19" t="inlineStr">
        <is>
          <t>26 West 17th Street</t>
        </is>
      </c>
      <c r="G19" t="inlineStr">
        <is>
          <t>11</t>
        </is>
      </c>
      <c r="H19" t="inlineStr">
        <is>
          <t>10011</t>
        </is>
      </c>
      <c r="I19" t="n">
        <v>40.738405</v>
      </c>
      <c r="J19" t="n">
        <v>-73.99393999999999</v>
      </c>
      <c r="K19" t="inlineStr">
        <is>
          <t>Y</t>
        </is>
      </c>
      <c r="L19" t="inlineStr">
        <is>
          <t>76-150</t>
        </is>
      </c>
      <c r="M19" t="inlineStr">
        <is>
          <t>whole-company</t>
        </is>
      </c>
      <c r="N19" s="2" t="inlineStr">
        <is>
          <t>https://www.builtinnyc.com/company/scale-microgrids</t>
        </is>
      </c>
      <c r="O19" s="2" t="inlineStr">
        <is>
          <t>https://commercialobserver.com/2025/03/faire-lease-26-west-17th-street/</t>
        </is>
      </c>
      <c r="P19" t="inlineStr">
        <is>
          <t>2025-03-27</t>
        </is>
      </c>
      <c r="Q19" s="2" t="inlineStr">
        <is>
          <t>https://www.scalemicrogrids.com/contact</t>
        </is>
      </c>
      <c r="R19" t="inlineStr">
        <is>
          <t>medium</t>
        </is>
      </c>
      <c r="S19" t="inlineStr">
        <is>
          <t>N</t>
        </is>
      </c>
      <c r="T19" t="inlineStr"/>
      <c r="U19" t="inlineStr"/>
      <c r="V19" s="3" t="inlineStr">
        <is>
          <t>CO 2025-03-27: 10,000 sf on the 11th floor. Built In NYC: 95 total employees, HQ Ridgewood NJ. Company contact page lists a New York regional office (city only, no street), so second source confirms NYC presence, not the street address.</t>
        </is>
      </c>
      <c r="W19" t="inlineStr">
        <is>
          <t>2026-10-23</t>
        </is>
      </c>
      <c r="X19" t="inlineStr">
        <is>
          <t>Ridgewood</t>
        </is>
      </c>
      <c r="Y19" t="inlineStr">
        <is>
          <t>N</t>
        </is>
      </c>
      <c r="Z19" t="inlineStr">
        <is>
          <t>https://www.builtinnyc.com/company/scale-microgrids/offices</t>
        </is>
      </c>
      <c r="AA19" t="inlineStr">
        <is>
          <t>95</t>
        </is>
      </c>
      <c r="AB19" t="inlineStr">
        <is>
          <t>single-source</t>
        </is>
      </c>
      <c r="AC19" t="inlineStr"/>
      <c r="AD19" t="inlineStr"/>
      <c r="AE19" t="inlineStr"/>
      <c r="AF19" t="inlineStr">
        <is>
          <t>unknown</t>
        </is>
      </c>
      <c r="AG19" t="inlineStr"/>
      <c r="AH19" t="inlineStr">
        <is>
          <t>unknown</t>
        </is>
      </c>
      <c r="AI19" t="inlineStr">
        <is>
          <t>candidate</t>
        </is>
      </c>
      <c r="AJ19" t="inlineStr">
        <is>
          <t>occupancy-unconfirmed</t>
        </is>
      </c>
      <c r="AK19" t="inlineStr"/>
      <c r="AL19" t="inlineStr">
        <is>
          <t>2026-10-23</t>
        </is>
      </c>
      <c r="AM19" s="3" t="inlineStr"/>
      <c r="AN19" t="inlineStr">
        <is>
          <t>leasing-press</t>
        </is>
      </c>
      <c r="AO19" t="inlineStr">
        <is>
          <t>2026-10-23</t>
        </is>
      </c>
      <c r="AP19" t="inlineStr">
        <is>
          <t>no-coworking-in-building</t>
        </is>
      </c>
      <c r="AQ19" t="inlineStr">
        <is>
          <t>1008180066</t>
        </is>
      </c>
      <c r="AR19" t="n">
        <v>0</v>
      </c>
      <c r="AS19" t="inlineStr">
        <is>
          <t>10,000 sf</t>
        </is>
      </c>
      <c r="AT19" t="inlineStr">
        <is>
          <t>S1</t>
        </is>
      </c>
    </row>
    <row r="20">
      <c r="A20" t="inlineStr">
        <is>
          <t>B-C-022</t>
        </is>
      </c>
      <c r="B20" t="inlineStr">
        <is>
          <t>Delos Capital</t>
        </is>
      </c>
      <c r="C20" t="inlineStr">
        <is>
          <t>unknown</t>
        </is>
      </c>
      <c r="D20" t="inlineStr">
        <is>
          <t>private investment</t>
        </is>
      </c>
      <c r="E20" t="inlineStr">
        <is>
          <t>B-B-010</t>
        </is>
      </c>
      <c r="F20" t="inlineStr">
        <is>
          <t>120 Fifth Avenue</t>
        </is>
      </c>
      <c r="G20" t="inlineStr">
        <is>
          <t>unknown</t>
        </is>
      </c>
      <c r="H20" t="inlineStr">
        <is>
          <t>10011</t>
        </is>
      </c>
      <c r="I20" t="n">
        <v>40.738186</v>
      </c>
      <c r="J20" t="n">
        <v>-73.992429</v>
      </c>
      <c r="K20" t="inlineStr">
        <is>
          <t>Y</t>
        </is>
      </c>
      <c r="L20" t="inlineStr">
        <is>
          <t>unknown</t>
        </is>
      </c>
      <c r="M20" t="inlineStr">
        <is>
          <t>unknown</t>
        </is>
      </c>
      <c r="N20" t="inlineStr"/>
      <c r="O20" s="2" t="inlineStr">
        <is>
          <t>https://commercialobserver.com/2026/10/eagle-ai-lease-office-120-fifth-avenue/</t>
        </is>
      </c>
      <c r="P20" t="inlineStr">
        <is>
          <t>2026-10-19</t>
        </is>
      </c>
      <c r="Q20" t="inlineStr"/>
      <c r="R20" t="inlineStr">
        <is>
          <t>medium</t>
        </is>
      </c>
      <c r="S20" t="inlineStr">
        <is>
          <t>N</t>
        </is>
      </c>
      <c r="T20" t="inlineStr"/>
      <c r="U20" t="inlineStr"/>
      <c r="V20" s="3" t="inlineStr">
        <is>
          <t>CO 2026-10-19 lists Delos Capital as an existing tenant. Headcount not sourced; founder to confirm at intake.</t>
        </is>
      </c>
      <c r="W20" t="inlineStr">
        <is>
          <t>2026-10-23</t>
        </is>
      </c>
      <c r="X20" t="inlineStr">
        <is>
          <t>unknown</t>
        </is>
      </c>
      <c r="Y20" t="inlineStr">
        <is>
          <t>unknown</t>
        </is>
      </c>
      <c r="Z20" t="inlineStr"/>
      <c r="AA20" t="inlineStr"/>
      <c r="AB20" t="inlineStr">
        <is>
          <t>no-count</t>
        </is>
      </c>
      <c r="AC20" t="inlineStr"/>
      <c r="AD20" t="inlineStr"/>
      <c r="AE20" t="inlineStr"/>
      <c r="AF20" t="inlineStr">
        <is>
          <t>unknown</t>
        </is>
      </c>
      <c r="AG20" t="inlineStr"/>
      <c r="AH20" t="inlineStr">
        <is>
          <t>unknown</t>
        </is>
      </c>
      <c r="AI20" t="inlineStr">
        <is>
          <t>candidate</t>
        </is>
      </c>
      <c r="AJ20" t="inlineStr">
        <is>
          <t>occupied</t>
        </is>
      </c>
      <c r="AK20" t="inlineStr"/>
      <c r="AL20" t="inlineStr"/>
      <c r="AM20" s="3" t="inlineStr">
        <is>
          <t>No opened source gives a count: no Built In profile with a total, the company site publishes none, and LinkedIn was off-limits. Founder to confirm at intake.</t>
        </is>
      </c>
      <c r="AN20" t="inlineStr">
        <is>
          <t>leasing-press</t>
        </is>
      </c>
      <c r="AO20" t="inlineStr"/>
      <c r="AP20" t="inlineStr">
        <is>
          <t>no-coworking-in-building</t>
        </is>
      </c>
      <c r="AQ20" t="inlineStr">
        <is>
          <t>1008190037</t>
        </is>
      </c>
      <c r="AR20" t="n">
        <v>0</v>
      </c>
      <c r="AS20" t="inlineStr"/>
      <c r="AT20" t="inlineStr">
        <is>
          <t>S1</t>
        </is>
      </c>
    </row>
    <row r="21">
      <c r="A21" t="inlineStr">
        <is>
          <t>B-C-023</t>
        </is>
      </c>
      <c r="B21" t="inlineStr">
        <is>
          <t>Eagle AI</t>
        </is>
      </c>
      <c r="C21" t="inlineStr">
        <is>
          <t>unknown</t>
        </is>
      </c>
      <c r="D21" t="inlineStr">
        <is>
          <t>AI solutions</t>
        </is>
      </c>
      <c r="E21" t="inlineStr">
        <is>
          <t>B-B-010</t>
        </is>
      </c>
      <c r="F21" t="inlineStr">
        <is>
          <t>120 Fifth Avenue</t>
        </is>
      </c>
      <c r="G21" t="inlineStr">
        <is>
          <t>one full floor (not named)</t>
        </is>
      </c>
      <c r="H21" t="inlineStr">
        <is>
          <t>10011</t>
        </is>
      </c>
      <c r="I21" t="n">
        <v>40.738186</v>
      </c>
      <c r="J21" t="n">
        <v>-73.992429</v>
      </c>
      <c r="K21" t="inlineStr">
        <is>
          <t>Y</t>
        </is>
      </c>
      <c r="L21" t="inlineStr">
        <is>
          <t>unknown</t>
        </is>
      </c>
      <c r="M21" t="inlineStr">
        <is>
          <t>unknown</t>
        </is>
      </c>
      <c r="N21" t="inlineStr"/>
      <c r="O21" s="2" t="inlineStr">
        <is>
          <t>https://commercialobserver.com/2026/10/eagle-ai-lease-office-120-fifth-avenue/</t>
        </is>
      </c>
      <c r="P21" t="inlineStr">
        <is>
          <t>2026-10-19</t>
        </is>
      </c>
      <c r="Q21" t="inlineStr"/>
      <c r="R21" t="inlineStr">
        <is>
          <t>medium</t>
        </is>
      </c>
      <c r="S21" t="inlineStr">
        <is>
          <t>N</t>
        </is>
      </c>
      <c r="T21" t="inlineStr"/>
      <c r="U21" t="inlineStr"/>
      <c r="V21" s="3" t="inlineStr">
        <is>
          <t>CO 2026-10-19: 6,500 sf full floor signed September 2026; CO says its website lists 5 Penn Plaza, so this is a relocation that may not have happened yet. Confirm move-in date before outreach.</t>
        </is>
      </c>
      <c r="W21" t="inlineStr">
        <is>
          <t>2026-10-23</t>
        </is>
      </c>
      <c r="X21" t="inlineStr">
        <is>
          <t>unknown</t>
        </is>
      </c>
      <c r="Y21" t="inlineStr">
        <is>
          <t>unknown</t>
        </is>
      </c>
      <c r="Z21" t="inlineStr"/>
      <c r="AA21" t="inlineStr"/>
      <c r="AB21" t="inlineStr">
        <is>
          <t>no-count</t>
        </is>
      </c>
      <c r="AC21" t="inlineStr"/>
      <c r="AD21" t="inlineStr"/>
      <c r="AE21" t="inlineStr"/>
      <c r="AF21" t="inlineStr">
        <is>
          <t>unknown</t>
        </is>
      </c>
      <c r="AG21" t="inlineStr"/>
      <c r="AH21" t="inlineStr">
        <is>
          <t>unknown</t>
        </is>
      </c>
      <c r="AI21" t="inlineStr">
        <is>
          <t>candidate</t>
        </is>
      </c>
      <c r="AJ21" t="inlineStr">
        <is>
          <t>signed-not-occupied</t>
        </is>
      </c>
      <c r="AK21" t="inlineStr">
        <is>
          <t>unknown</t>
        </is>
      </c>
      <c r="AL21" t="inlineStr"/>
      <c r="AM21" s="3" t="inlineStr">
        <is>
          <t>No opened source gives a count: no Built In profile with a total, the company site publishes none, and LinkedIn was off-limits. Founder to confirm at intake.</t>
        </is>
      </c>
      <c r="AN21" t="inlineStr">
        <is>
          <t>leasing-press</t>
        </is>
      </c>
      <c r="AO21" t="inlineStr"/>
      <c r="AP21" t="inlineStr">
        <is>
          <t>no-coworking-in-building</t>
        </is>
      </c>
      <c r="AQ21" t="inlineStr">
        <is>
          <t>1008190037</t>
        </is>
      </c>
      <c r="AR21" t="n">
        <v>0</v>
      </c>
      <c r="AS21" t="inlineStr">
        <is>
          <t>6,500 sf</t>
        </is>
      </c>
      <c r="AT21" t="inlineStr">
        <is>
          <t>S1</t>
        </is>
      </c>
    </row>
    <row r="22">
      <c r="A22" t="inlineStr">
        <is>
          <t>B-C-024</t>
        </is>
      </c>
      <c r="B22" t="inlineStr">
        <is>
          <t>Iterative Scopes</t>
        </is>
      </c>
      <c r="C22" t="inlineStr">
        <is>
          <t>unknown</t>
        </is>
      </c>
      <c r="D22" t="inlineStr">
        <is>
          <t>AI health care (gastroenterology software)</t>
        </is>
      </c>
      <c r="E22" t="inlineStr">
        <is>
          <t>B-B-010</t>
        </is>
      </c>
      <c r="F22" t="inlineStr">
        <is>
          <t>120 Fifth Avenue</t>
        </is>
      </c>
      <c r="G22" t="inlineStr">
        <is>
          <t>unknown</t>
        </is>
      </c>
      <c r="H22" t="inlineStr">
        <is>
          <t>10011</t>
        </is>
      </c>
      <c r="I22" t="n">
        <v>40.738186</v>
      </c>
      <c r="J22" t="n">
        <v>-73.992429</v>
      </c>
      <c r="K22" t="inlineStr">
        <is>
          <t>Y</t>
        </is>
      </c>
      <c r="L22" t="inlineStr">
        <is>
          <t>unknown</t>
        </is>
      </c>
      <c r="M22" t="inlineStr">
        <is>
          <t>unknown</t>
        </is>
      </c>
      <c r="N22" t="inlineStr"/>
      <c r="O22" s="2" t="inlineStr">
        <is>
          <t>https://commercialobserver.com/2026/10/eagle-ai-lease-office-120-fifth-avenue/</t>
        </is>
      </c>
      <c r="P22" t="inlineStr">
        <is>
          <t>2026-10-19</t>
        </is>
      </c>
      <c r="Q22" t="inlineStr"/>
      <c r="R22" t="inlineStr">
        <is>
          <t>medium</t>
        </is>
      </c>
      <c r="S22" t="inlineStr">
        <is>
          <t>N</t>
        </is>
      </c>
      <c r="T22" t="inlineStr"/>
      <c r="U22" t="inlineStr"/>
      <c r="V22" s="3" t="inlineStr">
        <is>
          <t>CO 2026-10-19: took 6,500 sf at 120 Fifth Ave in April 2026. Website and headcount not confirmed.</t>
        </is>
      </c>
      <c r="W22" t="inlineStr">
        <is>
          <t>2026-10-23</t>
        </is>
      </c>
      <c r="X22" t="inlineStr">
        <is>
          <t>unknown</t>
        </is>
      </c>
      <c r="Y22" t="inlineStr">
        <is>
          <t>unknown</t>
        </is>
      </c>
      <c r="Z22" t="inlineStr"/>
      <c r="AA22" t="inlineStr"/>
      <c r="AB22" t="inlineStr">
        <is>
          <t>no-count</t>
        </is>
      </c>
      <c r="AC22" t="inlineStr"/>
      <c r="AD22" t="inlineStr"/>
      <c r="AE22" t="inlineStr"/>
      <c r="AF22" t="inlineStr">
        <is>
          <t>unknown</t>
        </is>
      </c>
      <c r="AG22" t="inlineStr"/>
      <c r="AH22" t="inlineStr">
        <is>
          <t>unknown</t>
        </is>
      </c>
      <c r="AI22" t="inlineStr">
        <is>
          <t>candidate</t>
        </is>
      </c>
      <c r="AJ22" t="inlineStr">
        <is>
          <t>occupancy-unconfirmed</t>
        </is>
      </c>
      <c r="AK22" t="inlineStr"/>
      <c r="AL22" t="inlineStr"/>
      <c r="AM22" s="3" t="inlineStr">
        <is>
          <t>No opened source gives a count: no Built In profile with a total, the company site publishes none, and LinkedIn was off-limits. Founder to confirm at intake.</t>
        </is>
      </c>
      <c r="AN22" t="inlineStr">
        <is>
          <t>leasing-press</t>
        </is>
      </c>
      <c r="AO22" t="inlineStr"/>
      <c r="AP22" t="inlineStr">
        <is>
          <t>no-coworking-in-building</t>
        </is>
      </c>
      <c r="AQ22" t="inlineStr">
        <is>
          <t>1008190037</t>
        </is>
      </c>
      <c r="AR22" t="n">
        <v>0</v>
      </c>
      <c r="AS22" t="inlineStr">
        <is>
          <t>6,500 sf</t>
        </is>
      </c>
      <c r="AT22" t="inlineStr">
        <is>
          <t>S1</t>
        </is>
      </c>
    </row>
    <row r="23">
      <c r="A23" t="inlineStr">
        <is>
          <t>B-C-025</t>
        </is>
      </c>
      <c r="B23" t="inlineStr">
        <is>
          <t>Kharon</t>
        </is>
      </c>
      <c r="C23" s="2" t="inlineStr">
        <is>
          <t>https://www.kharon.com</t>
        </is>
      </c>
      <c r="D23" t="inlineStr">
        <is>
          <t>risk intelligence software (sanctions and financial crime)</t>
        </is>
      </c>
      <c r="E23" t="inlineStr">
        <is>
          <t>B-B-010</t>
        </is>
      </c>
      <c r="F23" t="inlineStr">
        <is>
          <t>120 Fifth Avenue</t>
        </is>
      </c>
      <c r="G23" t="inlineStr">
        <is>
          <t>unknown</t>
        </is>
      </c>
      <c r="H23" t="inlineStr">
        <is>
          <t>10011</t>
        </is>
      </c>
      <c r="I23" t="n">
        <v>40.738186</v>
      </c>
      <c r="J23" t="n">
        <v>-73.992429</v>
      </c>
      <c r="K23" t="inlineStr">
        <is>
          <t>Y</t>
        </is>
      </c>
      <c r="L23" t="inlineStr">
        <is>
          <t>40-75</t>
        </is>
      </c>
      <c r="M23" t="inlineStr">
        <is>
          <t>whole-company</t>
        </is>
      </c>
      <c r="N23" s="2" t="inlineStr">
        <is>
          <t>https://www.builtinnyc.com/company/kharon</t>
        </is>
      </c>
      <c r="O23" s="2" t="inlineStr">
        <is>
          <t>https://commercialobserver.com/2026/10/eagle-ai-lease-office-120-fifth-avenue/</t>
        </is>
      </c>
      <c r="P23" t="inlineStr">
        <is>
          <t>2026-10-19</t>
        </is>
      </c>
      <c r="Q23" t="inlineStr"/>
      <c r="R23" t="inlineStr">
        <is>
          <t>medium</t>
        </is>
      </c>
      <c r="S23" t="inlineStr">
        <is>
          <t>N</t>
        </is>
      </c>
      <c r="T23" t="inlineStr"/>
      <c r="U23" t="inlineStr"/>
      <c r="V23" s="3" t="inlineStr">
        <is>
          <t>CO 2026-10-19: Kharon took 6,500 sf at 120 Fifth Ave in August 2026 (Bromley prebuilt full floors). Built In NYC: 65 total employees, HQ Los Angeles, so the band describes the whole company; NYC headcount not sourced.</t>
        </is>
      </c>
      <c r="W23" t="inlineStr">
        <is>
          <t>2026-10-23</t>
        </is>
      </c>
      <c r="X23" t="inlineStr">
        <is>
          <t>Los Angeles</t>
        </is>
      </c>
      <c r="Y23" t="inlineStr">
        <is>
          <t>N</t>
        </is>
      </c>
      <c r="Z23" t="inlineStr">
        <is>
          <t>https://www.builtinnyc.com/company/kharon/offices</t>
        </is>
      </c>
      <c r="AA23" t="inlineStr">
        <is>
          <t>65</t>
        </is>
      </c>
      <c r="AB23" t="inlineStr">
        <is>
          <t>single-source</t>
        </is>
      </c>
      <c r="AC23" t="inlineStr"/>
      <c r="AD23" t="inlineStr"/>
      <c r="AE23" t="inlineStr"/>
      <c r="AF23" t="inlineStr">
        <is>
          <t>unknown</t>
        </is>
      </c>
      <c r="AG23" t="inlineStr"/>
      <c r="AH23" t="inlineStr">
        <is>
          <t>unknown</t>
        </is>
      </c>
      <c r="AI23" t="inlineStr">
        <is>
          <t>candidate</t>
        </is>
      </c>
      <c r="AJ23" t="inlineStr">
        <is>
          <t>occupancy-unconfirmed</t>
        </is>
      </c>
      <c r="AK23" t="inlineStr"/>
      <c r="AL23" t="inlineStr">
        <is>
          <t>2026-10-23</t>
        </is>
      </c>
      <c r="AM23" s="3" t="inlineStr"/>
      <c r="AN23" t="inlineStr">
        <is>
          <t>leasing-press</t>
        </is>
      </c>
      <c r="AO23" t="inlineStr"/>
      <c r="AP23" t="inlineStr">
        <is>
          <t>no-coworking-in-building</t>
        </is>
      </c>
      <c r="AQ23" t="inlineStr">
        <is>
          <t>1008190037</t>
        </is>
      </c>
      <c r="AR23" t="n">
        <v>0</v>
      </c>
      <c r="AS23" t="inlineStr">
        <is>
          <t>6,500 sf</t>
        </is>
      </c>
      <c r="AT23" t="inlineStr">
        <is>
          <t>S1</t>
        </is>
      </c>
    </row>
    <row r="24">
      <c r="A24" t="inlineStr">
        <is>
          <t>B-C-026</t>
        </is>
      </c>
      <c r="B24" t="inlineStr">
        <is>
          <t>Walleye Financial</t>
        </is>
      </c>
      <c r="C24" t="inlineStr">
        <is>
          <t>unknown</t>
        </is>
      </c>
      <c r="D24" t="inlineStr">
        <is>
          <t>investment firm</t>
        </is>
      </c>
      <c r="E24" t="inlineStr">
        <is>
          <t>B-B-010</t>
        </is>
      </c>
      <c r="F24" t="inlineStr">
        <is>
          <t>120 Fifth Avenue</t>
        </is>
      </c>
      <c r="G24" t="inlineStr">
        <is>
          <t>unknown</t>
        </is>
      </c>
      <c r="H24" t="inlineStr">
        <is>
          <t>10011</t>
        </is>
      </c>
      <c r="I24" t="n">
        <v>40.738186</v>
      </c>
      <c r="J24" t="n">
        <v>-73.992429</v>
      </c>
      <c r="K24" t="inlineStr">
        <is>
          <t>Y</t>
        </is>
      </c>
      <c r="L24" t="inlineStr">
        <is>
          <t>unknown</t>
        </is>
      </c>
      <c r="M24" t="inlineStr">
        <is>
          <t>unknown</t>
        </is>
      </c>
      <c r="N24" t="inlineStr"/>
      <c r="O24" s="2" t="inlineStr">
        <is>
          <t>https://commercialobserver.com/2026/10/eagle-ai-lease-office-120-fifth-avenue/</t>
        </is>
      </c>
      <c r="P24" t="inlineStr">
        <is>
          <t>2026-10-19</t>
        </is>
      </c>
      <c r="Q24" t="inlineStr"/>
      <c r="R24" t="inlineStr">
        <is>
          <t>medium</t>
        </is>
      </c>
      <c r="S24" t="inlineStr">
        <is>
          <t>N</t>
        </is>
      </c>
      <c r="T24" t="inlineStr"/>
      <c r="U24" t="inlineStr"/>
      <c r="V24" s="3" t="inlineStr">
        <is>
          <t>Named 'investment firm Walleye Financial' in CO 2026-10-19. Not confirmed whether this is the same firm as Walleye Capital (Built In: 181 employees, HQ Plymouth MN); headcount left unknown.</t>
        </is>
      </c>
      <c r="W24" t="inlineStr">
        <is>
          <t>2026-10-23</t>
        </is>
      </c>
      <c r="X24" t="inlineStr">
        <is>
          <t>unknown</t>
        </is>
      </c>
      <c r="Y24" t="inlineStr">
        <is>
          <t>unknown</t>
        </is>
      </c>
      <c r="Z24" t="inlineStr"/>
      <c r="AA24" t="inlineStr"/>
      <c r="AB24" t="inlineStr">
        <is>
          <t>no-count</t>
        </is>
      </c>
      <c r="AC24" t="inlineStr"/>
      <c r="AD24" t="inlineStr"/>
      <c r="AE24" t="inlineStr"/>
      <c r="AF24" t="inlineStr">
        <is>
          <t>unknown</t>
        </is>
      </c>
      <c r="AG24" t="inlineStr"/>
      <c r="AH24" t="inlineStr">
        <is>
          <t>unknown</t>
        </is>
      </c>
      <c r="AI24" t="inlineStr">
        <is>
          <t>candidate</t>
        </is>
      </c>
      <c r="AJ24" t="inlineStr">
        <is>
          <t>occupied</t>
        </is>
      </c>
      <c r="AK24" t="inlineStr"/>
      <c r="AL24" t="inlineStr"/>
      <c r="AM24" s="3" t="inlineStr">
        <is>
          <t>May or may not be Walleye Capital (Built In 181); not confirmed, so no count used.</t>
        </is>
      </c>
      <c r="AN24" t="inlineStr">
        <is>
          <t>leasing-press</t>
        </is>
      </c>
      <c r="AO24" t="inlineStr"/>
      <c r="AP24" t="inlineStr">
        <is>
          <t>no-coworking-in-building</t>
        </is>
      </c>
      <c r="AQ24" t="inlineStr">
        <is>
          <t>1008190037</t>
        </is>
      </c>
      <c r="AR24" t="n">
        <v>0</v>
      </c>
      <c r="AS24" t="inlineStr"/>
      <c r="AT24" t="inlineStr">
        <is>
          <t>S1</t>
        </is>
      </c>
    </row>
    <row r="25">
      <c r="A25" t="inlineStr">
        <is>
          <t>B-C-029</t>
        </is>
      </c>
      <c r="B25" t="inlineStr">
        <is>
          <t>LUMA Partners</t>
        </is>
      </c>
      <c r="C25" s="2" t="inlineStr">
        <is>
          <t>https://www.lumapartners.com</t>
        </is>
      </c>
      <c r="D25" t="inlineStr">
        <is>
          <t>investment banking (digital media and marketing tech)</t>
        </is>
      </c>
      <c r="E25" t="inlineStr">
        <is>
          <t>B-B-012</t>
        </is>
      </c>
      <c r="F25" t="inlineStr">
        <is>
          <t>101 Fifth Avenue</t>
        </is>
      </c>
      <c r="G25" t="inlineStr">
        <is>
          <t>9</t>
        </is>
      </c>
      <c r="H25" t="inlineStr">
        <is>
          <t>10003</t>
        </is>
      </c>
      <c r="I25" t="n">
        <v>40.738063</v>
      </c>
      <c r="J25" t="n">
        <v>-73.99189800000001</v>
      </c>
      <c r="K25" t="inlineStr">
        <is>
          <t>Y</t>
        </is>
      </c>
      <c r="L25" t="inlineStr">
        <is>
          <t>unknown</t>
        </is>
      </c>
      <c r="M25" t="inlineStr">
        <is>
          <t>unknown</t>
        </is>
      </c>
      <c r="N25" t="inlineStr"/>
      <c r="O25" s="2" t="inlineStr">
        <is>
          <t>https://www.lumapartners.com/contact</t>
        </is>
      </c>
      <c r="P25" t="inlineStr">
        <is>
          <t>2026-10-23</t>
        </is>
      </c>
      <c r="Q25" s="2" t="inlineStr">
        <is>
          <t>https://commercialobserver.com/2025/08/prepared-911-101-fifth-avenue/</t>
        </is>
      </c>
      <c r="R25" t="inlineStr">
        <is>
          <t>high</t>
        </is>
      </c>
      <c r="S25" t="inlineStr">
        <is>
          <t>N</t>
        </is>
      </c>
      <c r="T25" t="inlineStr"/>
      <c r="U25" t="inlineStr"/>
      <c r="V25" s="3" t="inlineStr">
        <is>
          <t>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is>
      </c>
      <c r="W25" t="inlineStr">
        <is>
          <t>2026-10-23</t>
        </is>
      </c>
      <c r="X25" t="inlineStr">
        <is>
          <t>unknown</t>
        </is>
      </c>
      <c r="Y25" t="inlineStr">
        <is>
          <t>unknown</t>
        </is>
      </c>
      <c r="Z25" t="inlineStr"/>
      <c r="AA25" t="inlineStr"/>
      <c r="AB25" t="inlineStr">
        <is>
          <t>no-count</t>
        </is>
      </c>
      <c r="AC25" t="inlineStr"/>
      <c r="AD25" t="inlineStr"/>
      <c r="AE25" t="inlineStr"/>
      <c r="AF25" t="inlineStr">
        <is>
          <t>unknown</t>
        </is>
      </c>
      <c r="AG25" t="inlineStr"/>
      <c r="AH25" t="inlineStr">
        <is>
          <t>unknown</t>
        </is>
      </c>
      <c r="AI25" t="inlineStr">
        <is>
          <t>candidate</t>
        </is>
      </c>
      <c r="AJ25" t="inlineStr">
        <is>
          <t>occupied</t>
        </is>
      </c>
      <c r="AK25" t="inlineStr"/>
      <c r="AL25" t="inlineStr"/>
      <c r="AM25" s="3" t="inlineStr">
        <is>
          <t>No opened source gives a count: no Built In profile with a total, the company site publishes none, and LinkedIn was off-limits. Founder to confirm at intake.</t>
        </is>
      </c>
      <c r="AN25" t="inlineStr">
        <is>
          <t>company-site</t>
        </is>
      </c>
      <c r="AO25" t="inlineStr">
        <is>
          <t>2025-08-04</t>
        </is>
      </c>
      <c r="AP25" t="inlineStr">
        <is>
          <t>no-coworking-in-building</t>
        </is>
      </c>
      <c r="AQ25" t="inlineStr">
        <is>
          <t>1008460002</t>
        </is>
      </c>
      <c r="AR25" t="n">
        <v>0</v>
      </c>
      <c r="AS25" t="inlineStr"/>
      <c r="AT25" t="inlineStr">
        <is>
          <t>S1</t>
        </is>
      </c>
    </row>
    <row r="26">
      <c r="A26" t="inlineStr">
        <is>
          <t>B-C-030</t>
        </is>
      </c>
      <c r="B26" t="inlineStr">
        <is>
          <t>Prepared 911</t>
        </is>
      </c>
      <c r="C26" s="2" t="inlineStr">
        <is>
          <t>https://www.prepared911.com</t>
        </is>
      </c>
      <c r="D26" t="inlineStr">
        <is>
          <t>public safety software (AI for 911 centers)</t>
        </is>
      </c>
      <c r="E26" t="inlineStr">
        <is>
          <t>B-B-012</t>
        </is>
      </c>
      <c r="F26" t="inlineStr">
        <is>
          <t>101 Fifth Avenue</t>
        </is>
      </c>
      <c r="G26" t="inlineStr">
        <is>
          <t>one full floor (not named)</t>
        </is>
      </c>
      <c r="H26" t="inlineStr">
        <is>
          <t>10003</t>
        </is>
      </c>
      <c r="I26" t="n">
        <v>40.738063</v>
      </c>
      <c r="J26" t="n">
        <v>-73.99189800000001</v>
      </c>
      <c r="K26" t="inlineStr">
        <is>
          <t>Y</t>
        </is>
      </c>
      <c r="L26" t="inlineStr">
        <is>
          <t>76-150</t>
        </is>
      </c>
      <c r="M26" t="inlineStr">
        <is>
          <t>whole-company</t>
        </is>
      </c>
      <c r="N26" s="2" t="inlineStr">
        <is>
          <t>https://www.builtinnyc.com/company/prepared</t>
        </is>
      </c>
      <c r="O26" s="2" t="inlineStr">
        <is>
          <t>https://commercialobserver.com/2025/08/prepared-911-101-fifth-avenue/</t>
        </is>
      </c>
      <c r="P26" t="inlineStr">
        <is>
          <t>2025-08-04</t>
        </is>
      </c>
      <c r="Q26" t="inlineStr"/>
      <c r="R26" t="inlineStr">
        <is>
          <t>medium</t>
        </is>
      </c>
      <c r="S26" t="inlineStr">
        <is>
          <t>N</t>
        </is>
      </c>
      <c r="T26" t="inlineStr"/>
      <c r="U26" t="inlineStr"/>
      <c r="V26" s="3" t="inlineStr">
        <is>
          <t>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is>
      </c>
      <c r="W26" t="inlineStr">
        <is>
          <t>2026-10-23</t>
        </is>
      </c>
      <c r="X26" t="inlineStr">
        <is>
          <t>New York</t>
        </is>
      </c>
      <c r="Y26" t="inlineStr">
        <is>
          <t>Y</t>
        </is>
      </c>
      <c r="Z26" t="inlineStr">
        <is>
          <t>https://www.builtinnyc.com/company/prepared/offices</t>
        </is>
      </c>
      <c r="AA26" t="inlineStr">
        <is>
          <t>77</t>
        </is>
      </c>
      <c r="AB26" t="inlineStr">
        <is>
          <t>agree</t>
        </is>
      </c>
      <c r="AC26" t="inlineStr">
        <is>
          <t>135</t>
        </is>
      </c>
      <c r="AD26" t="inlineStr">
        <is>
          <t>https://www.reveliolabs.com/companies/prepared/employees</t>
        </is>
      </c>
      <c r="AE26" t="inlineStr">
        <is>
          <t>2026-08-31</t>
        </is>
      </c>
      <c r="AF26" t="inlineStr">
        <is>
          <t>unknown</t>
        </is>
      </c>
      <c r="AG26" t="inlineStr"/>
      <c r="AH26" t="inlineStr">
        <is>
          <t>unknown</t>
        </is>
      </c>
      <c r="AI26" t="inlineStr">
        <is>
          <t>candidate</t>
        </is>
      </c>
      <c r="AJ26" t="inlineStr">
        <is>
          <t>occupancy-unconfirmed</t>
        </is>
      </c>
      <c r="AK26" t="inlineStr"/>
      <c r="AL26" t="inlineStr">
        <is>
          <t>2026-10-23</t>
        </is>
      </c>
      <c r="AM26" s="3" t="inlineStr"/>
      <c r="AN26" t="inlineStr">
        <is>
          <t>leasing-press</t>
        </is>
      </c>
      <c r="AO26" t="inlineStr"/>
      <c r="AP26" t="inlineStr">
        <is>
          <t>no-coworking-in-building</t>
        </is>
      </c>
      <c r="AQ26" t="inlineStr">
        <is>
          <t>1008460002</t>
        </is>
      </c>
      <c r="AR26" t="n">
        <v>0</v>
      </c>
      <c r="AS26" t="inlineStr">
        <is>
          <t>7,080 sf</t>
        </is>
      </c>
      <c r="AT26" t="inlineStr">
        <is>
          <t>S1</t>
        </is>
      </c>
    </row>
    <row r="27">
      <c r="A27" t="inlineStr">
        <is>
          <t>B-C-027</t>
        </is>
      </c>
      <c r="B27" t="inlineStr">
        <is>
          <t>Selldorf Architects</t>
        </is>
      </c>
      <c r="C27" s="2" t="inlineStr">
        <is>
          <t>https://www.selldorf.com</t>
        </is>
      </c>
      <c r="D27" t="inlineStr">
        <is>
          <t>architecture</t>
        </is>
      </c>
      <c r="E27" t="inlineStr">
        <is>
          <t>B-B-011</t>
        </is>
      </c>
      <c r="F27" t="inlineStr">
        <is>
          <t>860 Broadway</t>
        </is>
      </c>
      <c r="G27" t="inlineStr">
        <is>
          <t>unknown</t>
        </is>
      </c>
      <c r="H27" t="inlineStr">
        <is>
          <t>10003</t>
        </is>
      </c>
      <c r="I27" t="n">
        <v>40.737311</v>
      </c>
      <c r="J27" t="n">
        <v>-73.990092</v>
      </c>
      <c r="K27" t="inlineStr">
        <is>
          <t>Y</t>
        </is>
      </c>
      <c r="L27" t="inlineStr">
        <is>
          <t>40-75</t>
        </is>
      </c>
      <c r="M27" t="inlineStr">
        <is>
          <t>whole-company</t>
        </is>
      </c>
      <c r="N27" s="2" t="inlineStr">
        <is>
          <t>https://en.wikipedia.org/wiki/Selldorf_Architects</t>
        </is>
      </c>
      <c r="O27" s="2" t="inlineStr">
        <is>
          <t>https://commercialobserver.com/2026/08/selldorf-architects-renews-14k-sf-860-broadway-lease-for-10-years/</t>
        </is>
      </c>
      <c r="P27" t="inlineStr">
        <is>
          <t>2026-08-07</t>
        </is>
      </c>
      <c r="Q27" s="2" t="inlineStr">
        <is>
          <t>https://www.connectcre.com/stories/selldorf-architects-signs-long-term-renewal-at-860-broadway/</t>
        </is>
      </c>
      <c r="R27" t="inlineStr">
        <is>
          <t>medium</t>
        </is>
      </c>
      <c r="S27" t="inlineStr">
        <is>
          <t>N</t>
        </is>
      </c>
      <c r="T27" t="inlineStr"/>
      <c r="U27" t="inlineStr"/>
      <c r="V27" s="3" t="inlineStr">
        <is>
          <t>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t>
        </is>
      </c>
      <c r="W27" t="inlineStr">
        <is>
          <t>2026-10-23</t>
        </is>
      </c>
      <c r="X27" t="inlineStr">
        <is>
          <t>New York</t>
        </is>
      </c>
      <c r="Y27" t="inlineStr">
        <is>
          <t>Y</t>
        </is>
      </c>
      <c r="Z27" t="inlineStr">
        <is>
          <t>https://en.wikipedia.org/wiki/Selldorf_Architects</t>
        </is>
      </c>
      <c r="AA27" t="inlineStr">
        <is>
          <t>65</t>
        </is>
      </c>
      <c r="AB27" t="inlineStr">
        <is>
          <t>single-source</t>
        </is>
      </c>
      <c r="AC27" t="inlineStr"/>
      <c r="AD27" t="inlineStr"/>
      <c r="AE27" t="inlineStr"/>
      <c r="AF27" t="inlineStr">
        <is>
          <t>unknown</t>
        </is>
      </c>
      <c r="AG27" t="inlineStr"/>
      <c r="AH27" t="inlineStr">
        <is>
          <t>unknown</t>
        </is>
      </c>
      <c r="AI27" t="inlineStr">
        <is>
          <t>candidate</t>
        </is>
      </c>
      <c r="AJ27" t="inlineStr">
        <is>
          <t>occupied</t>
        </is>
      </c>
      <c r="AK27" t="inlineStr"/>
      <c r="AL27" t="inlineStr">
        <is>
          <t>2026-10-23</t>
        </is>
      </c>
      <c r="AM27" s="3" t="inlineStr"/>
      <c r="AN27" t="inlineStr">
        <is>
          <t>leasing-press</t>
        </is>
      </c>
      <c r="AO27" t="inlineStr">
        <is>
          <t>2026-08-07</t>
        </is>
      </c>
      <c r="AP27" t="inlineStr">
        <is>
          <t>direct-lease-documented</t>
        </is>
      </c>
      <c r="AQ27" t="inlineStr">
        <is>
          <t>1008460026</t>
        </is>
      </c>
      <c r="AR27" t="n">
        <v>0</v>
      </c>
      <c r="AS27" t="inlineStr">
        <is>
          <t>13,815 sf</t>
        </is>
      </c>
      <c r="AT27" t="inlineStr">
        <is>
          <t>S1</t>
        </is>
      </c>
    </row>
    <row r="28">
      <c r="A28" t="inlineStr">
        <is>
          <t>B-C-033</t>
        </is>
      </c>
      <c r="B28" t="inlineStr">
        <is>
          <t>Baseten</t>
        </is>
      </c>
      <c r="C28" s="2" t="inlineStr">
        <is>
          <t>https://www.baseten.co</t>
        </is>
      </c>
      <c r="D28" t="inlineStr">
        <is>
          <t>AI infrastructure software</t>
        </is>
      </c>
      <c r="E28" t="inlineStr">
        <is>
          <t>B-B-016</t>
        </is>
      </c>
      <c r="F28" t="inlineStr">
        <is>
          <t>215 Park Avenue South</t>
        </is>
      </c>
      <c r="G28" t="inlineStr">
        <is>
          <t>18</t>
        </is>
      </c>
      <c r="H28" t="inlineStr">
        <is>
          <t>10003</t>
        </is>
      </c>
      <c r="I28" t="n">
        <v>40.73686</v>
      </c>
      <c r="J28" t="n">
        <v>-73.988546</v>
      </c>
      <c r="K28" t="inlineStr">
        <is>
          <t>Y</t>
        </is>
      </c>
      <c r="L28" t="inlineStr">
        <is>
          <t>251-500</t>
        </is>
      </c>
      <c r="M28" t="inlineStr">
        <is>
          <t>whole-company</t>
        </is>
      </c>
      <c r="N28" s="2" t="inlineStr">
        <is>
          <t>https://www.builtinnyc.com/company/baseten</t>
        </is>
      </c>
      <c r="O28" s="2" t="inlineStr">
        <is>
          <t>https://www.sec.gov/Archives/edgar/data/1013454/000153949726000704/n5676_x5-424h.htm</t>
        </is>
      </c>
      <c r="P28" t="inlineStr">
        <is>
          <t>2026-02</t>
        </is>
      </c>
      <c r="Q28" t="inlineStr"/>
      <c r="R28" t="inlineStr">
        <is>
          <t>medium</t>
        </is>
      </c>
      <c r="S28" t="inlineStr">
        <is>
          <t>N</t>
        </is>
      </c>
      <c r="T28" t="inlineStr"/>
      <c r="U28" t="inlineStr"/>
      <c r="V28" s="3" t="inlineStr">
        <is>
          <t>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8" t="inlineStr">
        <is>
          <t>2026-10-23</t>
        </is>
      </c>
      <c r="X28" t="inlineStr">
        <is>
          <t>San Francisco</t>
        </is>
      </c>
      <c r="Y28" t="inlineStr">
        <is>
          <t>N</t>
        </is>
      </c>
      <c r="Z28" t="inlineStr">
        <is>
          <t>https://www.builtinnyc.com/company/baseten/offices</t>
        </is>
      </c>
      <c r="AA28" t="inlineStr">
        <is>
          <t>350</t>
        </is>
      </c>
      <c r="AB28" t="inlineStr">
        <is>
          <t>agree</t>
        </is>
      </c>
      <c r="AC28" t="inlineStr">
        <is>
          <t>285</t>
        </is>
      </c>
      <c r="AD28" t="inlineStr">
        <is>
          <t>https://www.reveliolabs.com/companies/baseten-labs/employees</t>
        </is>
      </c>
      <c r="AE28" t="inlineStr">
        <is>
          <t>2026-08-31</t>
        </is>
      </c>
      <c r="AF28" t="inlineStr">
        <is>
          <t>unknown</t>
        </is>
      </c>
      <c r="AG28" t="inlineStr"/>
      <c r="AH28" t="inlineStr">
        <is>
          <t>security desk</t>
        </is>
      </c>
      <c r="AI28" t="inlineStr">
        <is>
          <t>candidate</t>
        </is>
      </c>
      <c r="AJ28" t="inlineStr">
        <is>
          <t>occupied</t>
        </is>
      </c>
      <c r="AK28" t="inlineStr"/>
      <c r="AL28" t="inlineStr">
        <is>
          <t>2026-10-23</t>
        </is>
      </c>
      <c r="AM28" s="3" t="inlineStr"/>
      <c r="AN28" t="inlineStr">
        <is>
          <t>other</t>
        </is>
      </c>
      <c r="AO28" t="inlineStr"/>
      <c r="AP28" t="inlineStr">
        <is>
          <t>direct-lease-documented</t>
        </is>
      </c>
      <c r="AQ28" t="inlineStr">
        <is>
          <t>1008730067</t>
        </is>
      </c>
      <c r="AR28" t="n">
        <v>0</v>
      </c>
      <c r="AS28" t="inlineStr">
        <is>
          <t>12,660 sf</t>
        </is>
      </c>
      <c r="AT28" t="inlineStr">
        <is>
          <t>S1</t>
        </is>
      </c>
    </row>
    <row r="29">
      <c r="A29" t="inlineStr">
        <is>
          <t>B-C-034</t>
        </is>
      </c>
      <c r="B29" t="inlineStr">
        <is>
          <t>Cognitiv</t>
        </is>
      </c>
      <c r="C29" s="2" t="inlineStr">
        <is>
          <t>https://cognitiv.ai</t>
        </is>
      </c>
      <c r="D29" t="inlineStr">
        <is>
          <t>adtech (AI advertising)</t>
        </is>
      </c>
      <c r="E29" t="inlineStr">
        <is>
          <t>B-B-016</t>
        </is>
      </c>
      <c r="F29" t="inlineStr">
        <is>
          <t>215 Park Avenue South</t>
        </is>
      </c>
      <c r="G29" t="inlineStr">
        <is>
          <t>16</t>
        </is>
      </c>
      <c r="H29" t="inlineStr">
        <is>
          <t>10003</t>
        </is>
      </c>
      <c r="I29" t="n">
        <v>40.73686</v>
      </c>
      <c r="J29" t="n">
        <v>-73.988546</v>
      </c>
      <c r="K29" t="inlineStr">
        <is>
          <t>Y</t>
        </is>
      </c>
      <c r="L29" t="inlineStr">
        <is>
          <t>151-250</t>
        </is>
      </c>
      <c r="M29" t="inlineStr">
        <is>
          <t>whole-company</t>
        </is>
      </c>
      <c r="N29" s="2" t="inlineStr">
        <is>
          <t>https://www.builtinnyc.com/company/cognitiv</t>
        </is>
      </c>
      <c r="O29" s="2" t="inlineStr">
        <is>
          <t>https://cognitiv.ai/contact/</t>
        </is>
      </c>
      <c r="P29" t="inlineStr">
        <is>
          <t>2026-10-23</t>
        </is>
      </c>
      <c r="Q29" s="2" t="inlineStr">
        <is>
          <t>https://www.sec.gov/Archives/edgar/data/1013454/000153949726000704/n5676_x5-424h.htm</t>
        </is>
      </c>
      <c r="R29" t="inlineStr">
        <is>
          <t>high</t>
        </is>
      </c>
      <c r="S29" t="inlineStr">
        <is>
          <t>N</t>
        </is>
      </c>
      <c r="T29" t="inlineStr"/>
      <c r="U29" t="inlineStr"/>
      <c r="V29" s="3" t="inlineStr">
        <is>
          <t>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29" t="inlineStr">
        <is>
          <t>2026-10-23</t>
        </is>
      </c>
      <c r="X29" t="inlineStr">
        <is>
          <t>New York</t>
        </is>
      </c>
      <c r="Y29" t="inlineStr">
        <is>
          <t>Y</t>
        </is>
      </c>
      <c r="Z29" t="inlineStr">
        <is>
          <t>https://www.builtinnyc.com/company/cognitiv/offices</t>
        </is>
      </c>
      <c r="AA29" t="inlineStr">
        <is>
          <t>170</t>
        </is>
      </c>
      <c r="AB29" t="inlineStr">
        <is>
          <t>agree</t>
        </is>
      </c>
      <c r="AC29" t="inlineStr">
        <is>
          <t>166</t>
        </is>
      </c>
      <c r="AD29" t="inlineStr">
        <is>
          <t>https://www.reveliolabs.com/companies/cognitiv/employees</t>
        </is>
      </c>
      <c r="AE29" t="inlineStr">
        <is>
          <t>2026-08-31</t>
        </is>
      </c>
      <c r="AF29" t="inlineStr">
        <is>
          <t>unknown</t>
        </is>
      </c>
      <c r="AG29" t="inlineStr"/>
      <c r="AH29" t="inlineStr">
        <is>
          <t>security desk</t>
        </is>
      </c>
      <c r="AI29" t="inlineStr">
        <is>
          <t>candidate</t>
        </is>
      </c>
      <c r="AJ29" t="inlineStr">
        <is>
          <t>occupied</t>
        </is>
      </c>
      <c r="AK29" t="inlineStr"/>
      <c r="AL29" t="inlineStr">
        <is>
          <t>2026-10-23</t>
        </is>
      </c>
      <c r="AM29" s="3" t="inlineStr"/>
      <c r="AN29" t="inlineStr">
        <is>
          <t>company-site</t>
        </is>
      </c>
      <c r="AO29" t="inlineStr">
        <is>
          <t>2026-02</t>
        </is>
      </c>
      <c r="AP29" t="inlineStr">
        <is>
          <t>direct-lease-documented</t>
        </is>
      </c>
      <c r="AQ29" t="inlineStr">
        <is>
          <t>1008730067</t>
        </is>
      </c>
      <c r="AR29" t="n">
        <v>0</v>
      </c>
      <c r="AS29" t="inlineStr">
        <is>
          <t>16,612 sf</t>
        </is>
      </c>
      <c r="AT29" t="inlineStr">
        <is>
          <t>S1</t>
        </is>
      </c>
    </row>
    <row r="30">
      <c r="A30" t="inlineStr">
        <is>
          <t>B-C-035</t>
        </is>
      </c>
      <c r="B30" t="inlineStr">
        <is>
          <t>Global Strategy Group</t>
        </is>
      </c>
      <c r="C30" s="2" t="inlineStr">
        <is>
          <t>https://www.globalstrategygroup.com</t>
        </is>
      </c>
      <c r="D30" t="inlineStr">
        <is>
          <t>public affairs, research and communications consulting</t>
        </is>
      </c>
      <c r="E30" t="inlineStr">
        <is>
          <t>B-B-016</t>
        </is>
      </c>
      <c r="F30" t="inlineStr">
        <is>
          <t>215 Park Avenue South</t>
        </is>
      </c>
      <c r="G30" t="inlineStr">
        <is>
          <t>15</t>
        </is>
      </c>
      <c r="H30" t="inlineStr">
        <is>
          <t>10003</t>
        </is>
      </c>
      <c r="I30" t="n">
        <v>40.73686</v>
      </c>
      <c r="J30" t="n">
        <v>-73.988546</v>
      </c>
      <c r="K30" t="inlineStr">
        <is>
          <t>Y</t>
        </is>
      </c>
      <c r="L30" t="inlineStr">
        <is>
          <t>151-250</t>
        </is>
      </c>
      <c r="M30" t="inlineStr">
        <is>
          <t>whole-company</t>
        </is>
      </c>
      <c r="N30" s="2" t="inlineStr">
        <is>
          <t>https://www.builtinnyc.com/company/global-strategy-group</t>
        </is>
      </c>
      <c r="O30" s="2" t="inlineStr">
        <is>
          <t>https://www.globalstrategygroup.com/locations/</t>
        </is>
      </c>
      <c r="P30" t="inlineStr">
        <is>
          <t>2026-10-23</t>
        </is>
      </c>
      <c r="Q30" s="2" t="inlineStr">
        <is>
          <t>https://www.sec.gov/Archives/edgar/data/1013454/000153949726000704/n5676_x5-424h.htm</t>
        </is>
      </c>
      <c r="R30" t="inlineStr">
        <is>
          <t>high</t>
        </is>
      </c>
      <c r="S30" t="inlineStr">
        <is>
          <t>N</t>
        </is>
      </c>
      <c r="T30" t="inlineStr"/>
      <c r="U30" t="inlineStr"/>
      <c r="V30" s="3" t="inlineStr">
        <is>
          <t>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0" t="inlineStr">
        <is>
          <t>2026-10-23</t>
        </is>
      </c>
      <c r="X30" t="inlineStr">
        <is>
          <t>New York</t>
        </is>
      </c>
      <c r="Y30" t="inlineStr">
        <is>
          <t>Y</t>
        </is>
      </c>
      <c r="Z30" t="inlineStr">
        <is>
          <t>https://www.builtinnyc.com/company/global-strategy-group/offices</t>
        </is>
      </c>
      <c r="AA30" t="inlineStr">
        <is>
          <t>187</t>
        </is>
      </c>
      <c r="AB30" t="inlineStr">
        <is>
          <t>single-source</t>
        </is>
      </c>
      <c r="AC30" t="inlineStr"/>
      <c r="AD30" t="inlineStr"/>
      <c r="AE30" t="inlineStr"/>
      <c r="AF30" t="inlineStr">
        <is>
          <t>unknown</t>
        </is>
      </c>
      <c r="AG30" t="inlineStr"/>
      <c r="AH30" t="inlineStr">
        <is>
          <t>security desk</t>
        </is>
      </c>
      <c r="AI30" t="inlineStr">
        <is>
          <t>candidate</t>
        </is>
      </c>
      <c r="AJ30" t="inlineStr">
        <is>
          <t>occupied</t>
        </is>
      </c>
      <c r="AK30" t="inlineStr"/>
      <c r="AL30" t="inlineStr">
        <is>
          <t>2026-10-23</t>
        </is>
      </c>
      <c r="AM30" s="3" t="inlineStr"/>
      <c r="AN30" t="inlineStr">
        <is>
          <t>company-site</t>
        </is>
      </c>
      <c r="AO30" t="inlineStr">
        <is>
          <t>2026-02</t>
        </is>
      </c>
      <c r="AP30" t="inlineStr">
        <is>
          <t>direct-lease-documented</t>
        </is>
      </c>
      <c r="AQ30" t="inlineStr">
        <is>
          <t>1008730067</t>
        </is>
      </c>
      <c r="AR30" t="n">
        <v>0</v>
      </c>
      <c r="AS30" t="inlineStr">
        <is>
          <t>21,974 sf</t>
        </is>
      </c>
      <c r="AT30" t="inlineStr">
        <is>
          <t>S1</t>
        </is>
      </c>
    </row>
    <row r="31">
      <c r="A31" t="inlineStr">
        <is>
          <t>B-C-036</t>
        </is>
      </c>
      <c r="B31" t="inlineStr">
        <is>
          <t>Matador Content</t>
        </is>
      </c>
      <c r="C31" t="inlineStr">
        <is>
          <t>unknown</t>
        </is>
      </c>
      <c r="D31" t="inlineStr">
        <is>
          <t>TV and film production</t>
        </is>
      </c>
      <c r="E31" t="inlineStr">
        <is>
          <t>B-B-016</t>
        </is>
      </c>
      <c r="F31" t="inlineStr">
        <is>
          <t>215 Park Avenue South</t>
        </is>
      </c>
      <c r="G31" t="inlineStr">
        <is>
          <t>8</t>
        </is>
      </c>
      <c r="H31" t="inlineStr">
        <is>
          <t>10003</t>
        </is>
      </c>
      <c r="I31" t="n">
        <v>40.73686</v>
      </c>
      <c r="J31" t="n">
        <v>-73.988546</v>
      </c>
      <c r="K31" t="inlineStr">
        <is>
          <t>Y</t>
        </is>
      </c>
      <c r="L31" t="inlineStr">
        <is>
          <t>unknown</t>
        </is>
      </c>
      <c r="M31" t="inlineStr">
        <is>
          <t>unknown</t>
        </is>
      </c>
      <c r="N31" t="inlineStr"/>
      <c r="O31" s="2" t="inlineStr">
        <is>
          <t>https://www.sec.gov/Archives/edgar/data/1013454/000153949726000704/n5676_x5-424h.htm</t>
        </is>
      </c>
      <c r="P31" t="inlineStr">
        <is>
          <t>2026-02</t>
        </is>
      </c>
      <c r="Q31" t="inlineStr"/>
      <c r="R31" t="inlineStr">
        <is>
          <t>medium</t>
        </is>
      </c>
      <c r="S31" t="inlineStr">
        <is>
          <t>N</t>
        </is>
      </c>
      <c r="T31" t="inlineStr"/>
      <c r="U31" t="inlineStr"/>
      <c r="V31" s="3" t="inlineStr">
        <is>
          <t>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1" t="inlineStr">
        <is>
          <t>2026-10-23</t>
        </is>
      </c>
      <c r="X31" t="inlineStr">
        <is>
          <t>unknown</t>
        </is>
      </c>
      <c r="Y31" t="inlineStr">
        <is>
          <t>unknown</t>
        </is>
      </c>
      <c r="Z31" t="inlineStr"/>
      <c r="AA31" t="inlineStr"/>
      <c r="AB31" t="inlineStr">
        <is>
          <t>no-count</t>
        </is>
      </c>
      <c r="AC31" t="inlineStr"/>
      <c r="AD31" t="inlineStr"/>
      <c r="AE31" t="inlineStr"/>
      <c r="AF31" t="inlineStr">
        <is>
          <t>unknown</t>
        </is>
      </c>
      <c r="AG31" t="inlineStr"/>
      <c r="AH31" t="inlineStr">
        <is>
          <t>security desk</t>
        </is>
      </c>
      <c r="AI31" t="inlineStr">
        <is>
          <t>candidate</t>
        </is>
      </c>
      <c r="AJ31" t="inlineStr">
        <is>
          <t>occupied</t>
        </is>
      </c>
      <c r="AK31" t="inlineStr"/>
      <c r="AL31" t="inlineStr"/>
      <c r="AM31" s="3" t="inlineStr">
        <is>
          <t>No opened source gives a count: no Built In profile with a total, the company site publishes none, and LinkedIn was off-limits. Founder to confirm at intake.</t>
        </is>
      </c>
      <c r="AN31" t="inlineStr">
        <is>
          <t>other</t>
        </is>
      </c>
      <c r="AO31" t="inlineStr"/>
      <c r="AP31" t="inlineStr">
        <is>
          <t>direct-lease-documented</t>
        </is>
      </c>
      <c r="AQ31" t="inlineStr">
        <is>
          <t>1008730067</t>
        </is>
      </c>
      <c r="AR31" t="n">
        <v>0</v>
      </c>
      <c r="AS31" t="inlineStr">
        <is>
          <t>17,255 sf</t>
        </is>
      </c>
      <c r="AT31" t="inlineStr">
        <is>
          <t>S1</t>
        </is>
      </c>
    </row>
    <row r="32">
      <c r="A32" t="inlineStr">
        <is>
          <t>B-C-037</t>
        </is>
      </c>
      <c r="B32" t="inlineStr">
        <is>
          <t>Nayya</t>
        </is>
      </c>
      <c r="C32" s="2" t="inlineStr">
        <is>
          <t>https://www.nayya.com</t>
        </is>
      </c>
      <c r="D32" t="inlineStr">
        <is>
          <t>benefits software (health tech)</t>
        </is>
      </c>
      <c r="E32" t="inlineStr">
        <is>
          <t>B-B-016</t>
        </is>
      </c>
      <c r="F32" t="inlineStr">
        <is>
          <t>215 Park Avenue South</t>
        </is>
      </c>
      <c r="G32" t="inlineStr">
        <is>
          <t>4</t>
        </is>
      </c>
      <c r="H32" t="inlineStr">
        <is>
          <t>10003</t>
        </is>
      </c>
      <c r="I32" t="n">
        <v>40.73686</v>
      </c>
      <c r="J32" t="n">
        <v>-73.988546</v>
      </c>
      <c r="K32" t="inlineStr">
        <is>
          <t>Y</t>
        </is>
      </c>
      <c r="L32" t="inlineStr">
        <is>
          <t>unknown</t>
        </is>
      </c>
      <c r="M32" t="inlineStr">
        <is>
          <t>unknown</t>
        </is>
      </c>
      <c r="N32" s="2" t="inlineStr">
        <is>
          <t>https://www.builtinnyc.com/company/nayya</t>
        </is>
      </c>
      <c r="O32" s="2" t="inlineStr">
        <is>
          <t>https://www.sec.gov/Archives/edgar/data/1013454/000153949726000704/n5676_x5-424h.htm</t>
        </is>
      </c>
      <c r="P32" t="inlineStr">
        <is>
          <t>2026-02</t>
        </is>
      </c>
      <c r="Q32" s="2" t="inlineStr">
        <is>
          <t>https://www.nyrej.com/sl-green-signs-29-915-s-f-lease-with-nayya-health-at-215-park-ave-south</t>
        </is>
      </c>
      <c r="R32" t="inlineStr">
        <is>
          <t>high</t>
        </is>
      </c>
      <c r="S32" t="inlineStr">
        <is>
          <t>N</t>
        </is>
      </c>
      <c r="T32" t="inlineStr"/>
      <c r="U32" t="inlineStr"/>
      <c r="V32" s="3" t="inlineStr">
        <is>
          <t>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is>
      </c>
      <c r="W32" t="inlineStr">
        <is>
          <t>2026-10-23</t>
        </is>
      </c>
      <c r="X32" t="inlineStr">
        <is>
          <t>New York</t>
        </is>
      </c>
      <c r="Y32" t="inlineStr">
        <is>
          <t>Y</t>
        </is>
      </c>
      <c r="Z32" t="inlineStr">
        <is>
          <t>https://www.builtinnyc.com/company/nayya/offices</t>
        </is>
      </c>
      <c r="AA32" t="inlineStr">
        <is>
          <t>150</t>
        </is>
      </c>
      <c r="AB32" t="inlineStr">
        <is>
          <t>disagree</t>
        </is>
      </c>
      <c r="AC32" t="inlineStr">
        <is>
          <t>200</t>
        </is>
      </c>
      <c r="AD32" t="inlineStr">
        <is>
          <t>https://www.reveliolabs.com/companies/nayya-health/employees</t>
        </is>
      </c>
      <c r="AE32" t="inlineStr">
        <is>
          <t>2026-08-31</t>
        </is>
      </c>
      <c r="AF32" t="inlineStr">
        <is>
          <t>unknown</t>
        </is>
      </c>
      <c r="AG32" t="inlineStr"/>
      <c r="AH32" t="inlineStr">
        <is>
          <t>security desk</t>
        </is>
      </c>
      <c r="AI32" t="inlineStr">
        <is>
          <t>candidate</t>
        </is>
      </c>
      <c r="AJ32" t="inlineStr">
        <is>
          <t>occupied</t>
        </is>
      </c>
      <c r="AK32" t="inlineStr"/>
      <c r="AL32" t="inlineStr">
        <is>
          <t>2026-10-23</t>
        </is>
      </c>
      <c r="AM32" s="3" t="inlineStr">
        <is>
          <t>Sources disagree: Built In shows 150 (76-150) and Revelio Labs (Nayya Health, Inc., HQ New York City): about 200 employees worldwide as of March 2026 (151-250). Band left unknown; founder to confirm at intake.</t>
        </is>
      </c>
      <c r="AN32" t="inlineStr">
        <is>
          <t>other</t>
        </is>
      </c>
      <c r="AO32" t="inlineStr">
        <is>
          <t>2024-12-10</t>
        </is>
      </c>
      <c r="AP32" t="inlineStr">
        <is>
          <t>direct-lease-documented</t>
        </is>
      </c>
      <c r="AQ32" t="inlineStr">
        <is>
          <t>1008730067</t>
        </is>
      </c>
      <c r="AR32" t="n">
        <v>0</v>
      </c>
      <c r="AS32" t="inlineStr">
        <is>
          <t>29,915 sf; 12,660 sf</t>
        </is>
      </c>
      <c r="AT32" t="inlineStr">
        <is>
          <t>S1</t>
        </is>
      </c>
    </row>
    <row r="33">
      <c r="A33" t="inlineStr">
        <is>
          <t>B-C-038</t>
        </is>
      </c>
      <c r="B33" t="inlineStr">
        <is>
          <t>Stellar Health</t>
        </is>
      </c>
      <c r="C33" s="2" t="inlineStr">
        <is>
          <t>https://www.stellarhealth.net</t>
        </is>
      </c>
      <c r="D33" t="inlineStr">
        <is>
          <t>health tech (value-based care software)</t>
        </is>
      </c>
      <c r="E33" t="inlineStr">
        <is>
          <t>B-B-016</t>
        </is>
      </c>
      <c r="F33" t="inlineStr">
        <is>
          <t>215 Park Avenue South</t>
        </is>
      </c>
      <c r="G33" t="inlineStr">
        <is>
          <t>unknown</t>
        </is>
      </c>
      <c r="H33" t="inlineStr">
        <is>
          <t>10003</t>
        </is>
      </c>
      <c r="I33" t="n">
        <v>40.73686</v>
      </c>
      <c r="J33" t="n">
        <v>-73.988546</v>
      </c>
      <c r="K33" t="inlineStr">
        <is>
          <t>Y</t>
        </is>
      </c>
      <c r="L33" t="inlineStr">
        <is>
          <t>151-250</t>
        </is>
      </c>
      <c r="M33" t="inlineStr">
        <is>
          <t>whole-company</t>
        </is>
      </c>
      <c r="N33" s="2" t="inlineStr">
        <is>
          <t>https://www.builtinnyc.com/company/stellar-health</t>
        </is>
      </c>
      <c r="O33" s="2" t="inlineStr">
        <is>
          <t>https://www.sec.gov/Archives/edgar/data/1013454/000153949726000704/n5676_x5-424h.htm</t>
        </is>
      </c>
      <c r="P33" t="inlineStr">
        <is>
          <t>2026-02</t>
        </is>
      </c>
      <c r="Q33" s="2" t="inlineStr">
        <is>
          <t>https://www.nyrej.com/sl-green-signs-29-915-s-f-lease-with-nayya-health-at-215-park-ave-south</t>
        </is>
      </c>
      <c r="R33" t="inlineStr">
        <is>
          <t>high</t>
        </is>
      </c>
      <c r="S33" t="inlineStr">
        <is>
          <t>N</t>
        </is>
      </c>
      <c r="T33" t="inlineStr"/>
      <c r="U33" t="inlineStr"/>
      <c r="V33" s="3" t="inlineStr">
        <is>
          <t>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W33" t="inlineStr">
        <is>
          <t>2026-10-23</t>
        </is>
      </c>
      <c r="X33" t="inlineStr">
        <is>
          <t>New York</t>
        </is>
      </c>
      <c r="Y33" t="inlineStr">
        <is>
          <t>Y</t>
        </is>
      </c>
      <c r="Z33" t="inlineStr">
        <is>
          <t>https://www.builtinnyc.com/company/stellar-health/offices</t>
        </is>
      </c>
      <c r="AA33" t="inlineStr">
        <is>
          <t>165</t>
        </is>
      </c>
      <c r="AB33" t="inlineStr">
        <is>
          <t>agree</t>
        </is>
      </c>
      <c r="AC33" t="inlineStr">
        <is>
          <t>188</t>
        </is>
      </c>
      <c r="AD33" t="inlineStr">
        <is>
          <t>https://www.reveliolabs.com/companies/stellar-health-group/employees</t>
        </is>
      </c>
      <c r="AE33" t="inlineStr">
        <is>
          <t>2026-08-31</t>
        </is>
      </c>
      <c r="AF33" t="inlineStr">
        <is>
          <t>unknown</t>
        </is>
      </c>
      <c r="AG33" t="inlineStr"/>
      <c r="AH33" t="inlineStr">
        <is>
          <t>security desk</t>
        </is>
      </c>
      <c r="AI33" t="inlineStr">
        <is>
          <t>candidate</t>
        </is>
      </c>
      <c r="AJ33" t="inlineStr">
        <is>
          <t>occupied</t>
        </is>
      </c>
      <c r="AK33" t="inlineStr"/>
      <c r="AL33" t="inlineStr">
        <is>
          <t>2026-10-23</t>
        </is>
      </c>
      <c r="AM33" s="3" t="inlineStr"/>
      <c r="AN33" t="inlineStr">
        <is>
          <t>other</t>
        </is>
      </c>
      <c r="AO33" t="inlineStr">
        <is>
          <t>2024-12-10</t>
        </is>
      </c>
      <c r="AP33" t="inlineStr">
        <is>
          <t>direct-lease-documented</t>
        </is>
      </c>
      <c r="AQ33" t="inlineStr">
        <is>
          <t>1008730067</t>
        </is>
      </c>
      <c r="AR33" t="n">
        <v>0</v>
      </c>
      <c r="AS33" t="inlineStr">
        <is>
          <t>33,224 sf</t>
        </is>
      </c>
      <c r="AT33" t="inlineStr">
        <is>
          <t>S1</t>
        </is>
      </c>
    </row>
    <row r="34">
      <c r="A34" t="inlineStr">
        <is>
          <t>B-C-039</t>
        </is>
      </c>
      <c r="B34" t="inlineStr">
        <is>
          <t>Stone Source</t>
        </is>
      </c>
      <c r="C34" t="inlineStr">
        <is>
          <t>unknown</t>
        </is>
      </c>
      <c r="D34" t="inlineStr">
        <is>
          <t>architectural stone and tile supplier</t>
        </is>
      </c>
      <c r="E34" t="inlineStr">
        <is>
          <t>B-B-016</t>
        </is>
      </c>
      <c r="F34" t="inlineStr">
        <is>
          <t>215 Park Avenue South</t>
        </is>
      </c>
      <c r="G34" t="inlineStr">
        <is>
          <t>unknown</t>
        </is>
      </c>
      <c r="H34" t="inlineStr">
        <is>
          <t>10003</t>
        </is>
      </c>
      <c r="I34" t="n">
        <v>40.73686</v>
      </c>
      <c r="J34" t="n">
        <v>-73.988546</v>
      </c>
      <c r="K34" t="inlineStr">
        <is>
          <t>Y</t>
        </is>
      </c>
      <c r="L34" t="inlineStr">
        <is>
          <t>unknown</t>
        </is>
      </c>
      <c r="M34" t="inlineStr">
        <is>
          <t>unknown</t>
        </is>
      </c>
      <c r="N34" t="inlineStr"/>
      <c r="O34" s="2" t="inlineStr">
        <is>
          <t>https://www.sec.gov/Archives/edgar/data/1013454/000153949726000704/n5676_x5-424h.htm</t>
        </is>
      </c>
      <c r="P34" t="inlineStr">
        <is>
          <t>2026-02</t>
        </is>
      </c>
      <c r="Q34" t="inlineStr"/>
      <c r="R34" t="inlineStr">
        <is>
          <t>medium</t>
        </is>
      </c>
      <c r="S34" t="inlineStr">
        <is>
          <t>N</t>
        </is>
      </c>
      <c r="T34" t="inlineStr"/>
      <c r="U34" t="inlineStr"/>
      <c r="V34" s="3" t="inlineStr">
        <is>
          <t>SEC rent roll 2026-02-05: Stone Source LLC 19,092 sf, lease to 2030-11-30 (subleases Suite 2008 to Arch Equities). Likely includes a showroom;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34" t="inlineStr">
        <is>
          <t>2026-10-23</t>
        </is>
      </c>
      <c r="X34" t="inlineStr">
        <is>
          <t>unknown</t>
        </is>
      </c>
      <c r="Y34" t="inlineStr">
        <is>
          <t>unknown</t>
        </is>
      </c>
      <c r="Z34" t="inlineStr"/>
      <c r="AA34" t="inlineStr"/>
      <c r="AB34" t="inlineStr">
        <is>
          <t>no-count</t>
        </is>
      </c>
      <c r="AC34" t="inlineStr"/>
      <c r="AD34" t="inlineStr"/>
      <c r="AE34" t="inlineStr"/>
      <c r="AF34" t="inlineStr">
        <is>
          <t>unknown</t>
        </is>
      </c>
      <c r="AG34" t="inlineStr"/>
      <c r="AH34" t="inlineStr">
        <is>
          <t>security desk</t>
        </is>
      </c>
      <c r="AI34" t="inlineStr">
        <is>
          <t>candidate</t>
        </is>
      </c>
      <c r="AJ34" t="inlineStr">
        <is>
          <t>occupied</t>
        </is>
      </c>
      <c r="AK34" t="inlineStr"/>
      <c r="AL34" t="inlineStr"/>
      <c r="AM34" s="3" t="inlineStr">
        <is>
          <t>No opened source gives a count: no Built In profile with a total, the company site publishes none, and LinkedIn was off-limits. Founder to confirm at intake.</t>
        </is>
      </c>
      <c r="AN34" t="inlineStr">
        <is>
          <t>other</t>
        </is>
      </c>
      <c r="AO34" t="inlineStr"/>
      <c r="AP34" t="inlineStr">
        <is>
          <t>direct-lease-documented</t>
        </is>
      </c>
      <c r="AQ34" t="inlineStr">
        <is>
          <t>1008730067</t>
        </is>
      </c>
      <c r="AR34" t="n">
        <v>0</v>
      </c>
      <c r="AS34" t="inlineStr">
        <is>
          <t>19,092 sf</t>
        </is>
      </c>
      <c r="AT34" t="inlineStr">
        <is>
          <t>S1</t>
        </is>
      </c>
    </row>
    <row r="35">
      <c r="A35" t="inlineStr">
        <is>
          <t>B-C-032</t>
        </is>
      </c>
      <c r="B35" t="inlineStr">
        <is>
          <t>Roboflow</t>
        </is>
      </c>
      <c r="C35" s="2" t="inlineStr">
        <is>
          <t>https://roboflow.com</t>
        </is>
      </c>
      <c r="D35" t="inlineStr">
        <is>
          <t>computer vision software</t>
        </is>
      </c>
      <c r="E35" t="inlineStr">
        <is>
          <t>B-B-015</t>
        </is>
      </c>
      <c r="F35" t="inlineStr">
        <is>
          <t>10 West 18th Street</t>
        </is>
      </c>
      <c r="G35" t="inlineStr">
        <is>
          <t>unknown</t>
        </is>
      </c>
      <c r="H35" t="inlineStr">
        <is>
          <t>10011</t>
        </is>
      </c>
      <c r="I35" t="n">
        <v>40.738754</v>
      </c>
      <c r="J35" t="n">
        <v>-73.99292199999999</v>
      </c>
      <c r="K35" t="inlineStr">
        <is>
          <t>Y</t>
        </is>
      </c>
      <c r="L35" t="inlineStr">
        <is>
          <t>unknown</t>
        </is>
      </c>
      <c r="M35" t="inlineStr">
        <is>
          <t>unknown</t>
        </is>
      </c>
      <c r="N35" s="2" t="inlineStr">
        <is>
          <t>https://www.builtinnyc.com/company/roboflow</t>
        </is>
      </c>
      <c r="O35" s="2" t="inlineStr">
        <is>
          <t>https://www.mannpublications.com/mannreport/2025/08/25/moinian-signs-33000sf-across-flatiron-portfolio/</t>
        </is>
      </c>
      <c r="P35" t="inlineStr">
        <is>
          <t>2025-08-25</t>
        </is>
      </c>
      <c r="Q35" t="inlineStr"/>
      <c r="R35" t="inlineStr">
        <is>
          <t>medium</t>
        </is>
      </c>
      <c r="S35" t="inlineStr">
        <is>
          <t>N</t>
        </is>
      </c>
      <c r="T35" t="inlineStr"/>
      <c r="U35" t="inlineStr"/>
      <c r="V35" s="3" t="inlineStr">
        <is>
          <t>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is>
      </c>
      <c r="W35" t="inlineStr">
        <is>
          <t>2026-10-23</t>
        </is>
      </c>
      <c r="X35" t="inlineStr">
        <is>
          <t>San Francisco</t>
        </is>
      </c>
      <c r="Y35" t="inlineStr">
        <is>
          <t>N</t>
        </is>
      </c>
      <c r="Z35" t="inlineStr">
        <is>
          <t>https://www.builtinnyc.com/company/roboflow/offices</t>
        </is>
      </c>
      <c r="AA35" t="inlineStr">
        <is>
          <t>44</t>
        </is>
      </c>
      <c r="AB35" t="inlineStr">
        <is>
          <t>disagree</t>
        </is>
      </c>
      <c r="AC35" t="inlineStr">
        <is>
          <t>132</t>
        </is>
      </c>
      <c r="AD35" t="inlineStr">
        <is>
          <t>https://www.reveliolabs.com/companies/roboflow/employees</t>
        </is>
      </c>
      <c r="AE35" t="inlineStr">
        <is>
          <t>2026-08-31</t>
        </is>
      </c>
      <c r="AF35" t="inlineStr">
        <is>
          <t>unknown</t>
        </is>
      </c>
      <c r="AG35" t="inlineStr"/>
      <c r="AH35" t="inlineStr">
        <is>
          <t>unknown</t>
        </is>
      </c>
      <c r="AI35" t="inlineStr">
        <is>
          <t>candidate</t>
        </is>
      </c>
      <c r="AJ35" t="inlineStr">
        <is>
          <t>occupancy-unconfirmed</t>
        </is>
      </c>
      <c r="AK35" t="inlineStr"/>
      <c r="AL35" t="inlineStr">
        <is>
          <t>2026-10-23</t>
        </is>
      </c>
      <c r="AM35" s="3" t="inlineStr">
        <is>
          <t>Sources disagree: Built In shows 44 (40-75) and Revelio Labs (Roboflow, Inc., HQ Des Moines): about 132 employees worldwide as of March 2026 (76-150). Band left unknown; founder to confirm at intake.</t>
        </is>
      </c>
      <c r="AN35" t="inlineStr">
        <is>
          <t>leasing-press</t>
        </is>
      </c>
      <c r="AO35" t="inlineStr"/>
      <c r="AP35" t="inlineStr">
        <is>
          <t>no-coworking-in-building</t>
        </is>
      </c>
      <c r="AQ35" t="inlineStr">
        <is>
          <t>1008190052</t>
        </is>
      </c>
      <c r="AR35" t="n">
        <v>0</v>
      </c>
      <c r="AS35" t="inlineStr"/>
      <c r="AT35" t="inlineStr">
        <is>
          <t>S1</t>
        </is>
      </c>
    </row>
    <row r="36">
      <c r="A36" t="inlineStr">
        <is>
          <t>B-C-031</t>
        </is>
      </c>
      <c r="B36" t="inlineStr">
        <is>
          <t>Dashlane</t>
        </is>
      </c>
      <c r="C36" s="2" t="inlineStr">
        <is>
          <t>https://www.dashlane.com</t>
        </is>
      </c>
      <c r="D36" t="inlineStr">
        <is>
          <t>software (password management / security)</t>
        </is>
      </c>
      <c r="E36" t="inlineStr">
        <is>
          <t>B-B-013</t>
        </is>
      </c>
      <c r="F36" t="inlineStr">
        <is>
          <t>44 West 18th Street</t>
        </is>
      </c>
      <c r="G36" t="inlineStr">
        <is>
          <t>4</t>
        </is>
      </c>
      <c r="H36" t="inlineStr">
        <is>
          <t>10011</t>
        </is>
      </c>
      <c r="I36" t="n">
        <v>40.739342</v>
      </c>
      <c r="J36" t="n">
        <v>-73.994287</v>
      </c>
      <c r="K36" t="inlineStr">
        <is>
          <t>Y</t>
        </is>
      </c>
      <c r="L36" t="inlineStr">
        <is>
          <t>251-500</t>
        </is>
      </c>
      <c r="M36" t="inlineStr">
        <is>
          <t>whole-company</t>
        </is>
      </c>
      <c r="N36" s="2" t="inlineStr">
        <is>
          <t>https://www.builtinnyc.com/company/dashlane</t>
        </is>
      </c>
      <c r="O36" s="2" t="inlineStr">
        <is>
          <t>https://www.dashlane.com/terms</t>
        </is>
      </c>
      <c r="P36" t="inlineStr">
        <is>
          <t>2026-10-23</t>
        </is>
      </c>
      <c r="Q36" s="2" t="inlineStr">
        <is>
          <t>https://www.builtinnyc.com/company/dashlane/offices</t>
        </is>
      </c>
      <c r="R36" t="inlineStr">
        <is>
          <t>high</t>
        </is>
      </c>
      <c r="S36" t="inlineStr">
        <is>
          <t>N</t>
        </is>
      </c>
      <c r="T36" t="inlineStr"/>
      <c r="U36" t="inlineStr"/>
      <c r="V36" s="3" t="inlineStr">
        <is>
          <t>Terms and privacy pages give Dashlane USA, Inc., 44 West 18th Street, 4th Floor; Built In lists HQ at 44 W 18th Street. Built In shows 284 total employees (Paris and NYC). Same building Hex lists as its prior NYC office. | Assembly 2026-10-24: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W36" t="inlineStr">
        <is>
          <t>2026-10-23</t>
        </is>
      </c>
      <c r="X36" t="inlineStr">
        <is>
          <t>New York</t>
        </is>
      </c>
      <c r="Y36" t="inlineStr">
        <is>
          <t>Y</t>
        </is>
      </c>
      <c r="Z36" t="inlineStr">
        <is>
          <t>https://www.builtinnyc.com/company/dashlane/offices</t>
        </is>
      </c>
      <c r="AA36" t="inlineStr">
        <is>
          <t>284</t>
        </is>
      </c>
      <c r="AB36" t="inlineStr">
        <is>
          <t>agree</t>
        </is>
      </c>
      <c r="AC36" t="inlineStr">
        <is>
          <t>319</t>
        </is>
      </c>
      <c r="AD36" t="inlineStr">
        <is>
          <t>https://www.reveliolabs.com/companies/dashlane/employees</t>
        </is>
      </c>
      <c r="AE36" t="inlineStr">
        <is>
          <t>2026-08-31</t>
        </is>
      </c>
      <c r="AF36" t="inlineStr">
        <is>
          <t>unknown</t>
        </is>
      </c>
      <c r="AG36" t="inlineStr"/>
      <c r="AH36" t="inlineStr">
        <is>
          <t>unknown</t>
        </is>
      </c>
      <c r="AI36" t="inlineStr">
        <is>
          <t>candidate</t>
        </is>
      </c>
      <c r="AJ36" t="inlineStr">
        <is>
          <t>occupied</t>
        </is>
      </c>
      <c r="AK36" t="inlineStr"/>
      <c r="AL36" t="inlineStr">
        <is>
          <t>2026-10-23</t>
        </is>
      </c>
      <c r="AM36" s="3" t="inlineStr"/>
      <c r="AN36" t="inlineStr">
        <is>
          <t>company-site</t>
        </is>
      </c>
      <c r="AO36" t="inlineStr">
        <is>
          <t>2026-10-23</t>
        </is>
      </c>
      <c r="AP36" t="inlineStr">
        <is>
          <t>no-coworking-in-building</t>
        </is>
      </c>
      <c r="AQ36" t="inlineStr">
        <is>
          <t>1008190010</t>
        </is>
      </c>
      <c r="AR36" t="n">
        <v>0</v>
      </c>
      <c r="AS36" t="inlineStr"/>
      <c r="AT36" t="inlineStr">
        <is>
          <t>S2</t>
        </is>
      </c>
    </row>
    <row r="37">
      <c r="A37" t="inlineStr">
        <is>
          <t>B-C-043</t>
        </is>
      </c>
      <c r="B37" t="inlineStr">
        <is>
          <t>SEIU 32BJ and 32BJ Benefit Funds</t>
        </is>
      </c>
      <c r="C37" s="2" t="inlineStr">
        <is>
          <t>https://www.seiu32bj.org</t>
        </is>
      </c>
      <c r="D37" t="inlineStr">
        <is>
          <t>labor union (headquarters)</t>
        </is>
      </c>
      <c r="E37" t="inlineStr">
        <is>
          <t>B-B-021</t>
        </is>
      </c>
      <c r="F37" t="inlineStr">
        <is>
          <t>25 West 18th Street</t>
        </is>
      </c>
      <c r="G37" t="inlineStr">
        <is>
          <t>unknown</t>
        </is>
      </c>
      <c r="H37" t="inlineStr">
        <is>
          <t>10011</t>
        </is>
      </c>
      <c r="I37" t="n">
        <v>40.739345</v>
      </c>
      <c r="J37" t="n">
        <v>-73.993191</v>
      </c>
      <c r="K37" t="inlineStr">
        <is>
          <t>Y</t>
        </is>
      </c>
      <c r="L37" t="inlineStr">
        <is>
          <t>unknown</t>
        </is>
      </c>
      <c r="M37" t="inlineStr">
        <is>
          <t>unknown</t>
        </is>
      </c>
      <c r="N37" t="inlineStr"/>
      <c r="O37" s="2" t="inlineStr">
        <is>
          <t>https://www.seiu32bj.org/contact-us/</t>
        </is>
      </c>
      <c r="P37" t="inlineStr">
        <is>
          <t>2026-10-23</t>
        </is>
      </c>
      <c r="Q37" s="2" t="inlineStr">
        <is>
          <t>https://32bjfunds.org/contact-us/</t>
        </is>
      </c>
      <c r="R37" t="inlineStr">
        <is>
          <t>high</t>
        </is>
      </c>
      <c r="S37" t="inlineStr">
        <is>
          <t>N</t>
        </is>
      </c>
      <c r="T37" t="inlineStr"/>
      <c r="U37" t="inlineStr"/>
      <c r="V37" s="3" t="inlineStr">
        <is>
          <t>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is>
      </c>
      <c r="W37" t="inlineStr">
        <is>
          <t>2026-10-23</t>
        </is>
      </c>
      <c r="X37" t="inlineStr">
        <is>
          <t>New York</t>
        </is>
      </c>
      <c r="Y37" t="inlineStr">
        <is>
          <t>Y</t>
        </is>
      </c>
      <c r="Z37" t="inlineStr">
        <is>
          <t>https://www.seiu32bj.org</t>
        </is>
      </c>
      <c r="AA37" t="inlineStr"/>
      <c r="AB37" t="inlineStr">
        <is>
          <t>no-count</t>
        </is>
      </c>
      <c r="AC37" t="inlineStr"/>
      <c r="AD37" t="inlineStr"/>
      <c r="AE37" t="inlineStr"/>
      <c r="AF37" t="inlineStr">
        <is>
          <t>unknown</t>
        </is>
      </c>
      <c r="AG37" t="inlineStr"/>
      <c r="AH37" t="inlineStr">
        <is>
          <t>loading dock</t>
        </is>
      </c>
      <c r="AI37" t="inlineStr">
        <is>
          <t>candidate</t>
        </is>
      </c>
      <c r="AJ37" t="inlineStr">
        <is>
          <t>occupied</t>
        </is>
      </c>
      <c r="AK37" t="inlineStr"/>
      <c r="AL37" t="inlineStr"/>
      <c r="AM37" s="3" t="inlineStr">
        <is>
          <t>Staff count not published; the union's membership is building workers, not office staff. CO reports 245,000 sf here.</t>
        </is>
      </c>
      <c r="AN37" t="inlineStr">
        <is>
          <t>company-site</t>
        </is>
      </c>
      <c r="AO37" t="inlineStr">
        <is>
          <t>2026-10-23</t>
        </is>
      </c>
      <c r="AP37" t="inlineStr">
        <is>
          <t>no-coworking-in-building</t>
        </is>
      </c>
      <c r="AQ37" t="inlineStr">
        <is>
          <t>1008207505</t>
        </is>
      </c>
      <c r="AR37" t="n">
        <v>0</v>
      </c>
      <c r="AS37" t="inlineStr">
        <is>
          <t>245,000 sf</t>
        </is>
      </c>
      <c r="AT37" t="inlineStr">
        <is>
          <t>S1;S2</t>
        </is>
      </c>
    </row>
    <row r="38">
      <c r="A38" t="inlineStr">
        <is>
          <t>B-C-048</t>
        </is>
      </c>
      <c r="B38" t="inlineStr">
        <is>
          <t>Aterian</t>
        </is>
      </c>
      <c r="C38" s="2" t="inlineStr">
        <is>
          <t>https://aterian.io</t>
        </is>
      </c>
      <c r="D38" t="inlineStr">
        <is>
          <t>consumer products (e-commerce brands)</t>
        </is>
      </c>
      <c r="E38" t="inlineStr">
        <is>
          <t>B-B-019</t>
        </is>
      </c>
      <c r="F38" t="inlineStr">
        <is>
          <t>37 East 18th Street</t>
        </is>
      </c>
      <c r="G38" t="inlineStr">
        <is>
          <t>unknown</t>
        </is>
      </c>
      <c r="H38" t="inlineStr">
        <is>
          <t>10003</t>
        </is>
      </c>
      <c r="I38" t="n">
        <v>40.737722</v>
      </c>
      <c r="J38" t="n">
        <v>-73.989367</v>
      </c>
      <c r="K38" t="inlineStr">
        <is>
          <t>Y</t>
        </is>
      </c>
      <c r="L38" t="inlineStr">
        <is>
          <t>76-150</t>
        </is>
      </c>
      <c r="M38" t="inlineStr">
        <is>
          <t>whole-company</t>
        </is>
      </c>
      <c r="N38" s="2" t="inlineStr">
        <is>
          <t>https://www.builtinnyc.com/company/aterian</t>
        </is>
      </c>
      <c r="O38" s="2" t="inlineStr">
        <is>
          <t>https://www.builtinnyc.com/company/aterian/offices</t>
        </is>
      </c>
      <c r="P38" t="inlineStr">
        <is>
          <t>2026-10-23</t>
        </is>
      </c>
      <c r="Q38" s="2" t="inlineStr">
        <is>
          <t>https://commercialobserver.com/2026/06/phia-lease-zar-property-37-east-18th-street/</t>
        </is>
      </c>
      <c r="R38" t="inlineStr">
        <is>
          <t>high</t>
        </is>
      </c>
      <c r="S38" t="inlineStr">
        <is>
          <t>N</t>
        </is>
      </c>
      <c r="T38" t="inlineStr"/>
      <c r="U38" t="inlineStr"/>
      <c r="V38" s="3" t="inlineStr">
        <is>
          <t>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is>
      </c>
      <c r="W38" t="inlineStr">
        <is>
          <t>2026-10-23</t>
        </is>
      </c>
      <c r="X38" t="inlineStr">
        <is>
          <t>New York</t>
        </is>
      </c>
      <c r="Y38" t="inlineStr">
        <is>
          <t>Y</t>
        </is>
      </c>
      <c r="Z38" t="inlineStr">
        <is>
          <t>https://www.builtinnyc.com/company/aterian/offices</t>
        </is>
      </c>
      <c r="AA38" t="inlineStr">
        <is>
          <t>122</t>
        </is>
      </c>
      <c r="AB38" t="inlineStr">
        <is>
          <t>agree</t>
        </is>
      </c>
      <c r="AC38" t="inlineStr">
        <is>
          <t>94</t>
        </is>
      </c>
      <c r="AD38" t="inlineStr">
        <is>
          <t>https://www.reveliolabs.com/companies/aterian-group/employees</t>
        </is>
      </c>
      <c r="AE38" t="inlineStr">
        <is>
          <t>2026-08-31</t>
        </is>
      </c>
      <c r="AF38" t="inlineStr">
        <is>
          <t>unknown</t>
        </is>
      </c>
      <c r="AG38" t="inlineStr"/>
      <c r="AH38" t="inlineStr">
        <is>
          <t>unknown</t>
        </is>
      </c>
      <c r="AI38" t="inlineStr">
        <is>
          <t>candidate</t>
        </is>
      </c>
      <c r="AJ38" t="inlineStr">
        <is>
          <t>occupied</t>
        </is>
      </c>
      <c r="AK38" t="inlineStr"/>
      <c r="AL38" t="inlineStr">
        <is>
          <t>2026-10-23</t>
        </is>
      </c>
      <c r="AM38" s="3" t="inlineStr"/>
      <c r="AN38" t="inlineStr">
        <is>
          <t>builtin</t>
        </is>
      </c>
      <c r="AO38" t="inlineStr">
        <is>
          <t>2026-06-03</t>
        </is>
      </c>
      <c r="AP38" t="inlineStr">
        <is>
          <t>no-coworking-in-building</t>
        </is>
      </c>
      <c r="AQ38" t="inlineStr">
        <is>
          <t>1008470029</t>
        </is>
      </c>
      <c r="AR38" t="n">
        <v>0</v>
      </c>
      <c r="AS38" t="inlineStr"/>
      <c r="AT38" t="inlineStr">
        <is>
          <t>S2</t>
        </is>
      </c>
    </row>
    <row r="39">
      <c r="A39" t="inlineStr">
        <is>
          <t>B-C-049</t>
        </is>
      </c>
      <c r="B39" t="inlineStr">
        <is>
          <t>Phia</t>
        </is>
      </c>
      <c r="C39" s="2" t="inlineStr">
        <is>
          <t>https://phia.com</t>
        </is>
      </c>
      <c r="D39" t="inlineStr">
        <is>
          <t>AI shopping assistant (consumer tech)</t>
        </is>
      </c>
      <c r="E39" t="inlineStr">
        <is>
          <t>B-B-019</t>
        </is>
      </c>
      <c r="F39" t="inlineStr">
        <is>
          <t>37 East 18th Street</t>
        </is>
      </c>
      <c r="G39" t="inlineStr">
        <is>
          <t>penthouse</t>
        </is>
      </c>
      <c r="H39" t="inlineStr">
        <is>
          <t>10003</t>
        </is>
      </c>
      <c r="I39" t="n">
        <v>40.737722</v>
      </c>
      <c r="J39" t="n">
        <v>-73.989367</v>
      </c>
      <c r="K39" t="inlineStr">
        <is>
          <t>Y</t>
        </is>
      </c>
      <c r="L39" t="inlineStr">
        <is>
          <t>unknown</t>
        </is>
      </c>
      <c r="M39" t="inlineStr">
        <is>
          <t>unknown</t>
        </is>
      </c>
      <c r="N39" t="inlineStr"/>
      <c r="O39" s="2" t="inlineStr">
        <is>
          <t>https://commercialobserver.com/2026/06/phia-lease-zar-property-37-east-18th-street/</t>
        </is>
      </c>
      <c r="P39" t="inlineStr">
        <is>
          <t>2026-06-03</t>
        </is>
      </c>
      <c r="Q39" t="inlineStr"/>
      <c r="R39" t="inlineStr">
        <is>
          <t>medium</t>
        </is>
      </c>
      <c r="S39" t="inlineStr">
        <is>
          <t>N</t>
        </is>
      </c>
      <c r="T39" t="inlineStr"/>
      <c r="U39" t="inlineStr"/>
      <c r="V39" s="3" t="inlineStr">
        <is>
          <t>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is>
      </c>
      <c r="W39" t="inlineStr">
        <is>
          <t>2026-10-23</t>
        </is>
      </c>
      <c r="X39" t="inlineStr">
        <is>
          <t>unknown</t>
        </is>
      </c>
      <c r="Y39" t="inlineStr">
        <is>
          <t>unknown</t>
        </is>
      </c>
      <c r="Z39" t="inlineStr"/>
      <c r="AA39" t="inlineStr"/>
      <c r="AB39" t="inlineStr">
        <is>
          <t>no-count</t>
        </is>
      </c>
      <c r="AC39" t="inlineStr"/>
      <c r="AD39" t="inlineStr"/>
      <c r="AE39" t="inlineStr"/>
      <c r="AF39" t="inlineStr">
        <is>
          <t>unknown</t>
        </is>
      </c>
      <c r="AG39" t="inlineStr"/>
      <c r="AH39" t="inlineStr">
        <is>
          <t>unknown</t>
        </is>
      </c>
      <c r="AI39" t="inlineStr">
        <is>
          <t>candidate</t>
        </is>
      </c>
      <c r="AJ39" t="inlineStr">
        <is>
          <t>occupancy-unconfirmed</t>
        </is>
      </c>
      <c r="AK39" t="inlineStr"/>
      <c r="AL39" t="inlineStr"/>
      <c r="AM39" s="3" t="inlineStr">
        <is>
          <t>A Built In 'Phia' profile (77 employees, Fairfax VA) could not be tied to this company.</t>
        </is>
      </c>
      <c r="AN39" t="inlineStr">
        <is>
          <t>leasing-press</t>
        </is>
      </c>
      <c r="AO39" t="inlineStr"/>
      <c r="AP39" t="inlineStr">
        <is>
          <t>no-coworking-in-building</t>
        </is>
      </c>
      <c r="AQ39" t="inlineStr">
        <is>
          <t>1008470029</t>
        </is>
      </c>
      <c r="AR39" t="n">
        <v>0</v>
      </c>
      <c r="AS39" t="inlineStr">
        <is>
          <t>8,900 sf</t>
        </is>
      </c>
      <c r="AT39" t="inlineStr">
        <is>
          <t>S1</t>
        </is>
      </c>
    </row>
    <row r="40">
      <c r="A40" t="inlineStr">
        <is>
          <t>B-C-040</t>
        </is>
      </c>
      <c r="B40" t="inlineStr">
        <is>
          <t>Farmacy Beauty</t>
        </is>
      </c>
      <c r="C40" s="2" t="inlineStr">
        <is>
          <t>https://www.farmacybeauty.com</t>
        </is>
      </c>
      <c r="D40" t="inlineStr">
        <is>
          <t>skincare brand</t>
        </is>
      </c>
      <c r="E40" t="inlineStr">
        <is>
          <t>B-B-017</t>
        </is>
      </c>
      <c r="F40" t="inlineStr">
        <is>
          <t>130 Fifth Avenue</t>
        </is>
      </c>
      <c r="G40" t="inlineStr">
        <is>
          <t>4</t>
        </is>
      </c>
      <c r="H40" t="inlineStr">
        <is>
          <t>10011</t>
        </is>
      </c>
      <c r="I40" t="n">
        <v>40.738793</v>
      </c>
      <c r="J40" t="n">
        <v>-73.991823</v>
      </c>
      <c r="K40" t="inlineStr">
        <is>
          <t>Y</t>
        </is>
      </c>
      <c r="L40" t="inlineStr">
        <is>
          <t>unknown</t>
        </is>
      </c>
      <c r="M40" t="inlineStr">
        <is>
          <t>unknown</t>
        </is>
      </c>
      <c r="N40" t="inlineStr"/>
      <c r="O40" s="2" t="inlineStr">
        <is>
          <t>https://www.farmacybeauty.com/pages/contact-us</t>
        </is>
      </c>
      <c r="P40" t="inlineStr">
        <is>
          <t>2026-10-23</t>
        </is>
      </c>
      <c r="Q40" s="2" t="inlineStr">
        <is>
          <t>https://commercialobserver.com/2024/12/airbnb-lease-130-fifth-avenue/</t>
        </is>
      </c>
      <c r="R40" t="inlineStr">
        <is>
          <t>high</t>
        </is>
      </c>
      <c r="S40" t="inlineStr">
        <is>
          <t>N</t>
        </is>
      </c>
      <c r="T40" t="inlineStr"/>
      <c r="U40" t="inlineStr"/>
      <c r="V40" s="3" t="inlineStr">
        <is>
          <t>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is>
      </c>
      <c r="W40" t="inlineStr">
        <is>
          <t>2026-10-23</t>
        </is>
      </c>
      <c r="X40" t="inlineStr">
        <is>
          <t>unknown</t>
        </is>
      </c>
      <c r="Y40" t="inlineStr">
        <is>
          <t>unknown</t>
        </is>
      </c>
      <c r="Z40" t="inlineStr"/>
      <c r="AA40" t="inlineStr"/>
      <c r="AB40" t="inlineStr">
        <is>
          <t>no-count</t>
        </is>
      </c>
      <c r="AC40" t="inlineStr"/>
      <c r="AD40" t="inlineStr"/>
      <c r="AE40" t="inlineStr"/>
      <c r="AF40" t="inlineStr">
        <is>
          <t>Procter &amp; Gamble</t>
        </is>
      </c>
      <c r="AG40" t="inlineStr">
        <is>
          <t>https://www.happi.com/breaking-news/procter-gamble-acquires-farmacy-beauty/ (2021-11-15 acquisition report); farmacybeauty.com/pages/contact-us (opened 2026-10-24) carries P&amp;G sign-up terms</t>
        </is>
      </c>
      <c r="AH40" t="inlineStr">
        <is>
          <t>unknown</t>
        </is>
      </c>
      <c r="AI40" t="inlineStr">
        <is>
          <t>candidate</t>
        </is>
      </c>
      <c r="AJ40" t="inlineStr">
        <is>
          <t>occupied</t>
        </is>
      </c>
      <c r="AK40" t="inlineStr"/>
      <c r="AL40" t="inlineStr"/>
      <c r="AM40" s="3" t="inlineStr">
        <is>
          <t>No opened source gives a count: no Built In profile with a total, the company site publishes none, and LinkedIn was off-limits. Founder to confirm at intake.</t>
        </is>
      </c>
      <c r="AN40" t="inlineStr">
        <is>
          <t>company-site</t>
        </is>
      </c>
      <c r="AO40" t="inlineStr">
        <is>
          <t>2024-12-02</t>
        </is>
      </c>
      <c r="AP40" t="inlineStr">
        <is>
          <t>no-coworking-in-building</t>
        </is>
      </c>
      <c r="AQ40" t="inlineStr">
        <is>
          <t>1008200038</t>
        </is>
      </c>
      <c r="AR40" t="n">
        <v>0</v>
      </c>
      <c r="AS40" t="inlineStr"/>
      <c r="AT40" t="inlineStr">
        <is>
          <t>S2</t>
        </is>
      </c>
    </row>
    <row r="41">
      <c r="A41" t="inlineStr">
        <is>
          <t>B-C-041</t>
        </is>
      </c>
      <c r="B41" t="inlineStr">
        <is>
          <t>Fresh (LVMH)</t>
        </is>
      </c>
      <c r="C41" s="2" t="inlineStr">
        <is>
          <t>https://www.fresh.com</t>
        </is>
      </c>
      <c r="D41" t="inlineStr">
        <is>
          <t>cosmetics brand</t>
        </is>
      </c>
      <c r="E41" t="inlineStr">
        <is>
          <t>B-B-017</t>
        </is>
      </c>
      <c r="F41" t="inlineStr">
        <is>
          <t>130 Fifth Avenue</t>
        </is>
      </c>
      <c r="G41" t="inlineStr">
        <is>
          <t>unknown</t>
        </is>
      </c>
      <c r="H41" t="inlineStr">
        <is>
          <t>10011</t>
        </is>
      </c>
      <c r="I41" t="n">
        <v>40.738793</v>
      </c>
      <c r="J41" t="n">
        <v>-73.991823</v>
      </c>
      <c r="K41" t="inlineStr">
        <is>
          <t>Y</t>
        </is>
      </c>
      <c r="L41" t="inlineStr">
        <is>
          <t>unknown</t>
        </is>
      </c>
      <c r="M41" t="inlineStr">
        <is>
          <t>unknown</t>
        </is>
      </c>
      <c r="N41" t="inlineStr"/>
      <c r="O41" s="2" t="inlineStr">
        <is>
          <t>https://commercialobserver.com/2024/12/airbnb-lease-130-fifth-avenue/</t>
        </is>
      </c>
      <c r="P41" t="inlineStr">
        <is>
          <t>2024-12-02</t>
        </is>
      </c>
      <c r="Q41" t="inlineStr"/>
      <c r="R41" t="inlineStr">
        <is>
          <t>medium</t>
        </is>
      </c>
      <c r="S41" t="inlineStr">
        <is>
          <t>N</t>
        </is>
      </c>
      <c r="T41" t="inlineStr"/>
      <c r="U41" t="inlineStr"/>
      <c r="V41" s="3" t="inlineStr">
        <is>
          <t>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is>
      </c>
      <c r="W41" t="inlineStr">
        <is>
          <t>2026-10-23</t>
        </is>
      </c>
      <c r="X41" t="inlineStr">
        <is>
          <t>unknown</t>
        </is>
      </c>
      <c r="Y41" t="inlineStr">
        <is>
          <t>unknown</t>
        </is>
      </c>
      <c r="Z41" t="inlineStr"/>
      <c r="AA41" t="inlineStr"/>
      <c r="AB41" t="inlineStr">
        <is>
          <t>no-count</t>
        </is>
      </c>
      <c r="AC41" t="inlineStr"/>
      <c r="AD41" t="inlineStr"/>
      <c r="AE41" t="inlineStr"/>
      <c r="AF41" t="inlineStr">
        <is>
          <t>LVMH</t>
        </is>
      </c>
      <c r="AG41" t="inlineStr">
        <is>
          <t>row notes</t>
        </is>
      </c>
      <c r="AH41" t="inlineStr">
        <is>
          <t>unknown</t>
        </is>
      </c>
      <c r="AI41" t="inlineStr">
        <is>
          <t>candidate</t>
        </is>
      </c>
      <c r="AJ41" t="inlineStr">
        <is>
          <t>occupied</t>
        </is>
      </c>
      <c r="AK41" t="inlineStr"/>
      <c r="AL41" t="inlineStr"/>
      <c r="AM41" s="3" t="inlineStr">
        <is>
          <t>No opened source gives a count: no Built In profile with a total, the company site publishes none, and LinkedIn was off-limits. Founder to confirm at intake.</t>
        </is>
      </c>
      <c r="AN41" t="inlineStr">
        <is>
          <t>leasing-press</t>
        </is>
      </c>
      <c r="AO41" t="inlineStr"/>
      <c r="AP41" t="inlineStr">
        <is>
          <t>no-coworking-in-building</t>
        </is>
      </c>
      <c r="AQ41" t="inlineStr">
        <is>
          <t>1008200038</t>
        </is>
      </c>
      <c r="AR41" t="n">
        <v>0</v>
      </c>
      <c r="AS41" t="inlineStr">
        <is>
          <t>26,600 sf</t>
        </is>
      </c>
      <c r="AT41" t="inlineStr">
        <is>
          <t>S2</t>
        </is>
      </c>
    </row>
    <row r="42">
      <c r="A42" t="inlineStr">
        <is>
          <t>B-C-042</t>
        </is>
      </c>
      <c r="B42" t="inlineStr">
        <is>
          <t>VidMob</t>
        </is>
      </c>
      <c r="C42" s="2" t="inlineStr">
        <is>
          <t>https://vidmob.com</t>
        </is>
      </c>
      <c r="D42" t="inlineStr">
        <is>
          <t>software (creative analytics, adtech)</t>
        </is>
      </c>
      <c r="E42" t="inlineStr">
        <is>
          <t>B-B-017</t>
        </is>
      </c>
      <c r="F42" t="inlineStr">
        <is>
          <t>130 Fifth Avenue</t>
        </is>
      </c>
      <c r="G42" t="inlineStr">
        <is>
          <t>unknown</t>
        </is>
      </c>
      <c r="H42" t="inlineStr">
        <is>
          <t>10011</t>
        </is>
      </c>
      <c r="I42" t="n">
        <v>40.738793</v>
      </c>
      <c r="J42" t="n">
        <v>-73.991823</v>
      </c>
      <c r="K42" t="inlineStr">
        <is>
          <t>Y</t>
        </is>
      </c>
      <c r="L42" t="inlineStr">
        <is>
          <t>unknown</t>
        </is>
      </c>
      <c r="M42" t="inlineStr">
        <is>
          <t>unknown</t>
        </is>
      </c>
      <c r="N42" s="2" t="inlineStr">
        <is>
          <t>https://www.builtinnyc.com/company/vidmob</t>
        </is>
      </c>
      <c r="O42" s="2" t="inlineStr">
        <is>
          <t>https://commercialobserver.com/2024/12/airbnb-lease-130-fifth-avenue/</t>
        </is>
      </c>
      <c r="P42" t="inlineStr">
        <is>
          <t>2024-12-02</t>
        </is>
      </c>
      <c r="Q42" t="inlineStr"/>
      <c r="R42" t="inlineStr">
        <is>
          <t>low</t>
        </is>
      </c>
      <c r="S42" t="inlineStr">
        <is>
          <t>N</t>
        </is>
      </c>
      <c r="T42" t="inlineStr"/>
      <c r="U42" t="inlineStr"/>
      <c r="V42" s="3" t="inlineStr">
        <is>
          <t>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is>
      </c>
      <c r="W42" t="inlineStr">
        <is>
          <t>2026-10-23</t>
        </is>
      </c>
      <c r="X42" t="inlineStr">
        <is>
          <t>New York</t>
        </is>
      </c>
      <c r="Y42" t="inlineStr">
        <is>
          <t>Y</t>
        </is>
      </c>
      <c r="Z42" t="inlineStr">
        <is>
          <t>https://www.builtinnyc.com/company/vidmob/offices</t>
        </is>
      </c>
      <c r="AA42" t="inlineStr">
        <is>
          <t>67</t>
        </is>
      </c>
      <c r="AB42" t="inlineStr">
        <is>
          <t>disagree</t>
        </is>
      </c>
      <c r="AC42" t="inlineStr">
        <is>
          <t>90</t>
        </is>
      </c>
      <c r="AD42" t="inlineStr">
        <is>
          <t>https://www.reveliolabs.com/companies/vidmob/employees</t>
        </is>
      </c>
      <c r="AE42" t="inlineStr">
        <is>
          <t>2026-08-31</t>
        </is>
      </c>
      <c r="AF42" t="inlineStr">
        <is>
          <t>unknown</t>
        </is>
      </c>
      <c r="AG42" t="inlineStr"/>
      <c r="AH42" t="inlineStr">
        <is>
          <t>unknown</t>
        </is>
      </c>
      <c r="AI42" t="inlineStr">
        <is>
          <t>candidate</t>
        </is>
      </c>
      <c r="AJ42" t="inlineStr">
        <is>
          <t>occupancy-unconfirmed</t>
        </is>
      </c>
      <c r="AK42" t="inlineStr"/>
      <c r="AL42" t="inlineStr">
        <is>
          <t>2026-10-23</t>
        </is>
      </c>
      <c r="AM42" s="3" t="inlineStr">
        <is>
          <t>Sources disagree: Built In shows 67 (40-75) and Revelio Labs (VidMob, Inc., HQ New York City): about 90 employees worldwide as of March 2026 (76-150). Band left unknown; founder to confirm at intake.</t>
        </is>
      </c>
      <c r="AN42" t="inlineStr">
        <is>
          <t>leasing-press</t>
        </is>
      </c>
      <c r="AO42" t="inlineStr"/>
      <c r="AP42" t="inlineStr">
        <is>
          <t>no-coworking-in-building</t>
        </is>
      </c>
      <c r="AQ42" t="inlineStr">
        <is>
          <t>1008200038</t>
        </is>
      </c>
      <c r="AR42" t="n">
        <v>0</v>
      </c>
      <c r="AS42" t="inlineStr"/>
      <c r="AT42" t="inlineStr">
        <is>
          <t>S2</t>
        </is>
      </c>
    </row>
    <row r="43">
      <c r="A43" t="inlineStr">
        <is>
          <t>B-C-044</t>
        </is>
      </c>
      <c r="B43" t="inlineStr">
        <is>
          <t>Galvanize Climate Solutions</t>
        </is>
      </c>
      <c r="C43" s="2" t="inlineStr">
        <is>
          <t>https://galvanizeclimate.com</t>
        </is>
      </c>
      <c r="D43" t="inlineStr">
        <is>
          <t>climate investment</t>
        </is>
      </c>
      <c r="E43" t="inlineStr">
        <is>
          <t>B-B-018</t>
        </is>
      </c>
      <c r="F43" t="inlineStr">
        <is>
          <t>111 Fifth Avenue</t>
        </is>
      </c>
      <c r="G43" t="inlineStr">
        <is>
          <t>3</t>
        </is>
      </c>
      <c r="H43" t="inlineStr">
        <is>
          <t>10003</t>
        </is>
      </c>
      <c r="I43" t="n">
        <v>40.73865</v>
      </c>
      <c r="J43" t="n">
        <v>-73.991471</v>
      </c>
      <c r="K43" t="inlineStr">
        <is>
          <t>Y</t>
        </is>
      </c>
      <c r="L43" t="inlineStr">
        <is>
          <t>40-75</t>
        </is>
      </c>
      <c r="M43" t="inlineStr">
        <is>
          <t>whole-company</t>
        </is>
      </c>
      <c r="N43" s="2" t="inlineStr">
        <is>
          <t>https://www.builtinnyc.com/company/galvanize-climate-solutions</t>
        </is>
      </c>
      <c r="O43" s="2" t="inlineStr">
        <is>
          <t>https://commercialobserver.com/2026/04/adyen-lease-111-115-fifth-avenue/</t>
        </is>
      </c>
      <c r="P43" t="inlineStr">
        <is>
          <t>2026-04-07</t>
        </is>
      </c>
      <c r="Q43" t="inlineStr"/>
      <c r="R43" t="inlineStr">
        <is>
          <t>medium</t>
        </is>
      </c>
      <c r="S43" t="inlineStr">
        <is>
          <t>N</t>
        </is>
      </c>
      <c r="T43" t="inlineStr"/>
      <c r="U43" t="inlineStr"/>
      <c r="V43" s="3" t="inlineStr">
        <is>
          <t>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is>
      </c>
      <c r="W43" t="inlineStr">
        <is>
          <t>2026-10-23</t>
        </is>
      </c>
      <c r="X43" t="inlineStr">
        <is>
          <t>San Francisco</t>
        </is>
      </c>
      <c r="Y43" t="inlineStr">
        <is>
          <t>N</t>
        </is>
      </c>
      <c r="Z43" t="inlineStr">
        <is>
          <t>https://www.builtinnyc.com/company/galvanize-climate-solutions/offices</t>
        </is>
      </c>
      <c r="AA43" t="inlineStr">
        <is>
          <t>73</t>
        </is>
      </c>
      <c r="AB43" t="inlineStr">
        <is>
          <t>single-source</t>
        </is>
      </c>
      <c r="AC43" t="inlineStr"/>
      <c r="AD43" t="inlineStr"/>
      <c r="AE43" t="inlineStr"/>
      <c r="AF43" t="inlineStr">
        <is>
          <t>unknown</t>
        </is>
      </c>
      <c r="AG43" t="inlineStr"/>
      <c r="AH43" t="inlineStr">
        <is>
          <t>unknown</t>
        </is>
      </c>
      <c r="AI43" t="inlineStr">
        <is>
          <t>candidate</t>
        </is>
      </c>
      <c r="AJ43" t="inlineStr">
        <is>
          <t>signed-not-occupied</t>
        </is>
      </c>
      <c r="AK43" t="inlineStr">
        <is>
          <t>unknown</t>
        </is>
      </c>
      <c r="AL43" t="inlineStr">
        <is>
          <t>2026-10-23</t>
        </is>
      </c>
      <c r="AM43" s="3" t="inlineStr"/>
      <c r="AN43" t="inlineStr">
        <is>
          <t>leasing-press</t>
        </is>
      </c>
      <c r="AO43" t="inlineStr"/>
      <c r="AP43" t="inlineStr">
        <is>
          <t>no-coworking-in-building</t>
        </is>
      </c>
      <c r="AQ43" t="inlineStr">
        <is>
          <t>1008470001</t>
        </is>
      </c>
      <c r="AR43" t="n">
        <v>0</v>
      </c>
      <c r="AS43" t="inlineStr">
        <is>
          <t>20,000 sf</t>
        </is>
      </c>
      <c r="AT43" t="inlineStr">
        <is>
          <t>S1</t>
        </is>
      </c>
    </row>
    <row r="44">
      <c r="A44" t="inlineStr">
        <is>
          <t>B-C-045</t>
        </is>
      </c>
      <c r="B44" t="inlineStr">
        <is>
          <t>LoveShackFancy</t>
        </is>
      </c>
      <c r="C44" s="2" t="inlineStr">
        <is>
          <t>https://www.loveshackfancy.com</t>
        </is>
      </c>
      <c r="D44" t="inlineStr">
        <is>
          <t>fashion brand</t>
        </is>
      </c>
      <c r="E44" t="inlineStr">
        <is>
          <t>B-B-018</t>
        </is>
      </c>
      <c r="F44" t="inlineStr">
        <is>
          <t>111 Fifth Avenue</t>
        </is>
      </c>
      <c r="G44" t="inlineStr">
        <is>
          <t>8</t>
        </is>
      </c>
      <c r="H44" t="inlineStr">
        <is>
          <t>10003</t>
        </is>
      </c>
      <c r="I44" t="n">
        <v>40.73865</v>
      </c>
      <c r="J44" t="n">
        <v>-73.991471</v>
      </c>
      <c r="K44" t="inlineStr">
        <is>
          <t>Y</t>
        </is>
      </c>
      <c r="L44" t="inlineStr">
        <is>
          <t>unknown</t>
        </is>
      </c>
      <c r="M44" t="inlineStr">
        <is>
          <t>unknown</t>
        </is>
      </c>
      <c r="N44" t="inlineStr"/>
      <c r="O44" s="2" t="inlineStr">
        <is>
          <t>https://commercialobserver.com/2025/04/radar-labs-lease-111-fifth-avenue/</t>
        </is>
      </c>
      <c r="P44" t="inlineStr">
        <is>
          <t>2025-04-17</t>
        </is>
      </c>
      <c r="Q44" t="inlineStr"/>
      <c r="R44" t="inlineStr">
        <is>
          <t>medium</t>
        </is>
      </c>
      <c r="S44" t="inlineStr">
        <is>
          <t>N</t>
        </is>
      </c>
      <c r="T44" t="inlineStr"/>
      <c r="U44" t="inlineStr"/>
      <c r="V44" s="3" t="inlineStr">
        <is>
          <t>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is>
      </c>
      <c r="W44" t="inlineStr">
        <is>
          <t>2026-10-23</t>
        </is>
      </c>
      <c r="X44" t="inlineStr">
        <is>
          <t>unknown</t>
        </is>
      </c>
      <c r="Y44" t="inlineStr">
        <is>
          <t>unknown</t>
        </is>
      </c>
      <c r="Z44" t="inlineStr"/>
      <c r="AA44" t="inlineStr"/>
      <c r="AB44" t="inlineStr">
        <is>
          <t>no-count</t>
        </is>
      </c>
      <c r="AC44" t="inlineStr"/>
      <c r="AD44" t="inlineStr"/>
      <c r="AE44" t="inlineStr"/>
      <c r="AF44" t="inlineStr">
        <is>
          <t>unknown</t>
        </is>
      </c>
      <c r="AG44" t="inlineStr"/>
      <c r="AH44" t="inlineStr">
        <is>
          <t>unknown</t>
        </is>
      </c>
      <c r="AI44" t="inlineStr">
        <is>
          <t>candidate</t>
        </is>
      </c>
      <c r="AJ44" t="inlineStr">
        <is>
          <t>occupied</t>
        </is>
      </c>
      <c r="AK44" t="inlineStr"/>
      <c r="AL44" t="inlineStr"/>
      <c r="AM44" s="3" t="inlineStr">
        <is>
          <t>No opened source gives a count: no Built In profile with a total, the company site publishes none, and LinkedIn was off-limits. Founder to confirm at intake.</t>
        </is>
      </c>
      <c r="AN44" t="inlineStr">
        <is>
          <t>leasing-press</t>
        </is>
      </c>
      <c r="AO44" t="inlineStr"/>
      <c r="AP44" t="inlineStr">
        <is>
          <t>no-coworking-in-building</t>
        </is>
      </c>
      <c r="AQ44" t="inlineStr">
        <is>
          <t>1008470001</t>
        </is>
      </c>
      <c r="AR44" t="n">
        <v>0</v>
      </c>
      <c r="AS44" t="inlineStr">
        <is>
          <t>20,000 sf</t>
        </is>
      </c>
      <c r="AT44" t="inlineStr">
        <is>
          <t>S2</t>
        </is>
      </c>
    </row>
    <row r="45">
      <c r="A45" t="inlineStr">
        <is>
          <t>B-C-046</t>
        </is>
      </c>
      <c r="B45" t="inlineStr">
        <is>
          <t>Radar</t>
        </is>
      </c>
      <c r="C45" s="2" t="inlineStr">
        <is>
          <t>https://radar.com</t>
        </is>
      </c>
      <c r="D45" t="inlineStr">
        <is>
          <t>location data software</t>
        </is>
      </c>
      <c r="E45" t="inlineStr">
        <is>
          <t>B-B-018</t>
        </is>
      </c>
      <c r="F45" t="inlineStr">
        <is>
          <t>111 Fifth Avenue</t>
        </is>
      </c>
      <c r="G45" t="inlineStr">
        <is>
          <t>unknown</t>
        </is>
      </c>
      <c r="H45" t="inlineStr">
        <is>
          <t>10003</t>
        </is>
      </c>
      <c r="I45" t="n">
        <v>40.73865</v>
      </c>
      <c r="J45" t="n">
        <v>-73.991471</v>
      </c>
      <c r="K45" t="inlineStr">
        <is>
          <t>Y</t>
        </is>
      </c>
      <c r="L45" t="inlineStr">
        <is>
          <t>unknown</t>
        </is>
      </c>
      <c r="M45" t="inlineStr">
        <is>
          <t>unknown</t>
        </is>
      </c>
      <c r="N45" s="2" t="inlineStr">
        <is>
          <t>https://www.builtinnyc.com/company/radar</t>
        </is>
      </c>
      <c r="O45" s="2" t="inlineStr">
        <is>
          <t>https://commercialobserver.com/2026/04/adyen-lease-111-115-fifth-avenue/</t>
        </is>
      </c>
      <c r="P45" t="inlineStr">
        <is>
          <t>2026-04-07</t>
        </is>
      </c>
      <c r="Q45" t="inlineStr"/>
      <c r="R45" t="inlineStr">
        <is>
          <t>medium</t>
        </is>
      </c>
      <c r="S45" t="inlineStr">
        <is>
          <t>N</t>
        </is>
      </c>
      <c r="T45" t="inlineStr"/>
      <c r="U45" t="inlineStr"/>
      <c r="V45" s="3" t="inlineStr">
        <is>
          <t>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is>
      </c>
      <c r="W45" t="inlineStr">
        <is>
          <t>2026-10-23</t>
        </is>
      </c>
      <c r="X45" t="inlineStr">
        <is>
          <t>New York</t>
        </is>
      </c>
      <c r="Y45" t="inlineStr">
        <is>
          <t>Y</t>
        </is>
      </c>
      <c r="Z45" t="inlineStr">
        <is>
          <t>https://www.builtinnyc.com/company/radar/offices</t>
        </is>
      </c>
      <c r="AA45" t="inlineStr">
        <is>
          <t>64</t>
        </is>
      </c>
      <c r="AB45" t="inlineStr">
        <is>
          <t>disagree</t>
        </is>
      </c>
      <c r="AC45" t="inlineStr">
        <is>
          <t>99</t>
        </is>
      </c>
      <c r="AD45" t="inlineStr">
        <is>
          <t>https://www.reveliolabs.com/companies/radar-labs/employees</t>
        </is>
      </c>
      <c r="AE45" t="inlineStr">
        <is>
          <t>2026-08-31</t>
        </is>
      </c>
      <c r="AF45" t="inlineStr">
        <is>
          <t>unknown</t>
        </is>
      </c>
      <c r="AG45" t="inlineStr"/>
      <c r="AH45" t="inlineStr">
        <is>
          <t>unknown</t>
        </is>
      </c>
      <c r="AI45" t="inlineStr">
        <is>
          <t>candidate</t>
        </is>
      </c>
      <c r="AJ45" t="inlineStr">
        <is>
          <t>occupancy-unconfirmed</t>
        </is>
      </c>
      <c r="AK45" t="inlineStr"/>
      <c r="AL45" t="inlineStr">
        <is>
          <t>2026-10-23</t>
        </is>
      </c>
      <c r="AM45" s="3" t="inlineStr">
        <is>
          <t>Sources disagree: Built In shows 64 (40-75) and Revelio Labs (Radar Labs, Inc., HQ New York City): about 99 employees worldwide as of March 2026 (76-150). Band left unknown; founder to confirm at intake.</t>
        </is>
      </c>
      <c r="AN45" t="inlineStr">
        <is>
          <t>leasing-press</t>
        </is>
      </c>
      <c r="AO45" t="inlineStr"/>
      <c r="AP45" t="inlineStr">
        <is>
          <t>no-coworking-in-building</t>
        </is>
      </c>
      <c r="AQ45" t="inlineStr">
        <is>
          <t>1008470001</t>
        </is>
      </c>
      <c r="AR45" t="n">
        <v>0</v>
      </c>
      <c r="AS45" t="inlineStr"/>
      <c r="AT45" t="inlineStr">
        <is>
          <t>S1</t>
        </is>
      </c>
    </row>
    <row r="46">
      <c r="A46" t="inlineStr">
        <is>
          <t>B-C-047</t>
        </is>
      </c>
      <c r="B46" t="inlineStr">
        <is>
          <t>The Vita Coco Company</t>
        </is>
      </c>
      <c r="C46" s="2" t="inlineStr">
        <is>
          <t>https://thevitacococompany.com</t>
        </is>
      </c>
      <c r="D46" t="inlineStr">
        <is>
          <t>beverage brand (coconut water)</t>
        </is>
      </c>
      <c r="E46" t="inlineStr">
        <is>
          <t>B-B-018</t>
        </is>
      </c>
      <c r="F46" t="inlineStr">
        <is>
          <t>111 Fifth Avenue</t>
        </is>
      </c>
      <c r="G46" t="inlineStr">
        <is>
          <t>2</t>
        </is>
      </c>
      <c r="H46" t="inlineStr">
        <is>
          <t>10003</t>
        </is>
      </c>
      <c r="I46" t="n">
        <v>40.73865</v>
      </c>
      <c r="J46" t="n">
        <v>-73.991471</v>
      </c>
      <c r="K46" t="inlineStr">
        <is>
          <t>Y</t>
        </is>
      </c>
      <c r="L46" t="inlineStr">
        <is>
          <t>251-500</t>
        </is>
      </c>
      <c r="M46" t="inlineStr">
        <is>
          <t>whole-company</t>
        </is>
      </c>
      <c r="N46" s="2" t="inlineStr">
        <is>
          <t>https://www.sec.gov/Archives/edgar/data/1482981/000148298126000022/coco-20251231.htm</t>
        </is>
      </c>
      <c r="O46" s="2" t="inlineStr">
        <is>
          <t>https://www.sec.gov/Archives/edgar/data/1482981/000148298126000022/coco-20251231.htm</t>
        </is>
      </c>
      <c r="P46" t="inlineStr">
        <is>
          <t>2026-02-18</t>
        </is>
      </c>
      <c r="Q46" s="2" t="inlineStr">
        <is>
          <t>https://commercialobserver.com/2024/09/vita-coco-111-fifth-avenue/</t>
        </is>
      </c>
      <c r="R46" t="inlineStr">
        <is>
          <t>high</t>
        </is>
      </c>
      <c r="S46" t="inlineStr">
        <is>
          <t>N</t>
        </is>
      </c>
      <c r="T46" t="inlineStr"/>
      <c r="U46" t="inlineStr"/>
      <c r="V46" s="3" t="inlineStr">
        <is>
          <t>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is>
      </c>
      <c r="W46" t="inlineStr">
        <is>
          <t>2026-10-23</t>
        </is>
      </c>
      <c r="X46" t="inlineStr">
        <is>
          <t>New York</t>
        </is>
      </c>
      <c r="Y46" t="inlineStr">
        <is>
          <t>Y</t>
        </is>
      </c>
      <c r="Z46" t="inlineStr">
        <is>
          <t>https://www.reveliolabs.com/companies/vita-coco/employees</t>
        </is>
      </c>
      <c r="AA46" t="inlineStr">
        <is>
          <t>336</t>
        </is>
      </c>
      <c r="AB46" t="inlineStr">
        <is>
          <t>agree</t>
        </is>
      </c>
      <c r="AC46" t="inlineStr">
        <is>
          <t>368</t>
        </is>
      </c>
      <c r="AD46" t="inlineStr">
        <is>
          <t>https://www.reveliolabs.com/companies/vita-coco/employees</t>
        </is>
      </c>
      <c r="AE46" t="inlineStr">
        <is>
          <t>2026-08-31</t>
        </is>
      </c>
      <c r="AF46" t="inlineStr">
        <is>
          <t>unknown</t>
        </is>
      </c>
      <c r="AG46" t="inlineStr"/>
      <c r="AH46" t="inlineStr">
        <is>
          <t>unknown</t>
        </is>
      </c>
      <c r="AI46" t="inlineStr">
        <is>
          <t>candidate</t>
        </is>
      </c>
      <c r="AJ46" t="inlineStr">
        <is>
          <t>occupied</t>
        </is>
      </c>
      <c r="AK46" t="inlineStr"/>
      <c r="AL46" t="inlineStr">
        <is>
          <t>2026-02-18</t>
        </is>
      </c>
      <c r="AM46" s="3" t="inlineStr"/>
      <c r="AN46" t="inlineStr">
        <is>
          <t>other</t>
        </is>
      </c>
      <c r="AO46" t="inlineStr">
        <is>
          <t>2024-09-10</t>
        </is>
      </c>
      <c r="AP46" t="inlineStr">
        <is>
          <t>no-coworking-in-building</t>
        </is>
      </c>
      <c r="AQ46" t="inlineStr">
        <is>
          <t>1008470001</t>
        </is>
      </c>
      <c r="AR46" t="n">
        <v>0</v>
      </c>
      <c r="AS46" t="inlineStr">
        <is>
          <t>22,530 sf</t>
        </is>
      </c>
      <c r="AT46" t="inlineStr">
        <is>
          <t>S2</t>
        </is>
      </c>
    </row>
    <row r="47">
      <c r="A47" t="inlineStr">
        <is>
          <t>B-C-050</t>
        </is>
      </c>
      <c r="B47" t="inlineStr">
        <is>
          <t>Global Trading Systems (GTS)</t>
        </is>
      </c>
      <c r="C47" s="2" t="inlineStr">
        <is>
          <t>https://gtsx.com</t>
        </is>
      </c>
      <c r="D47" t="inlineStr">
        <is>
          <t>electronic trading / market making</t>
        </is>
      </c>
      <c r="E47" t="inlineStr">
        <is>
          <t>B-B-020</t>
        </is>
      </c>
      <c r="F47" t="inlineStr">
        <is>
          <t>625 Avenue of the Americas</t>
        </is>
      </c>
      <c r="G47" t="inlineStr">
        <is>
          <t>3</t>
        </is>
      </c>
      <c r="H47" t="inlineStr">
        <is>
          <t>10011</t>
        </is>
      </c>
      <c r="I47" t="n">
        <v>40.74024</v>
      </c>
      <c r="J47" t="n">
        <v>-73.994996</v>
      </c>
      <c r="K47" t="inlineStr">
        <is>
          <t>Y</t>
        </is>
      </c>
      <c r="L47" t="inlineStr">
        <is>
          <t>251-500</t>
        </is>
      </c>
      <c r="M47" t="inlineStr">
        <is>
          <t>whole-company</t>
        </is>
      </c>
      <c r="N47" s="2" t="inlineStr">
        <is>
          <t>https://www.builtinnyc.com/company/gts</t>
        </is>
      </c>
      <c r="O47" s="2" t="inlineStr">
        <is>
          <t>https://commercialobserver.com/2024/11/trading-firm-gts-lease-625-avenue-of-the-americas/</t>
        </is>
      </c>
      <c r="P47" t="inlineStr">
        <is>
          <t>2024-11-21</t>
        </is>
      </c>
      <c r="Q47" s="2" t="inlineStr">
        <is>
          <t>https://gtsx.com/locations/</t>
        </is>
      </c>
      <c r="R47" t="inlineStr">
        <is>
          <t>high</t>
        </is>
      </c>
      <c r="S47" t="inlineStr">
        <is>
          <t>N</t>
        </is>
      </c>
      <c r="T47" t="inlineStr"/>
      <c r="U47" t="inlineStr"/>
      <c r="V47" s="3" t="inlineStr">
        <is>
          <t>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47" t="inlineStr">
        <is>
          <t>2026-10-23</t>
        </is>
      </c>
      <c r="X47" t="inlineStr">
        <is>
          <t>New York</t>
        </is>
      </c>
      <c r="Y47" t="inlineStr">
        <is>
          <t>Y</t>
        </is>
      </c>
      <c r="Z47" t="inlineStr">
        <is>
          <t>https://www.builtinnyc.com/company/gts/offices</t>
        </is>
      </c>
      <c r="AA47" t="inlineStr">
        <is>
          <t>420</t>
        </is>
      </c>
      <c r="AB47" t="inlineStr">
        <is>
          <t>agree</t>
        </is>
      </c>
      <c r="AC47" t="inlineStr">
        <is>
          <t>410</t>
        </is>
      </c>
      <c r="AD47" t="inlineStr">
        <is>
          <t>https://www.reveliolabs.com/companies/global-trading-systems/employees</t>
        </is>
      </c>
      <c r="AE47" t="inlineStr">
        <is>
          <t>2026-08-31</t>
        </is>
      </c>
      <c r="AF47" t="inlineStr">
        <is>
          <t>unknown</t>
        </is>
      </c>
      <c r="AG47" t="inlineStr"/>
      <c r="AH47" t="inlineStr">
        <is>
          <t>unknown</t>
        </is>
      </c>
      <c r="AI47" t="inlineStr">
        <is>
          <t>candidate</t>
        </is>
      </c>
      <c r="AJ47" t="inlineStr">
        <is>
          <t>occupied</t>
        </is>
      </c>
      <c r="AK47" t="inlineStr"/>
      <c r="AL47" t="inlineStr">
        <is>
          <t>2026-10-23</t>
        </is>
      </c>
      <c r="AM47" s="3" t="inlineStr"/>
      <c r="AN47" t="inlineStr">
        <is>
          <t>leasing-press</t>
        </is>
      </c>
      <c r="AO47" t="inlineStr">
        <is>
          <t>2026-10-24</t>
        </is>
      </c>
      <c r="AP47" t="inlineStr">
        <is>
          <t>no-coworking-in-building</t>
        </is>
      </c>
      <c r="AQ47" t="inlineStr">
        <is>
          <t>1007940030</t>
        </is>
      </c>
      <c r="AR47" t="n">
        <v>0</v>
      </c>
      <c r="AS47" t="inlineStr">
        <is>
          <t>35,156 sf</t>
        </is>
      </c>
      <c r="AT47" t="inlineStr">
        <is>
          <t>S2</t>
        </is>
      </c>
    </row>
    <row r="48">
      <c r="A48" t="inlineStr">
        <is>
          <t>B-C-052</t>
        </is>
      </c>
      <c r="B48" t="inlineStr">
        <is>
          <t>Bombas</t>
        </is>
      </c>
      <c r="C48" s="2" t="inlineStr">
        <is>
          <t>https://bombas.com</t>
        </is>
      </c>
      <c r="D48" t="inlineStr">
        <is>
          <t>apparel brand (socks and basics)</t>
        </is>
      </c>
      <c r="E48" t="inlineStr">
        <is>
          <t>B-B-023</t>
        </is>
      </c>
      <c r="F48" t="inlineStr">
        <is>
          <t>881 Broadway</t>
        </is>
      </c>
      <c r="G48" t="inlineStr">
        <is>
          <t>2</t>
        </is>
      </c>
      <c r="H48" t="inlineStr">
        <is>
          <t>10003</t>
        </is>
      </c>
      <c r="I48" t="n">
        <v>40.738311</v>
      </c>
      <c r="J48" t="n">
        <v>-73.990185</v>
      </c>
      <c r="K48" t="inlineStr">
        <is>
          <t>Y</t>
        </is>
      </c>
      <c r="L48" t="inlineStr">
        <is>
          <t>unknown</t>
        </is>
      </c>
      <c r="M48" t="inlineStr">
        <is>
          <t>unknown</t>
        </is>
      </c>
      <c r="N48" s="2" t="inlineStr">
        <is>
          <t>https://www.builtinnyc.com/company/bombas</t>
        </is>
      </c>
      <c r="O48" s="2" t="inlineStr">
        <is>
          <t>https://www.builtinnyc.com/company/bombas/offices</t>
        </is>
      </c>
      <c r="P48" t="inlineStr">
        <is>
          <t>2026-10-23</t>
        </is>
      </c>
      <c r="Q48" s="2" t="inlineStr">
        <is>
          <t>https://commercialobserver.com/2019/04/bombas-lease-881-broadway-the-winter-organization/</t>
        </is>
      </c>
      <c r="R48" t="inlineStr">
        <is>
          <t>low</t>
        </is>
      </c>
      <c r="S48" t="inlineStr">
        <is>
          <t>N</t>
        </is>
      </c>
      <c r="T48" t="inlineStr"/>
      <c r="U48" t="inlineStr"/>
      <c r="V48" s="3" t="inlineStr">
        <is>
          <t>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is>
      </c>
      <c r="W48" t="inlineStr">
        <is>
          <t>2026-10-23</t>
        </is>
      </c>
      <c r="X48" t="inlineStr">
        <is>
          <t>New York</t>
        </is>
      </c>
      <c r="Y48" t="inlineStr">
        <is>
          <t>Y</t>
        </is>
      </c>
      <c r="Z48" t="inlineStr">
        <is>
          <t>https://www.builtinnyc.com/company/bombas/offices</t>
        </is>
      </c>
      <c r="AA48" t="inlineStr">
        <is>
          <t>223</t>
        </is>
      </c>
      <c r="AB48" t="inlineStr">
        <is>
          <t>disagree</t>
        </is>
      </c>
      <c r="AC48" t="inlineStr">
        <is>
          <t>303</t>
        </is>
      </c>
      <c r="AD48" t="inlineStr">
        <is>
          <t>https://www.reveliolabs.com/companies/bombas/employees</t>
        </is>
      </c>
      <c r="AE48" t="inlineStr">
        <is>
          <t>2026-08-31</t>
        </is>
      </c>
      <c r="AF48" t="inlineStr">
        <is>
          <t>unknown</t>
        </is>
      </c>
      <c r="AG48" t="inlineStr"/>
      <c r="AH48" t="inlineStr">
        <is>
          <t>security desk</t>
        </is>
      </c>
      <c r="AI48" t="inlineStr">
        <is>
          <t>candidate</t>
        </is>
      </c>
      <c r="AJ48" t="inlineStr">
        <is>
          <t>occupied</t>
        </is>
      </c>
      <c r="AK48" t="inlineStr"/>
      <c r="AL48" t="inlineStr">
        <is>
          <t>2026-10-23</t>
        </is>
      </c>
      <c r="AM48" s="3" t="inlineStr">
        <is>
          <t>Sources disagree: Built In shows 223 (151-250) and Revelio Labs (Bombas LLC, HQ New York City): about 303 employees worldwide as of March 2026 (251-500). Band left unknown; founder to confirm at intake.</t>
        </is>
      </c>
      <c r="AN48" t="inlineStr">
        <is>
          <t>builtin</t>
        </is>
      </c>
      <c r="AO48" t="inlineStr">
        <is>
          <t>2019-04-10</t>
        </is>
      </c>
      <c r="AP48" t="inlineStr">
        <is>
          <t>no-coworking-in-building</t>
        </is>
      </c>
      <c r="AQ48" t="inlineStr">
        <is>
          <t>1008470062</t>
        </is>
      </c>
      <c r="AR48" t="n">
        <v>0</v>
      </c>
      <c r="AS48" t="inlineStr">
        <is>
          <t>33,300 sf</t>
        </is>
      </c>
      <c r="AT48" t="inlineStr">
        <is>
          <t>S2</t>
        </is>
      </c>
    </row>
    <row r="49">
      <c r="A49" t="inlineStr">
        <is>
          <t>B-C-051</t>
        </is>
      </c>
      <c r="B49" t="inlineStr">
        <is>
          <t>Morning Brew</t>
        </is>
      </c>
      <c r="C49" s="2" t="inlineStr">
        <is>
          <t>https://www.morningbrew.com</t>
        </is>
      </c>
      <c r="D49" t="inlineStr">
        <is>
          <t>digital media (business newsletters)</t>
        </is>
      </c>
      <c r="E49" t="inlineStr">
        <is>
          <t>B-B-022</t>
        </is>
      </c>
      <c r="F49" t="inlineStr">
        <is>
          <t>22 West 19th Street</t>
        </is>
      </c>
      <c r="G49" t="inlineStr">
        <is>
          <t>3-4</t>
        </is>
      </c>
      <c r="H49" t="inlineStr">
        <is>
          <t>10011</t>
        </is>
      </c>
      <c r="I49" t="n">
        <v>40.739487</v>
      </c>
      <c r="J49" t="n">
        <v>-73.99283</v>
      </c>
      <c r="K49" t="inlineStr">
        <is>
          <t>Y</t>
        </is>
      </c>
      <c r="L49" t="inlineStr">
        <is>
          <t>251-500</t>
        </is>
      </c>
      <c r="M49" t="inlineStr">
        <is>
          <t>whole-company</t>
        </is>
      </c>
      <c r="N49" s="2" t="inlineStr">
        <is>
          <t>https://www.builtinnyc.com/company/morning-brew</t>
        </is>
      </c>
      <c r="O49" s="2" t="inlineStr">
        <is>
          <t>https://www.builtinnyc.com/company/morning-brew/offices</t>
        </is>
      </c>
      <c r="P49" t="inlineStr">
        <is>
          <t>2026-10-23</t>
        </is>
      </c>
      <c r="Q49" s="2" t="inlineStr">
        <is>
          <t>https://commercialobserver.com/2022/02/morning-brew-lease-flatiron-district-22-west-19th-street-kaufman-organization/</t>
        </is>
      </c>
      <c r="R49" t="inlineStr">
        <is>
          <t>low</t>
        </is>
      </c>
      <c r="S49" t="inlineStr">
        <is>
          <t>N</t>
        </is>
      </c>
      <c r="T49" t="inlineStr"/>
      <c r="U49" t="inlineStr"/>
      <c r="V49" s="3" t="inlineStr">
        <is>
          <t>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W49" t="inlineStr">
        <is>
          <t>2026-10-23</t>
        </is>
      </c>
      <c r="X49" t="inlineStr">
        <is>
          <t>New York</t>
        </is>
      </c>
      <c r="Y49" t="inlineStr">
        <is>
          <t>Y</t>
        </is>
      </c>
      <c r="Z49" t="inlineStr">
        <is>
          <t>https://www.builtinnyc.com/company/morning-brew/offices</t>
        </is>
      </c>
      <c r="AA49" t="inlineStr">
        <is>
          <t>345</t>
        </is>
      </c>
      <c r="AB49" t="inlineStr">
        <is>
          <t>agree</t>
        </is>
      </c>
      <c r="AC49" t="inlineStr">
        <is>
          <t>286</t>
        </is>
      </c>
      <c r="AD49" t="inlineStr">
        <is>
          <t>https://www.reveliolabs.com/companies/morning-brew/employees</t>
        </is>
      </c>
      <c r="AE49" t="inlineStr">
        <is>
          <t>2026-08-31</t>
        </is>
      </c>
      <c r="AF49" t="inlineStr">
        <is>
          <t>Insider Inc. (majority owner)</t>
        </is>
      </c>
      <c r="AG49" t="inlineStr">
        <is>
          <t>row notes</t>
        </is>
      </c>
      <c r="AH49" t="inlineStr">
        <is>
          <t>unknown</t>
        </is>
      </c>
      <c r="AI49" t="inlineStr">
        <is>
          <t>candidate</t>
        </is>
      </c>
      <c r="AJ49" t="inlineStr">
        <is>
          <t>occupied</t>
        </is>
      </c>
      <c r="AK49" t="inlineStr"/>
      <c r="AL49" t="inlineStr">
        <is>
          <t>2026-10-23</t>
        </is>
      </c>
      <c r="AM49" s="3" t="inlineStr"/>
      <c r="AN49" t="inlineStr">
        <is>
          <t>builtin</t>
        </is>
      </c>
      <c r="AO49" t="inlineStr">
        <is>
          <t>2022-02-24</t>
        </is>
      </c>
      <c r="AP49" t="inlineStr">
        <is>
          <t>no-coworking-in-building</t>
        </is>
      </c>
      <c r="AQ49" t="inlineStr">
        <is>
          <t>1008200026</t>
        </is>
      </c>
      <c r="AR49" t="n">
        <v>0</v>
      </c>
      <c r="AS49" t="inlineStr">
        <is>
          <t>37,650 sf</t>
        </is>
      </c>
      <c r="AT49" t="inlineStr">
        <is>
          <t>S2</t>
        </is>
      </c>
    </row>
    <row r="50">
      <c r="A50" t="inlineStr">
        <is>
          <t>B-C-054</t>
        </is>
      </c>
      <c r="B50" t="inlineStr">
        <is>
          <t>Left/Right</t>
        </is>
      </c>
      <c r="C50" t="inlineStr">
        <is>
          <t>unknown</t>
        </is>
      </c>
      <c r="D50" t="inlineStr">
        <is>
          <t>TV and documentary production</t>
        </is>
      </c>
      <c r="E50" t="inlineStr">
        <is>
          <t>B-B-025</t>
        </is>
      </c>
      <c r="F50" t="inlineStr">
        <is>
          <t>39 West 19th Street</t>
        </is>
      </c>
      <c r="G50" t="inlineStr">
        <is>
          <t>7, 9-10</t>
        </is>
      </c>
      <c r="H50" t="inlineStr">
        <is>
          <t>10011</t>
        </is>
      </c>
      <c r="I50" t="n">
        <v>40.740157</v>
      </c>
      <c r="J50" t="n">
        <v>-73.993377</v>
      </c>
      <c r="K50" t="inlineStr">
        <is>
          <t>Y</t>
        </is>
      </c>
      <c r="L50" t="inlineStr">
        <is>
          <t>unknown</t>
        </is>
      </c>
      <c r="M50" t="inlineStr">
        <is>
          <t>unknown</t>
        </is>
      </c>
      <c r="N50" t="inlineStr"/>
      <c r="O50" s="2" t="inlineStr">
        <is>
          <t>https://commercialobserver.com/2019/10/left-right-lease-39-west-19th-street-rosen-family/</t>
        </is>
      </c>
      <c r="P50" t="inlineStr">
        <is>
          <t>2019-10-28</t>
        </is>
      </c>
      <c r="Q50" t="inlineStr"/>
      <c r="R50" t="inlineStr">
        <is>
          <t>low</t>
        </is>
      </c>
      <c r="S50" t="inlineStr">
        <is>
          <t>N</t>
        </is>
      </c>
      <c r="T50" t="inlineStr"/>
      <c r="U50" t="inlineStr"/>
      <c r="V50" s="3" t="inlineStr">
        <is>
          <t>10-year renewal (2019) of 34,000 sf on floors 7, 9 and 10 with production and editing space. Not re-confirmed.</t>
        </is>
      </c>
      <c r="W50" t="inlineStr">
        <is>
          <t>2026-10-23</t>
        </is>
      </c>
      <c r="X50" t="inlineStr">
        <is>
          <t>unknown</t>
        </is>
      </c>
      <c r="Y50" t="inlineStr">
        <is>
          <t>unknown</t>
        </is>
      </c>
      <c r="Z50" t="inlineStr"/>
      <c r="AA50" t="inlineStr"/>
      <c r="AB50" t="inlineStr">
        <is>
          <t>no-count</t>
        </is>
      </c>
      <c r="AC50" t="inlineStr"/>
      <c r="AD50" t="inlineStr"/>
      <c r="AE50" t="inlineStr"/>
      <c r="AF50" t="inlineStr">
        <is>
          <t>unknown</t>
        </is>
      </c>
      <c r="AG50" t="inlineStr"/>
      <c r="AH50" t="inlineStr">
        <is>
          <t>unknown</t>
        </is>
      </c>
      <c r="AI50" t="inlineStr">
        <is>
          <t>candidate</t>
        </is>
      </c>
      <c r="AJ50" t="inlineStr">
        <is>
          <t>occupancy-unconfirmed</t>
        </is>
      </c>
      <c r="AK50" t="inlineStr"/>
      <c r="AL50" t="inlineStr"/>
      <c r="AM50" s="3" t="inlineStr">
        <is>
          <t>No opened source gives a count: no Built In profile with a total, the company site publishes none, and LinkedIn was off-limits. Founder to confirm at intake.</t>
        </is>
      </c>
      <c r="AN50" t="inlineStr">
        <is>
          <t>leasing-press</t>
        </is>
      </c>
      <c r="AO50" t="inlineStr"/>
      <c r="AP50" t="inlineStr">
        <is>
          <t>no-coworking-in-building</t>
        </is>
      </c>
      <c r="AQ50" t="inlineStr">
        <is>
          <t>1008210014</t>
        </is>
      </c>
      <c r="AR50" t="n">
        <v>0</v>
      </c>
      <c r="AS50" t="inlineStr">
        <is>
          <t>34,000 sf</t>
        </is>
      </c>
      <c r="AT50" t="inlineStr">
        <is>
          <t>S2</t>
        </is>
      </c>
    </row>
    <row r="51">
      <c r="A51" t="inlineStr">
        <is>
          <t>B-C-053</t>
        </is>
      </c>
      <c r="B51" t="inlineStr">
        <is>
          <t>Extend AI</t>
        </is>
      </c>
      <c r="C51" s="2" t="inlineStr">
        <is>
          <t>https://www.extend.ai</t>
        </is>
      </c>
      <c r="D51" t="inlineStr">
        <is>
          <t>software (AI document processing)</t>
        </is>
      </c>
      <c r="E51" t="inlineStr">
        <is>
          <t>B-B-024</t>
        </is>
      </c>
      <c r="F51" t="inlineStr">
        <is>
          <t>119 Fifth Avenue</t>
        </is>
      </c>
      <c r="G51" t="inlineStr">
        <is>
          <t>6</t>
        </is>
      </c>
      <c r="H51" t="inlineStr">
        <is>
          <t>10003</t>
        </is>
      </c>
      <c r="I51" t="n">
        <v>40.739228</v>
      </c>
      <c r="J51" t="n">
        <v>-73.99105</v>
      </c>
      <c r="K51" t="inlineStr">
        <is>
          <t>Y</t>
        </is>
      </c>
      <c r="L51" t="inlineStr">
        <is>
          <t>unknown</t>
        </is>
      </c>
      <c r="M51" t="inlineStr">
        <is>
          <t>unknown</t>
        </is>
      </c>
      <c r="N51" t="inlineStr"/>
      <c r="O51" s="2" t="inlineStr">
        <is>
          <t>https://commercialobserver.com/2026/08/extend-ai-lease-119-fifth-avenue/</t>
        </is>
      </c>
      <c r="P51" t="inlineStr">
        <is>
          <t>2026-08-07</t>
        </is>
      </c>
      <c r="Q51" s="2" t="inlineStr">
        <is>
          <t>https://www.extend.ai/</t>
        </is>
      </c>
      <c r="R51" t="inlineStr">
        <is>
          <t>high</t>
        </is>
      </c>
      <c r="S51" t="inlineStr">
        <is>
          <t>N</t>
        </is>
      </c>
      <c r="T51" t="inlineStr"/>
      <c r="U51" t="inlineStr"/>
      <c r="V51" s="3" t="inlineStr">
        <is>
          <t>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t>
        </is>
      </c>
      <c r="W51" t="inlineStr">
        <is>
          <t>2026-10-23</t>
        </is>
      </c>
      <c r="X51" t="inlineStr">
        <is>
          <t>unknown</t>
        </is>
      </c>
      <c r="Y51" t="inlineStr">
        <is>
          <t>unknown</t>
        </is>
      </c>
      <c r="Z51" t="inlineStr"/>
      <c r="AA51" t="inlineStr"/>
      <c r="AB51" t="inlineStr">
        <is>
          <t>no-count</t>
        </is>
      </c>
      <c r="AC51" t="inlineStr"/>
      <c r="AD51" t="inlineStr"/>
      <c r="AE51" t="inlineStr"/>
      <c r="AF51" t="inlineStr">
        <is>
          <t>unknown</t>
        </is>
      </c>
      <c r="AG51" t="inlineStr"/>
      <c r="AH51" t="inlineStr">
        <is>
          <t>unknown</t>
        </is>
      </c>
      <c r="AI51" t="inlineStr">
        <is>
          <t>candidate</t>
        </is>
      </c>
      <c r="AJ51" t="inlineStr">
        <is>
          <t>occupied</t>
        </is>
      </c>
      <c r="AK51" t="inlineStr"/>
      <c r="AL51" t="inlineStr"/>
      <c r="AM51" s="3" t="inlineStr">
        <is>
          <t>No opened source gives a count: no Built In profile with a total, the company site publishes none, and LinkedIn was off-limits. Founder to confirm at intake.</t>
        </is>
      </c>
      <c r="AN51" t="inlineStr">
        <is>
          <t>leasing-press</t>
        </is>
      </c>
      <c r="AO51" t="inlineStr">
        <is>
          <t>2026-10-23</t>
        </is>
      </c>
      <c r="AP51" t="inlineStr">
        <is>
          <t>no-coworking-in-building</t>
        </is>
      </c>
      <c r="AQ51" t="inlineStr">
        <is>
          <t>1008480001</t>
        </is>
      </c>
      <c r="AR51" t="n">
        <v>0</v>
      </c>
      <c r="AS51" t="inlineStr">
        <is>
          <t>8,750 sf</t>
        </is>
      </c>
      <c r="AT51" t="inlineStr">
        <is>
          <t>S2</t>
        </is>
      </c>
    </row>
    <row r="52">
      <c r="A52" t="inlineStr">
        <is>
          <t>B-C-055</t>
        </is>
      </c>
      <c r="B52" t="inlineStr">
        <is>
          <t>Stash</t>
        </is>
      </c>
      <c r="C52" s="2" t="inlineStr">
        <is>
          <t>https://www.stash.com</t>
        </is>
      </c>
      <c r="D52" t="inlineStr">
        <is>
          <t>fintech (consumer investing)</t>
        </is>
      </c>
      <c r="E52" t="inlineStr">
        <is>
          <t>B-B-026</t>
        </is>
      </c>
      <c r="F52" t="inlineStr">
        <is>
          <t>641 Avenue of the Americas</t>
        </is>
      </c>
      <c r="G52" t="inlineStr">
        <is>
          <t>6</t>
        </is>
      </c>
      <c r="H52" t="inlineStr">
        <is>
          <t>10011</t>
        </is>
      </c>
      <c r="I52" t="n">
        <v>40.7409</v>
      </c>
      <c r="J52" t="n">
        <v>-73.994512</v>
      </c>
      <c r="K52" t="inlineStr">
        <is>
          <t>Y</t>
        </is>
      </c>
      <c r="L52" t="inlineStr">
        <is>
          <t>unknown</t>
        </is>
      </c>
      <c r="M52" t="inlineStr">
        <is>
          <t>unknown</t>
        </is>
      </c>
      <c r="N52" s="2" t="inlineStr">
        <is>
          <t>https://www.builtinnyc.com/company/stash</t>
        </is>
      </c>
      <c r="O52" s="2" t="inlineStr">
        <is>
          <t>https://commercialobserver.com/2026/09/stash-financial-lease-641-avenue-of-the-americas/</t>
        </is>
      </c>
      <c r="P52" t="inlineStr">
        <is>
          <t>2026-09-02</t>
        </is>
      </c>
      <c r="Q52" t="inlineStr"/>
      <c r="R52" t="inlineStr">
        <is>
          <t>medium</t>
        </is>
      </c>
      <c r="S52" t="inlineStr">
        <is>
          <t>N</t>
        </is>
      </c>
      <c r="T52" t="inlineStr"/>
      <c r="U52" t="inlineStr"/>
      <c r="V52" s="3" t="inlineStr">
        <is>
          <t>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52" t="inlineStr">
        <is>
          <t>2026-10-23</t>
        </is>
      </c>
      <c r="X52" t="inlineStr">
        <is>
          <t>New York</t>
        </is>
      </c>
      <c r="Y52" t="inlineStr">
        <is>
          <t>Y</t>
        </is>
      </c>
      <c r="Z52" t="inlineStr">
        <is>
          <t>https://www.builtinnyc.com/company/stash/offices</t>
        </is>
      </c>
      <c r="AA52" t="inlineStr">
        <is>
          <t>380</t>
        </is>
      </c>
      <c r="AB52" t="inlineStr">
        <is>
          <t>disagree</t>
        </is>
      </c>
      <c r="AC52" t="inlineStr">
        <is>
          <t>174</t>
        </is>
      </c>
      <c r="AD52" t="inlineStr">
        <is>
          <t>https://www.reveliolabs.com/companies/stash-financial/employees</t>
        </is>
      </c>
      <c r="AE52" t="inlineStr">
        <is>
          <t>2026-08-31</t>
        </is>
      </c>
      <c r="AF52" t="inlineStr">
        <is>
          <t>unknown</t>
        </is>
      </c>
      <c r="AG52" t="inlineStr"/>
      <c r="AH52" t="inlineStr">
        <is>
          <t>unknown</t>
        </is>
      </c>
      <c r="AI52" t="inlineStr">
        <is>
          <t>candidate</t>
        </is>
      </c>
      <c r="AJ52" t="inlineStr">
        <is>
          <t>signed-not-occupied</t>
        </is>
      </c>
      <c r="AK52" t="inlineStr">
        <is>
          <t>unknown</t>
        </is>
      </c>
      <c r="AL52" t="inlineStr">
        <is>
          <t>2026-10-23</t>
        </is>
      </c>
      <c r="AM52" s="3" t="inlineStr">
        <is>
          <t>Sources disagree: Built In shows 380 (251-500) and Revelio Labs (Stash Financial, Inc., HQ New York City): about 174 employees worldwide as of March 2026 (151-250). Band left unknown; founder to confirm at intake.</t>
        </is>
      </c>
      <c r="AN52" t="inlineStr">
        <is>
          <t>leasing-press</t>
        </is>
      </c>
      <c r="AO52" t="inlineStr"/>
      <c r="AP52" t="inlineStr">
        <is>
          <t>no-coworking-in-building</t>
        </is>
      </c>
      <c r="AQ52" t="inlineStr">
        <is>
          <t>1007950044</t>
        </is>
      </c>
      <c r="AR52" t="n">
        <v>0</v>
      </c>
      <c r="AS52" t="inlineStr">
        <is>
          <t>12,322 sf</t>
        </is>
      </c>
      <c r="AT52" t="inlineStr">
        <is>
          <t>S2</t>
        </is>
      </c>
    </row>
    <row r="53">
      <c r="A53" t="inlineStr">
        <is>
          <t>B-C-056</t>
        </is>
      </c>
      <c r="B53" t="inlineStr">
        <is>
          <t>Hex Technologies</t>
        </is>
      </c>
      <c r="C53" s="2" t="inlineStr">
        <is>
          <t>https://hex.tech</t>
        </is>
      </c>
      <c r="D53" t="inlineStr">
        <is>
          <t>software (data analytics / AI)</t>
        </is>
      </c>
      <c r="E53" t="inlineStr">
        <is>
          <t>B-B-028</t>
        </is>
      </c>
      <c r="F53" t="inlineStr">
        <is>
          <t>250 Park Avenue South</t>
        </is>
      </c>
      <c r="G53" t="inlineStr">
        <is>
          <t>7</t>
        </is>
      </c>
      <c r="H53" t="inlineStr">
        <is>
          <t>10003</t>
        </is>
      </c>
      <c r="I53" t="n">
        <v>40.73827</v>
      </c>
      <c r="J53" t="n">
        <v>-73.98819899999999</v>
      </c>
      <c r="K53" t="inlineStr">
        <is>
          <t>Y</t>
        </is>
      </c>
      <c r="L53" t="inlineStr">
        <is>
          <t>151-250</t>
        </is>
      </c>
      <c r="M53" t="inlineStr">
        <is>
          <t>whole-company</t>
        </is>
      </c>
      <c r="N53" s="2" t="inlineStr">
        <is>
          <t>https://www.builtinnyc.com/company/hex</t>
        </is>
      </c>
      <c r="O53" s="2" t="inlineStr">
        <is>
          <t>https://commercialobserver.com/2026/01/hex-technologies-lease-feil-250-park-avenue-south/</t>
        </is>
      </c>
      <c r="P53" t="inlineStr">
        <is>
          <t>2026-01-09</t>
        </is>
      </c>
      <c r="Q53" s="2" t="inlineStr">
        <is>
          <t>https://nyrej.com/print/57161</t>
        </is>
      </c>
      <c r="R53" t="inlineStr">
        <is>
          <t>medium</t>
        </is>
      </c>
      <c r="S53" t="inlineStr">
        <is>
          <t>N</t>
        </is>
      </c>
      <c r="T53" t="inlineStr"/>
      <c r="U53" t="inlineStr"/>
      <c r="V53" s="3" t="inlineStr">
        <is>
          <t>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is>
      </c>
      <c r="W53" t="inlineStr">
        <is>
          <t>2026-10-23</t>
        </is>
      </c>
      <c r="X53" t="inlineStr">
        <is>
          <t>San Francisco</t>
        </is>
      </c>
      <c r="Y53" t="inlineStr">
        <is>
          <t>N</t>
        </is>
      </c>
      <c r="Z53" t="inlineStr">
        <is>
          <t>https://www.builtinnyc.com/company/hex/offices</t>
        </is>
      </c>
      <c r="AA53" t="inlineStr">
        <is>
          <t>160</t>
        </is>
      </c>
      <c r="AB53" t="inlineStr">
        <is>
          <t>agree</t>
        </is>
      </c>
      <c r="AC53" t="inlineStr">
        <is>
          <t>232</t>
        </is>
      </c>
      <c r="AD53" t="inlineStr">
        <is>
          <t>https://www.reveliolabs.com/companies/hex/employees</t>
        </is>
      </c>
      <c r="AE53" t="inlineStr">
        <is>
          <t>2026-08-31</t>
        </is>
      </c>
      <c r="AF53" t="inlineStr">
        <is>
          <t>unknown</t>
        </is>
      </c>
      <c r="AG53" t="inlineStr"/>
      <c r="AH53" t="inlineStr">
        <is>
          <t>unknown</t>
        </is>
      </c>
      <c r="AI53" t="inlineStr">
        <is>
          <t>candidate</t>
        </is>
      </c>
      <c r="AJ53" t="inlineStr">
        <is>
          <t>signed-not-occupied</t>
        </is>
      </c>
      <c r="AK53" t="inlineStr">
        <is>
          <t>unknown</t>
        </is>
      </c>
      <c r="AL53" t="inlineStr">
        <is>
          <t>2026-10-23</t>
        </is>
      </c>
      <c r="AM53" s="3" t="inlineStr"/>
      <c r="AN53" t="inlineStr">
        <is>
          <t>leasing-press</t>
        </is>
      </c>
      <c r="AO53" t="inlineStr">
        <is>
          <t>2026-03-10</t>
        </is>
      </c>
      <c r="AP53" t="inlineStr">
        <is>
          <t>no-coworking-in-building</t>
        </is>
      </c>
      <c r="AQ53" t="inlineStr">
        <is>
          <t>1008480043</t>
        </is>
      </c>
      <c r="AR53" t="n">
        <v>0</v>
      </c>
      <c r="AS53" t="inlineStr"/>
      <c r="AT53" t="inlineStr">
        <is>
          <t>S2</t>
        </is>
      </c>
    </row>
    <row r="54">
      <c r="A54" t="inlineStr">
        <is>
          <t>B-C-057</t>
        </is>
      </c>
      <c r="B54" t="inlineStr">
        <is>
          <t>Pentagram</t>
        </is>
      </c>
      <c r="C54" s="2" t="inlineStr">
        <is>
          <t>https://www.pentagram.com</t>
        </is>
      </c>
      <c r="D54" t="inlineStr">
        <is>
          <t>design consultancy</t>
        </is>
      </c>
      <c r="E54" t="inlineStr">
        <is>
          <t>B-B-028</t>
        </is>
      </c>
      <c r="F54" t="inlineStr">
        <is>
          <t>250 Park Avenue South</t>
        </is>
      </c>
      <c r="G54" t="inlineStr">
        <is>
          <t>unknown</t>
        </is>
      </c>
      <c r="H54" t="inlineStr">
        <is>
          <t>10003</t>
        </is>
      </c>
      <c r="I54" t="n">
        <v>40.73827</v>
      </c>
      <c r="J54" t="n">
        <v>-73.98819899999999</v>
      </c>
      <c r="K54" t="inlineStr">
        <is>
          <t>Y</t>
        </is>
      </c>
      <c r="L54" t="inlineStr">
        <is>
          <t>unknown</t>
        </is>
      </c>
      <c r="M54" t="inlineStr">
        <is>
          <t>unknown</t>
        </is>
      </c>
      <c r="N54" t="inlineStr"/>
      <c r="O54" s="2" t="inlineStr">
        <is>
          <t>https://www.pentagram.com/contact</t>
        </is>
      </c>
      <c r="P54" t="inlineStr">
        <is>
          <t>2026-10-23</t>
        </is>
      </c>
      <c r="Q54" s="2" t="inlineStr">
        <is>
          <t>https://commercialobserver.com/2026/01/hex-technologies-lease-feil-250-park-avenue-south/</t>
        </is>
      </c>
      <c r="R54" t="inlineStr">
        <is>
          <t>high</t>
        </is>
      </c>
      <c r="S54" t="inlineStr">
        <is>
          <t>N</t>
        </is>
      </c>
      <c r="T54" t="inlineStr"/>
      <c r="U54" t="inlineStr"/>
      <c r="V54" s="3" t="inlineStr">
        <is>
          <t>Contact page lists Pentagram New York at 250 Park Avenue South; CO names Pentagram Design as a current tenant. Global firm with several offices; no sourced headcount found.</t>
        </is>
      </c>
      <c r="W54" t="inlineStr">
        <is>
          <t>2026-10-23</t>
        </is>
      </c>
      <c r="X54" t="inlineStr">
        <is>
          <t>unknown</t>
        </is>
      </c>
      <c r="Y54" t="inlineStr">
        <is>
          <t>unknown</t>
        </is>
      </c>
      <c r="Z54" t="inlineStr"/>
      <c r="AA54" t="inlineStr"/>
      <c r="AB54" t="inlineStr">
        <is>
          <t>no-count</t>
        </is>
      </c>
      <c r="AC54" t="inlineStr"/>
      <c r="AD54" t="inlineStr"/>
      <c r="AE54" t="inlineStr"/>
      <c r="AF54" t="inlineStr">
        <is>
          <t>unknown</t>
        </is>
      </c>
      <c r="AG54" t="inlineStr"/>
      <c r="AH54" t="inlineStr">
        <is>
          <t>unknown</t>
        </is>
      </c>
      <c r="AI54" t="inlineStr">
        <is>
          <t>candidate</t>
        </is>
      </c>
      <c r="AJ54" t="inlineStr">
        <is>
          <t>occupied</t>
        </is>
      </c>
      <c r="AK54" t="inlineStr"/>
      <c r="AL54" t="inlineStr"/>
      <c r="AM54" s="3" t="inlineStr">
        <is>
          <t>No opened source gives a count: no Built In profile with a total, the company site publishes none, and LinkedIn was off-limits. Founder to confirm at intake.</t>
        </is>
      </c>
      <c r="AN54" t="inlineStr">
        <is>
          <t>company-site</t>
        </is>
      </c>
      <c r="AO54" t="inlineStr">
        <is>
          <t>2026-01-09</t>
        </is>
      </c>
      <c r="AP54" t="inlineStr">
        <is>
          <t>no-coworking-in-building</t>
        </is>
      </c>
      <c r="AQ54" t="inlineStr">
        <is>
          <t>1008480043</t>
        </is>
      </c>
      <c r="AR54" t="n">
        <v>0</v>
      </c>
      <c r="AS54" t="inlineStr"/>
      <c r="AT54" t="inlineStr">
        <is>
          <t>S2</t>
        </is>
      </c>
    </row>
    <row r="55">
      <c r="A55" t="inlineStr">
        <is>
          <t>B-C-058</t>
        </is>
      </c>
      <c r="B55" t="inlineStr">
        <is>
          <t>Wilson Daniels</t>
        </is>
      </c>
      <c r="C55" s="2" t="inlineStr">
        <is>
          <t>https://www.wilsondaniels.com</t>
        </is>
      </c>
      <c r="D55" t="inlineStr">
        <is>
          <t>wine import and marketing (consumer brand)</t>
        </is>
      </c>
      <c r="E55" t="inlineStr">
        <is>
          <t>B-B-028</t>
        </is>
      </c>
      <c r="F55" t="inlineStr">
        <is>
          <t>250 Park Avenue South</t>
        </is>
      </c>
      <c r="G55" t="inlineStr">
        <is>
          <t>8</t>
        </is>
      </c>
      <c r="H55" t="inlineStr">
        <is>
          <t>10003</t>
        </is>
      </c>
      <c r="I55" t="n">
        <v>40.73827</v>
      </c>
      <c r="J55" t="n">
        <v>-73.98819899999999</v>
      </c>
      <c r="K55" t="inlineStr">
        <is>
          <t>Y</t>
        </is>
      </c>
      <c r="L55" t="inlineStr">
        <is>
          <t>unknown</t>
        </is>
      </c>
      <c r="M55" t="inlineStr">
        <is>
          <t>unknown</t>
        </is>
      </c>
      <c r="N55" t="inlineStr"/>
      <c r="O55" s="2" t="inlineStr">
        <is>
          <t>https://commercialobserver.com/2025/06/wilson-daniels-lease-250-park-avenue-south/</t>
        </is>
      </c>
      <c r="P55" t="inlineStr">
        <is>
          <t>2025-06-05</t>
        </is>
      </c>
      <c r="Q55" s="2" t="inlineStr">
        <is>
          <t>https://commercialobserver.com/2026/01/hex-technologies-lease-feil-250-park-avenue-south/</t>
        </is>
      </c>
      <c r="R55" t="inlineStr">
        <is>
          <t>medium</t>
        </is>
      </c>
      <c r="S55" t="inlineStr">
        <is>
          <t>N</t>
        </is>
      </c>
      <c r="T55" t="inlineStr"/>
      <c r="U55" t="inlineStr"/>
      <c r="V55" s="3" t="inlineStr">
        <is>
          <t>10-year lease for the full 8th floor (12,000 sf). CO Jan 2026 names it as a current tenant (same publisher). Company contact page opened 2026-10-23 still lists 19 West 24th St, 7th Floor, so occupancy is unconfirmed. Alcohol company: note for brand-fit, not office-fit.</t>
        </is>
      </c>
      <c r="W55" t="inlineStr">
        <is>
          <t>2026-10-23</t>
        </is>
      </c>
      <c r="X55" t="inlineStr">
        <is>
          <t>unknown</t>
        </is>
      </c>
      <c r="Y55" t="inlineStr">
        <is>
          <t>unknown</t>
        </is>
      </c>
      <c r="Z55" t="inlineStr"/>
      <c r="AA55" t="inlineStr"/>
      <c r="AB55" t="inlineStr">
        <is>
          <t>no-count</t>
        </is>
      </c>
      <c r="AC55" t="inlineStr"/>
      <c r="AD55" t="inlineStr"/>
      <c r="AE55" t="inlineStr"/>
      <c r="AF55" t="inlineStr">
        <is>
          <t>unknown</t>
        </is>
      </c>
      <c r="AG55" t="inlineStr"/>
      <c r="AH55" t="inlineStr">
        <is>
          <t>unknown</t>
        </is>
      </c>
      <c r="AI55" t="inlineStr">
        <is>
          <t>candidate</t>
        </is>
      </c>
      <c r="AJ55" t="inlineStr">
        <is>
          <t>signed-not-occupied</t>
        </is>
      </c>
      <c r="AK55" t="inlineStr">
        <is>
          <t>unknown</t>
        </is>
      </c>
      <c r="AL55" t="inlineStr"/>
      <c r="AM55" s="3" t="inlineStr">
        <is>
          <t>No opened source gives a count: no Built In profile with a total, the company site publishes none, and LinkedIn was off-limits. Founder to confirm at intake.</t>
        </is>
      </c>
      <c r="AN55" t="inlineStr">
        <is>
          <t>leasing-press</t>
        </is>
      </c>
      <c r="AO55" t="inlineStr">
        <is>
          <t>2026-01-09</t>
        </is>
      </c>
      <c r="AP55" t="inlineStr">
        <is>
          <t>no-coworking-in-building</t>
        </is>
      </c>
      <c r="AQ55" t="inlineStr">
        <is>
          <t>1008480043</t>
        </is>
      </c>
      <c r="AR55" t="n">
        <v>0</v>
      </c>
      <c r="AS55" t="inlineStr">
        <is>
          <t>12,000 sf</t>
        </is>
      </c>
      <c r="AT55" t="inlineStr">
        <is>
          <t>S2</t>
        </is>
      </c>
    </row>
    <row r="56">
      <c r="A56" t="inlineStr">
        <is>
          <t>B-C-061</t>
        </is>
      </c>
      <c r="B56" t="inlineStr">
        <is>
          <t>Daily Harvest</t>
        </is>
      </c>
      <c r="C56" s="2" t="inlineStr">
        <is>
          <t>https://www.daily-harvest.com</t>
        </is>
      </c>
      <c r="D56" t="inlineStr">
        <is>
          <t>food brand (frozen meals, DTC)</t>
        </is>
      </c>
      <c r="E56" t="inlineStr">
        <is>
          <t>B-B-030</t>
        </is>
      </c>
      <c r="F56" t="inlineStr">
        <is>
          <t>37 West 20th Street</t>
        </is>
      </c>
      <c r="G56" t="inlineStr">
        <is>
          <t>unknown</t>
        </is>
      </c>
      <c r="H56" t="inlineStr">
        <is>
          <t>10011</t>
        </is>
      </c>
      <c r="I56" t="n">
        <v>40.740813</v>
      </c>
      <c r="J56" t="n">
        <v>-73.99310699999999</v>
      </c>
      <c r="K56" t="inlineStr">
        <is>
          <t>Y</t>
        </is>
      </c>
      <c r="L56" t="inlineStr">
        <is>
          <t>251-500</t>
        </is>
      </c>
      <c r="M56" t="inlineStr">
        <is>
          <t>whole-company</t>
        </is>
      </c>
      <c r="N56" s="2" t="inlineStr">
        <is>
          <t>https://www.builtinnyc.com/company/daily-harvest</t>
        </is>
      </c>
      <c r="O56" s="2" t="inlineStr">
        <is>
          <t>https://www.builtinnyc.com/company/daily-harvest/offices</t>
        </is>
      </c>
      <c r="P56" t="inlineStr">
        <is>
          <t>2026-10-23</t>
        </is>
      </c>
      <c r="Q56" t="inlineStr"/>
      <c r="R56" t="inlineStr">
        <is>
          <t>low</t>
        </is>
      </c>
      <c r="S56" t="inlineStr">
        <is>
          <t>N</t>
        </is>
      </c>
      <c r="T56" t="inlineStr"/>
      <c r="U56" t="inlineStr"/>
      <c r="V56" s="3" t="inlineStr">
        <is>
          <t>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t>
        </is>
      </c>
      <c r="W56" t="inlineStr">
        <is>
          <t>2026-10-23</t>
        </is>
      </c>
      <c r="X56" t="inlineStr">
        <is>
          <t>New York</t>
        </is>
      </c>
      <c r="Y56" t="inlineStr">
        <is>
          <t>Y</t>
        </is>
      </c>
      <c r="Z56" t="inlineStr">
        <is>
          <t>https://www.builtinnyc.com/company/daily-harvest/offices</t>
        </is>
      </c>
      <c r="AA56" t="inlineStr">
        <is>
          <t>267</t>
        </is>
      </c>
      <c r="AB56" t="inlineStr">
        <is>
          <t>single-source</t>
        </is>
      </c>
      <c r="AC56" t="inlineStr"/>
      <c r="AD56" t="inlineStr"/>
      <c r="AE56" t="inlineStr"/>
      <c r="AF56" t="inlineStr">
        <is>
          <t>unknown</t>
        </is>
      </c>
      <c r="AG56" t="inlineStr"/>
      <c r="AH56" t="inlineStr">
        <is>
          <t>security desk</t>
        </is>
      </c>
      <c r="AI56" t="inlineStr">
        <is>
          <t>candidate</t>
        </is>
      </c>
      <c r="AJ56" t="inlineStr">
        <is>
          <t>occupied</t>
        </is>
      </c>
      <c r="AK56" t="inlineStr"/>
      <c r="AL56" t="inlineStr">
        <is>
          <t>2026-10-23</t>
        </is>
      </c>
      <c r="AM56" s="3" t="inlineStr"/>
      <c r="AN56" t="inlineStr">
        <is>
          <t>builtin</t>
        </is>
      </c>
      <c r="AO56" t="inlineStr"/>
      <c r="AP56" t="inlineStr">
        <is>
          <t>no-coworking-in-building</t>
        </is>
      </c>
      <c r="AQ56" t="inlineStr">
        <is>
          <t>1008220009</t>
        </is>
      </c>
      <c r="AR56" t="n">
        <v>0</v>
      </c>
      <c r="AS56" t="inlineStr"/>
      <c r="AT56" t="inlineStr">
        <is>
          <t>S2</t>
        </is>
      </c>
    </row>
    <row r="57">
      <c r="A57" t="inlineStr">
        <is>
          <t>B-C-059</t>
        </is>
      </c>
      <c r="B57" t="inlineStr">
        <is>
          <t>Christie's International Real Estate Group</t>
        </is>
      </c>
      <c r="C57" t="inlineStr">
        <is>
          <t>unknown</t>
        </is>
      </c>
      <c r="D57" t="inlineStr">
        <is>
          <t>residential real estate brokerage</t>
        </is>
      </c>
      <c r="E57" t="inlineStr">
        <is>
          <t>B-B-029</t>
        </is>
      </c>
      <c r="F57" t="inlineStr">
        <is>
          <t>156 Fifth Avenue</t>
        </is>
      </c>
      <c r="G57" t="inlineStr">
        <is>
          <t>9</t>
        </is>
      </c>
      <c r="H57" t="inlineStr">
        <is>
          <t>10010</t>
        </is>
      </c>
      <c r="I57" t="n">
        <v>40.739961</v>
      </c>
      <c r="J57" t="n">
        <v>-73.990971</v>
      </c>
      <c r="K57" t="inlineStr">
        <is>
          <t>Y</t>
        </is>
      </c>
      <c r="L57" t="inlineStr">
        <is>
          <t>40-75</t>
        </is>
      </c>
      <c r="M57" t="inlineStr">
        <is>
          <t>nyc-office</t>
        </is>
      </c>
      <c r="N57" s="2" t="inlineStr">
        <is>
          <t>https://commercialobserver.com/2024/08/christies-international-real-estate-group-lease-156-fifth-avenue/</t>
        </is>
      </c>
      <c r="O57" s="2" t="inlineStr">
        <is>
          <t>https://commercialobserver.com/2024/08/christies-international-real-estate-group-lease-156-fifth-avenue/</t>
        </is>
      </c>
      <c r="P57" t="inlineStr">
        <is>
          <t>2024-08-21</t>
        </is>
      </c>
      <c r="Q57" t="inlineStr"/>
      <c r="R57" t="inlineStr">
        <is>
          <t>low</t>
        </is>
      </c>
      <c r="S57" t="inlineStr">
        <is>
          <t>N</t>
        </is>
      </c>
      <c r="T57" t="inlineStr"/>
      <c r="U57" t="inlineStr"/>
      <c r="V57" s="3" t="inlineStr">
        <is>
          <t>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is>
      </c>
      <c r="W57" t="inlineStr">
        <is>
          <t>2026-10-23</t>
        </is>
      </c>
      <c r="X57" t="inlineStr">
        <is>
          <t>unknown</t>
        </is>
      </c>
      <c r="Y57" t="inlineStr">
        <is>
          <t>unknown</t>
        </is>
      </c>
      <c r="Z57" t="inlineStr"/>
      <c r="AA57" t="inlineStr">
        <is>
          <t>75</t>
        </is>
      </c>
      <c r="AB57" t="inlineStr">
        <is>
          <t>single-source</t>
        </is>
      </c>
      <c r="AC57" t="inlineStr"/>
      <c r="AD57" t="inlineStr"/>
      <c r="AE57" t="inlineStr"/>
      <c r="AF57" t="inlineStr">
        <is>
          <t>unknown</t>
        </is>
      </c>
      <c r="AG57" t="inlineStr"/>
      <c r="AH57" t="inlineStr">
        <is>
          <t>unknown</t>
        </is>
      </c>
      <c r="AI57" t="inlineStr">
        <is>
          <t>candidate</t>
        </is>
      </c>
      <c r="AJ57" t="inlineStr">
        <is>
          <t>occupancy-unconfirmed</t>
        </is>
      </c>
      <c r="AK57" t="inlineStr"/>
      <c r="AL57" t="inlineStr">
        <is>
          <t>2024-08-21</t>
        </is>
      </c>
      <c r="AM57" s="3" t="inlineStr"/>
      <c r="AN57" t="inlineStr">
        <is>
          <t>leasing-press</t>
        </is>
      </c>
      <c r="AO57" t="inlineStr"/>
      <c r="AP57" t="inlineStr">
        <is>
          <t>different-floor</t>
        </is>
      </c>
      <c r="AQ57" t="inlineStr">
        <is>
          <t>1008220031</t>
        </is>
      </c>
      <c r="AR57" t="n">
        <v>0</v>
      </c>
      <c r="AS57" t="inlineStr">
        <is>
          <t>8,000 sf</t>
        </is>
      </c>
      <c r="AT57" t="inlineStr">
        <is>
          <t>S2</t>
        </is>
      </c>
    </row>
    <row r="58">
      <c r="A58" t="inlineStr">
        <is>
          <t>B-C-060</t>
        </is>
      </c>
      <c r="B58" t="inlineStr">
        <is>
          <t>Warp</t>
        </is>
      </c>
      <c r="C58" s="2" t="inlineStr">
        <is>
          <t>https://www.warp.co</t>
        </is>
      </c>
      <c r="D58" t="inlineStr">
        <is>
          <t>software (AI payroll and HR)</t>
        </is>
      </c>
      <c r="E58" t="inlineStr">
        <is>
          <t>B-B-029</t>
        </is>
      </c>
      <c r="F58" t="inlineStr">
        <is>
          <t>156 Fifth Avenue</t>
        </is>
      </c>
      <c r="G58" t="inlineStr">
        <is>
          <t>7-8</t>
        </is>
      </c>
      <c r="H58" t="inlineStr">
        <is>
          <t>10010</t>
        </is>
      </c>
      <c r="I58" t="n">
        <v>40.739961</v>
      </c>
      <c r="J58" t="n">
        <v>-73.990971</v>
      </c>
      <c r="K58" t="inlineStr">
        <is>
          <t>Y</t>
        </is>
      </c>
      <c r="L58" t="inlineStr">
        <is>
          <t>40-75</t>
        </is>
      </c>
      <c r="M58" t="inlineStr">
        <is>
          <t>whole-company</t>
        </is>
      </c>
      <c r="N58" s="2" t="inlineStr">
        <is>
          <t>https://www.builtinnyc.com/company/warp</t>
        </is>
      </c>
      <c r="O58" s="2" t="inlineStr">
        <is>
          <t>https://commercialobserver.com/2026/08/warp-triple-lease-expansion-hrc-156-fifth-avenue/</t>
        </is>
      </c>
      <c r="P58" t="inlineStr">
        <is>
          <t>2026-08-06</t>
        </is>
      </c>
      <c r="Q58" t="inlineStr"/>
      <c r="R58" t="inlineStr">
        <is>
          <t>medium</t>
        </is>
      </c>
      <c r="S58" t="inlineStr">
        <is>
          <t>N</t>
        </is>
      </c>
      <c r="T58" t="inlineStr"/>
      <c r="U58" t="inlineStr"/>
      <c r="V58" s="3" t="inlineStr">
        <is>
          <t>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is>
      </c>
      <c r="W58" t="inlineStr">
        <is>
          <t>2026-10-23</t>
        </is>
      </c>
      <c r="X58" t="inlineStr">
        <is>
          <t>New York</t>
        </is>
      </c>
      <c r="Y58" t="inlineStr">
        <is>
          <t>Y</t>
        </is>
      </c>
      <c r="Z58" t="inlineStr">
        <is>
          <t>https://www.builtinnyc.com/company/warp/offices</t>
        </is>
      </c>
      <c r="AA58" t="inlineStr">
        <is>
          <t>42</t>
        </is>
      </c>
      <c r="AB58" t="inlineStr">
        <is>
          <t>single-source</t>
        </is>
      </c>
      <c r="AC58" t="inlineStr"/>
      <c r="AD58" t="inlineStr"/>
      <c r="AE58" t="inlineStr"/>
      <c r="AF58" t="inlineStr">
        <is>
          <t>unknown</t>
        </is>
      </c>
      <c r="AG58" t="inlineStr"/>
      <c r="AH58" t="inlineStr">
        <is>
          <t>unknown</t>
        </is>
      </c>
      <c r="AI58" t="inlineStr">
        <is>
          <t>candidate</t>
        </is>
      </c>
      <c r="AJ58" t="inlineStr">
        <is>
          <t>occupied</t>
        </is>
      </c>
      <c r="AK58" t="inlineStr"/>
      <c r="AL58" t="inlineStr">
        <is>
          <t>2026-10-23</t>
        </is>
      </c>
      <c r="AM58" s="3" t="inlineStr"/>
      <c r="AN58" t="inlineStr">
        <is>
          <t>leasing-press</t>
        </is>
      </c>
      <c r="AO58" t="inlineStr"/>
      <c r="AP58" t="inlineStr">
        <is>
          <t>different-floor</t>
        </is>
      </c>
      <c r="AQ58" t="inlineStr">
        <is>
          <t>1008220031</t>
        </is>
      </c>
      <c r="AR58" t="n">
        <v>0</v>
      </c>
      <c r="AS58" t="inlineStr">
        <is>
          <t>8,000 sf; 24,500 sf</t>
        </is>
      </c>
      <c r="AT58" t="inlineStr">
        <is>
          <t>S2</t>
        </is>
      </c>
    </row>
    <row r="59">
      <c r="A59" t="inlineStr">
        <is>
          <t>B-C-062</t>
        </is>
      </c>
      <c r="B59" t="inlineStr">
        <is>
          <t>Manifest Law</t>
        </is>
      </c>
      <c r="C59" s="2" t="inlineStr">
        <is>
          <t>https://www.manifestlaw.com</t>
        </is>
      </c>
      <c r="D59" t="inlineStr">
        <is>
          <t>law firm (immigration, tech-enabled)</t>
        </is>
      </c>
      <c r="E59" t="inlineStr">
        <is>
          <t>B-B-031</t>
        </is>
      </c>
      <c r="F59" t="inlineStr">
        <is>
          <t>902 Broadway</t>
        </is>
      </c>
      <c r="G59" t="inlineStr">
        <is>
          <t>8</t>
        </is>
      </c>
      <c r="H59" t="inlineStr">
        <is>
          <t>10010</t>
        </is>
      </c>
      <c r="I59" t="n">
        <v>40.739363</v>
      </c>
      <c r="J59" t="n">
        <v>-73.98953400000001</v>
      </c>
      <c r="K59" t="inlineStr">
        <is>
          <t>Y</t>
        </is>
      </c>
      <c r="L59" t="inlineStr">
        <is>
          <t>unknown</t>
        </is>
      </c>
      <c r="M59" t="inlineStr">
        <is>
          <t>unknown</t>
        </is>
      </c>
      <c r="N59" t="inlineStr"/>
      <c r="O59" s="2" t="inlineStr">
        <is>
          <t>https://commercialobserver.com/2026/08/manifest-law-sublease-koeppel-rosen-902-broadway/</t>
        </is>
      </c>
      <c r="P59" t="inlineStr">
        <is>
          <t>2026-08-06</t>
        </is>
      </c>
      <c r="Q59" t="inlineStr"/>
      <c r="R59" t="inlineStr">
        <is>
          <t>medium</t>
        </is>
      </c>
      <c r="S59" t="inlineStr">
        <is>
          <t>N</t>
        </is>
      </c>
      <c r="T59" t="inlineStr"/>
      <c r="U59" t="inlineStr"/>
      <c r="V59" s="3" t="inlineStr">
        <is>
          <t>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is>
      </c>
      <c r="W59" t="inlineStr">
        <is>
          <t>2026-10-23</t>
        </is>
      </c>
      <c r="X59" t="inlineStr">
        <is>
          <t>unknown</t>
        </is>
      </c>
      <c r="Y59" t="inlineStr">
        <is>
          <t>unknown</t>
        </is>
      </c>
      <c r="Z59" t="inlineStr"/>
      <c r="AA59" t="inlineStr"/>
      <c r="AB59" t="inlineStr">
        <is>
          <t>no-count</t>
        </is>
      </c>
      <c r="AC59" t="inlineStr"/>
      <c r="AD59" t="inlineStr"/>
      <c r="AE59" t="inlineStr"/>
      <c r="AF59" t="inlineStr">
        <is>
          <t>unknown</t>
        </is>
      </c>
      <c r="AG59" t="inlineStr"/>
      <c r="AH59" t="inlineStr">
        <is>
          <t>security desk</t>
        </is>
      </c>
      <c r="AI59" t="inlineStr">
        <is>
          <t>candidate</t>
        </is>
      </c>
      <c r="AJ59" t="inlineStr">
        <is>
          <t>occupancy-unconfirmed</t>
        </is>
      </c>
      <c r="AK59" t="inlineStr"/>
      <c r="AL59" t="inlineStr"/>
      <c r="AM59" s="3" t="inlineStr">
        <is>
          <t>No opened source gives a count: no Built In profile with a total, the company site publishes none, and LinkedIn was off-limits. Founder to confirm at intake.</t>
        </is>
      </c>
      <c r="AN59" t="inlineStr">
        <is>
          <t>leasing-press</t>
        </is>
      </c>
      <c r="AO59" t="inlineStr"/>
      <c r="AP59" t="inlineStr">
        <is>
          <t>different-floor</t>
        </is>
      </c>
      <c r="AQ59" t="inlineStr">
        <is>
          <t>1008490016</t>
        </is>
      </c>
      <c r="AR59" t="n">
        <v>0</v>
      </c>
      <c r="AS59" t="inlineStr">
        <is>
          <t>18,200 sf</t>
        </is>
      </c>
      <c r="AT59" t="inlineStr">
        <is>
          <t>S2</t>
        </is>
      </c>
    </row>
    <row r="60">
      <c r="A60" t="inlineStr">
        <is>
          <t>B-C-063</t>
        </is>
      </c>
      <c r="B60" t="inlineStr">
        <is>
          <t>The Hudson Companies and Broadway Builders</t>
        </is>
      </c>
      <c r="C60" s="2" t="inlineStr">
        <is>
          <t>https://www.hudsoninc.com</t>
        </is>
      </c>
      <c r="D60" t="inlineStr">
        <is>
          <t>real estate development</t>
        </is>
      </c>
      <c r="E60" t="inlineStr">
        <is>
          <t>B-B-031</t>
        </is>
      </c>
      <c r="F60" t="inlineStr">
        <is>
          <t>902 Broadway</t>
        </is>
      </c>
      <c r="G60" t="inlineStr">
        <is>
          <t>12</t>
        </is>
      </c>
      <c r="H60" t="inlineStr">
        <is>
          <t>10010</t>
        </is>
      </c>
      <c r="I60" t="n">
        <v>40.739363</v>
      </c>
      <c r="J60" t="n">
        <v>-73.98953400000001</v>
      </c>
      <c r="K60" t="inlineStr">
        <is>
          <t>Y</t>
        </is>
      </c>
      <c r="L60" t="inlineStr">
        <is>
          <t>unknown</t>
        </is>
      </c>
      <c r="M60" t="inlineStr">
        <is>
          <t>unknown</t>
        </is>
      </c>
      <c r="N60" t="inlineStr"/>
      <c r="O60" s="2" t="inlineStr">
        <is>
          <t>https://commercialobserver.com/2026/03/hudson-companies-broadway-builders-lease-902-broadway/</t>
        </is>
      </c>
      <c r="P60" t="inlineStr">
        <is>
          <t>2026-03-24</t>
        </is>
      </c>
      <c r="Q60" s="2" t="inlineStr">
        <is>
          <t>https://rebusinessonline.com/hudson-cos-broadway-builders-sign-18200-sf-office-lease-in-manhattans-flatiron-district/</t>
        </is>
      </c>
      <c r="R60" t="inlineStr">
        <is>
          <t>medium</t>
        </is>
      </c>
      <c r="S60" t="inlineStr">
        <is>
          <t>N</t>
        </is>
      </c>
      <c r="T60" t="inlineStr"/>
      <c r="U60" t="inlineStr"/>
      <c r="V60" s="3" t="inlineStr">
        <is>
          <t>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is>
      </c>
      <c r="W60" t="inlineStr">
        <is>
          <t>2026-10-23</t>
        </is>
      </c>
      <c r="X60" t="inlineStr">
        <is>
          <t>unknown</t>
        </is>
      </c>
      <c r="Y60" t="inlineStr">
        <is>
          <t>unknown</t>
        </is>
      </c>
      <c r="Z60" t="inlineStr"/>
      <c r="AA60" t="inlineStr"/>
      <c r="AB60" t="inlineStr">
        <is>
          <t>no-count</t>
        </is>
      </c>
      <c r="AC60" t="inlineStr"/>
      <c r="AD60" t="inlineStr"/>
      <c r="AE60" t="inlineStr"/>
      <c r="AF60" t="inlineStr">
        <is>
          <t>unknown</t>
        </is>
      </c>
      <c r="AG60" t="inlineStr"/>
      <c r="AH60" t="inlineStr">
        <is>
          <t>security desk</t>
        </is>
      </c>
      <c r="AI60" t="inlineStr">
        <is>
          <t>candidate</t>
        </is>
      </c>
      <c r="AJ60" t="inlineStr">
        <is>
          <t>signed-not-occupied</t>
        </is>
      </c>
      <c r="AK60" t="inlineStr">
        <is>
          <t>unknown</t>
        </is>
      </c>
      <c r="AL60" t="inlineStr"/>
      <c r="AM60" s="3" t="inlineStr">
        <is>
          <t>Neither firm publishes a count.</t>
        </is>
      </c>
      <c r="AN60" t="inlineStr">
        <is>
          <t>leasing-press</t>
        </is>
      </c>
      <c r="AO60" t="inlineStr">
        <is>
          <t>2026-06-09</t>
        </is>
      </c>
      <c r="AP60" t="inlineStr">
        <is>
          <t>different-floor</t>
        </is>
      </c>
      <c r="AQ60" t="inlineStr">
        <is>
          <t>1008490016</t>
        </is>
      </c>
      <c r="AR60" t="n">
        <v>0</v>
      </c>
      <c r="AS60" t="inlineStr"/>
      <c r="AT60" t="inlineStr">
        <is>
          <t>S2</t>
        </is>
      </c>
    </row>
    <row r="61">
      <c r="A61" t="inlineStr">
        <is>
          <t>B-C-064</t>
        </is>
      </c>
      <c r="B61" t="inlineStr">
        <is>
          <t>William Grant &amp; Sons</t>
        </is>
      </c>
      <c r="C61" s="2" t="inlineStr">
        <is>
          <t>https://www.williamgrant.com</t>
        </is>
      </c>
      <c r="D61" t="inlineStr">
        <is>
          <t>spirits company (U.S. office)</t>
        </is>
      </c>
      <c r="E61" t="inlineStr">
        <is>
          <t>B-B-031</t>
        </is>
      </c>
      <c r="F61" t="inlineStr">
        <is>
          <t>902 Broadway</t>
        </is>
      </c>
      <c r="G61" t="inlineStr">
        <is>
          <t>2-3</t>
        </is>
      </c>
      <c r="H61" t="inlineStr">
        <is>
          <t>10010</t>
        </is>
      </c>
      <c r="I61" t="n">
        <v>40.739363</v>
      </c>
      <c r="J61" t="n">
        <v>-73.98953400000001</v>
      </c>
      <c r="K61" t="inlineStr">
        <is>
          <t>Y</t>
        </is>
      </c>
      <c r="L61" t="inlineStr">
        <is>
          <t>unknown</t>
        </is>
      </c>
      <c r="M61" t="inlineStr">
        <is>
          <t>unknown</t>
        </is>
      </c>
      <c r="N61" t="inlineStr"/>
      <c r="O61" s="2" t="inlineStr">
        <is>
          <t>https://commercialobserver.com/2024/12/william-grant-sons-lease-902-broadway/</t>
        </is>
      </c>
      <c r="P61" t="inlineStr">
        <is>
          <t>2024-12-03</t>
        </is>
      </c>
      <c r="Q61" s="2" t="inlineStr">
        <is>
          <t>https://commercialobserver.com/2026/03/hudson-companies-broadway-builders-lease-902-broadway/</t>
        </is>
      </c>
      <c r="R61" t="inlineStr">
        <is>
          <t>medium</t>
        </is>
      </c>
      <c r="S61" t="inlineStr">
        <is>
          <t>N</t>
        </is>
      </c>
      <c r="T61" t="inlineStr"/>
      <c r="U61" t="inlineStr"/>
      <c r="V61" s="3" t="inlineStr">
        <is>
          <t>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is>
      </c>
      <c r="W61" t="inlineStr">
        <is>
          <t>2026-10-23</t>
        </is>
      </c>
      <c r="X61" t="inlineStr">
        <is>
          <t>unknown</t>
        </is>
      </c>
      <c r="Y61" t="inlineStr">
        <is>
          <t>unknown</t>
        </is>
      </c>
      <c r="Z61" t="inlineStr"/>
      <c r="AA61" t="inlineStr"/>
      <c r="AB61" t="inlineStr">
        <is>
          <t>no-count</t>
        </is>
      </c>
      <c r="AC61" t="inlineStr"/>
      <c r="AD61" t="inlineStr"/>
      <c r="AE61" t="inlineStr"/>
      <c r="AF61" t="inlineStr">
        <is>
          <t>unknown</t>
        </is>
      </c>
      <c r="AG61" t="inlineStr"/>
      <c r="AH61" t="inlineStr">
        <is>
          <t>security desk</t>
        </is>
      </c>
      <c r="AI61" t="inlineStr">
        <is>
          <t>candidate</t>
        </is>
      </c>
      <c r="AJ61" t="inlineStr">
        <is>
          <t>occupied</t>
        </is>
      </c>
      <c r="AK61" t="inlineStr"/>
      <c r="AL61" t="inlineStr"/>
      <c r="AM61" s="3" t="inlineStr">
        <is>
          <t>No opened source gives a count: no Built In profile with a total, the company site publishes none, and LinkedIn was off-limits. Founder to confirm at intake.</t>
        </is>
      </c>
      <c r="AN61" t="inlineStr">
        <is>
          <t>leasing-press</t>
        </is>
      </c>
      <c r="AO61" t="inlineStr">
        <is>
          <t>2026-03-24</t>
        </is>
      </c>
      <c r="AP61" t="inlineStr">
        <is>
          <t>different-floor</t>
        </is>
      </c>
      <c r="AQ61" t="inlineStr">
        <is>
          <t>1008490016</t>
        </is>
      </c>
      <c r="AR61" t="n">
        <v>0</v>
      </c>
      <c r="AS61" t="inlineStr">
        <is>
          <t>27,160 sf</t>
        </is>
      </c>
      <c r="AT61" t="inlineStr">
        <is>
          <t>S2</t>
        </is>
      </c>
    </row>
    <row r="62">
      <c r="A62" t="inlineStr">
        <is>
          <t>B-C-074</t>
        </is>
      </c>
      <c r="B62" t="inlineStr">
        <is>
          <t>General Assembly</t>
        </is>
      </c>
      <c r="C62" t="inlineStr">
        <is>
          <t>unknown</t>
        </is>
      </c>
      <c r="D62" t="inlineStr">
        <is>
          <t>tech education</t>
        </is>
      </c>
      <c r="E62" t="inlineStr">
        <is>
          <t>B-B-034</t>
        </is>
      </c>
      <c r="F62" t="inlineStr">
        <is>
          <t>915 Broadway</t>
        </is>
      </c>
      <c r="G62" t="inlineStr">
        <is>
          <t>2-4</t>
        </is>
      </c>
      <c r="H62" t="inlineStr">
        <is>
          <t>10010</t>
        </is>
      </c>
      <c r="I62" t="n">
        <v>40.739695</v>
      </c>
      <c r="J62" t="n">
        <v>-73.989816</v>
      </c>
      <c r="K62" t="inlineStr">
        <is>
          <t>Y</t>
        </is>
      </c>
      <c r="L62" t="inlineStr">
        <is>
          <t>unknown</t>
        </is>
      </c>
      <c r="M62" t="inlineStr">
        <is>
          <t>unknown</t>
        </is>
      </c>
      <c r="N62" t="inlineStr"/>
      <c r="O62" s="2" t="inlineStr">
        <is>
          <t>https://commercialobserver.com/2021/04/tech-educator-general-assembly-renews-at-915-broadway/</t>
        </is>
      </c>
      <c r="P62" t="inlineStr">
        <is>
          <t>2021-04-15</t>
        </is>
      </c>
      <c r="Q62" s="2" t="inlineStr">
        <is>
          <t>https://www.metro-manhattan.com/buildings/915-broadway-office-space-for-lease/</t>
        </is>
      </c>
      <c r="R62" t="inlineStr">
        <is>
          <t>low</t>
        </is>
      </c>
      <c r="S62" t="inlineStr">
        <is>
          <t>N</t>
        </is>
      </c>
      <c r="T62" t="inlineStr"/>
      <c r="U62" t="inlineStr"/>
      <c r="V62" s="3" t="inlineStr">
        <is>
          <t>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is>
      </c>
      <c r="W62" t="inlineStr">
        <is>
          <t>2026-10-23</t>
        </is>
      </c>
      <c r="X62" t="inlineStr">
        <is>
          <t>unknown</t>
        </is>
      </c>
      <c r="Y62" t="inlineStr">
        <is>
          <t>unknown</t>
        </is>
      </c>
      <c r="Z62" t="inlineStr"/>
      <c r="AA62" t="inlineStr"/>
      <c r="AB62" t="inlineStr">
        <is>
          <t>no-count</t>
        </is>
      </c>
      <c r="AC62" t="inlineStr"/>
      <c r="AD62" t="inlineStr"/>
      <c r="AE62" t="inlineStr"/>
      <c r="AF62" t="inlineStr">
        <is>
          <t>unknown</t>
        </is>
      </c>
      <c r="AG62" t="inlineStr"/>
      <c r="AH62" t="inlineStr">
        <is>
          <t>security desk</t>
        </is>
      </c>
      <c r="AI62" t="inlineStr">
        <is>
          <t>candidate</t>
        </is>
      </c>
      <c r="AJ62" t="inlineStr">
        <is>
          <t>occupancy-unconfirmed</t>
        </is>
      </c>
      <c r="AK62" t="inlineStr"/>
      <c r="AL62" t="inlineStr"/>
      <c r="AM62" s="3" t="inlineStr">
        <is>
          <t>No opened source gives a count: no Built In profile with a total, the company site publishes none, and LinkedIn was off-limits. Founder to confirm at intake.</t>
        </is>
      </c>
      <c r="AN62" t="inlineStr">
        <is>
          <t>leasing-press</t>
        </is>
      </c>
      <c r="AO62" t="inlineStr">
        <is>
          <t>2025-10-29</t>
        </is>
      </c>
      <c r="AP62" t="inlineStr">
        <is>
          <t>no-coworking-in-building</t>
        </is>
      </c>
      <c r="AQ62" t="inlineStr">
        <is>
          <t>1008490070</t>
        </is>
      </c>
      <c r="AR62" t="n">
        <v>0</v>
      </c>
      <c r="AS62" t="inlineStr">
        <is>
          <t>40,158 sf</t>
        </is>
      </c>
      <c r="AT62" t="inlineStr">
        <is>
          <t>S2</t>
        </is>
      </c>
    </row>
    <row r="63">
      <c r="A63" t="inlineStr">
        <is>
          <t>B-C-075</t>
        </is>
      </c>
      <c r="B63" t="inlineStr">
        <is>
          <t>Retool</t>
        </is>
      </c>
      <c r="C63" s="2" t="inlineStr">
        <is>
          <t>https://retool.com</t>
        </is>
      </c>
      <c r="D63" t="inlineStr">
        <is>
          <t>software (internal tools platform)</t>
        </is>
      </c>
      <c r="E63" t="inlineStr">
        <is>
          <t>B-B-034</t>
        </is>
      </c>
      <c r="F63" t="inlineStr">
        <is>
          <t>915 Broadway</t>
        </is>
      </c>
      <c r="G63" t="inlineStr">
        <is>
          <t>unknown</t>
        </is>
      </c>
      <c r="H63" t="inlineStr">
        <is>
          <t>10010</t>
        </is>
      </c>
      <c r="I63" t="n">
        <v>40.739695</v>
      </c>
      <c r="J63" t="n">
        <v>-73.989816</v>
      </c>
      <c r="K63" t="inlineStr">
        <is>
          <t>Y</t>
        </is>
      </c>
      <c r="L63" t="inlineStr">
        <is>
          <t>251-500</t>
        </is>
      </c>
      <c r="M63" t="inlineStr">
        <is>
          <t>whole-company</t>
        </is>
      </c>
      <c r="N63" s="2" t="inlineStr">
        <is>
          <t>https://www.builtinnyc.com/company/retool</t>
        </is>
      </c>
      <c r="O63" s="2" t="inlineStr">
        <is>
          <t>https://www.builtinnyc.com/company/retool/offices</t>
        </is>
      </c>
      <c r="P63" t="inlineStr">
        <is>
          <t>2026-10-23</t>
        </is>
      </c>
      <c r="Q63" t="inlineStr"/>
      <c r="R63" t="inlineStr">
        <is>
          <t>low</t>
        </is>
      </c>
      <c r="S63" t="inlineStr">
        <is>
          <t>N</t>
        </is>
      </c>
      <c r="T63" t="inlineStr"/>
      <c r="U63" t="inlineStr"/>
      <c r="V63" s="3" t="inlineStr">
        <is>
          <t>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is>
      </c>
      <c r="W63" t="inlineStr">
        <is>
          <t>2026-10-23</t>
        </is>
      </c>
      <c r="X63" t="inlineStr">
        <is>
          <t>San Francisco</t>
        </is>
      </c>
      <c r="Y63" t="inlineStr">
        <is>
          <t>N</t>
        </is>
      </c>
      <c r="Z63" t="inlineStr">
        <is>
          <t>https://www.builtinnyc.com/company/retool/offices</t>
        </is>
      </c>
      <c r="AA63" t="inlineStr">
        <is>
          <t>350</t>
        </is>
      </c>
      <c r="AB63" t="inlineStr">
        <is>
          <t>agree</t>
        </is>
      </c>
      <c r="AC63" t="inlineStr">
        <is>
          <t>372</t>
        </is>
      </c>
      <c r="AD63" t="inlineStr">
        <is>
          <t>https://www.reveliolabs.com/companies/retool/employees</t>
        </is>
      </c>
      <c r="AE63" t="inlineStr">
        <is>
          <t>2026-08-31</t>
        </is>
      </c>
      <c r="AF63" t="inlineStr">
        <is>
          <t>unknown</t>
        </is>
      </c>
      <c r="AG63" t="inlineStr"/>
      <c r="AH63" t="inlineStr">
        <is>
          <t>security desk</t>
        </is>
      </c>
      <c r="AI63" t="inlineStr">
        <is>
          <t>candidate</t>
        </is>
      </c>
      <c r="AJ63" t="inlineStr">
        <is>
          <t>occupied</t>
        </is>
      </c>
      <c r="AK63" t="inlineStr"/>
      <c r="AL63" t="inlineStr">
        <is>
          <t>2026-10-23</t>
        </is>
      </c>
      <c r="AM63" s="3" t="inlineStr"/>
      <c r="AN63" t="inlineStr">
        <is>
          <t>builtin</t>
        </is>
      </c>
      <c r="AO63" t="inlineStr"/>
      <c r="AP63" t="inlineStr">
        <is>
          <t>no-coworking-in-building</t>
        </is>
      </c>
      <c r="AQ63" t="inlineStr">
        <is>
          <t>1008490070</t>
        </is>
      </c>
      <c r="AR63" t="n">
        <v>0</v>
      </c>
      <c r="AS63" t="inlineStr"/>
      <c r="AT63" t="inlineStr">
        <is>
          <t>S2</t>
        </is>
      </c>
    </row>
    <row r="64">
      <c r="A64" t="inlineStr">
        <is>
          <t>B-C-065</t>
        </is>
      </c>
      <c r="B64" t="inlineStr">
        <is>
          <t>Argentic Investment Management</t>
        </is>
      </c>
      <c r="C64" s="2" t="inlineStr">
        <is>
          <t>https://www.argentic.com</t>
        </is>
      </c>
      <c r="D64" t="inlineStr">
        <is>
          <t>commercial real estate finance</t>
        </is>
      </c>
      <c r="E64" t="inlineStr">
        <is>
          <t>B-B-032</t>
        </is>
      </c>
      <c r="F64" t="inlineStr">
        <is>
          <t>257 Park Avenue South</t>
        </is>
      </c>
      <c r="G64" t="inlineStr">
        <is>
          <t>20</t>
        </is>
      </c>
      <c r="H64" t="inlineStr">
        <is>
          <t>10010</t>
        </is>
      </c>
      <c r="I64" t="n">
        <v>40.738577</v>
      </c>
      <c r="J64" t="n">
        <v>-73.987151</v>
      </c>
      <c r="K64" t="inlineStr">
        <is>
          <t>Y</t>
        </is>
      </c>
      <c r="L64" t="inlineStr">
        <is>
          <t>unknown</t>
        </is>
      </c>
      <c r="M64" t="inlineStr">
        <is>
          <t>unknown</t>
        </is>
      </c>
      <c r="N64" t="inlineStr"/>
      <c r="O64" s="2" t="inlineStr">
        <is>
          <t>https://commercialobserver.com/2026/04/argentic-investment-management-lease-257-park-avenue-south/</t>
        </is>
      </c>
      <c r="P64" t="inlineStr">
        <is>
          <t>2026-04-20</t>
        </is>
      </c>
      <c r="Q64" s="2" t="inlineStr">
        <is>
          <t>https://rebusinessonline.com/argentic-investment-management-signs-13000-sf-office-lease-in-manhattans-flatiron-district/</t>
        </is>
      </c>
      <c r="R64" t="inlineStr">
        <is>
          <t>medium</t>
        </is>
      </c>
      <c r="S64" t="inlineStr">
        <is>
          <t>N</t>
        </is>
      </c>
      <c r="T64" t="inlineStr"/>
      <c r="U64" t="inlineStr"/>
      <c r="V64" s="3" t="inlineStr">
        <is>
          <t>Long-term lease of the full 20th floor (13,000 sf). Company contact page opened 2026-10-23 still lists 31 W. 27th Street, 12th Floor; move date unknown.</t>
        </is>
      </c>
      <c r="W64" t="inlineStr">
        <is>
          <t>2026-10-23</t>
        </is>
      </c>
      <c r="X64" t="inlineStr">
        <is>
          <t>unknown</t>
        </is>
      </c>
      <c r="Y64" t="inlineStr">
        <is>
          <t>unknown</t>
        </is>
      </c>
      <c r="Z64" t="inlineStr"/>
      <c r="AA64" t="inlineStr"/>
      <c r="AB64" t="inlineStr">
        <is>
          <t>no-count</t>
        </is>
      </c>
      <c r="AC64" t="inlineStr"/>
      <c r="AD64" t="inlineStr"/>
      <c r="AE64" t="inlineStr"/>
      <c r="AF64" t="inlineStr">
        <is>
          <t>unknown</t>
        </is>
      </c>
      <c r="AG64" t="inlineStr"/>
      <c r="AH64" t="inlineStr">
        <is>
          <t>unknown</t>
        </is>
      </c>
      <c r="AI64" t="inlineStr">
        <is>
          <t>candidate</t>
        </is>
      </c>
      <c r="AJ64" t="inlineStr">
        <is>
          <t>signed-not-occupied</t>
        </is>
      </c>
      <c r="AK64" t="inlineStr">
        <is>
          <t>unknown</t>
        </is>
      </c>
      <c r="AL64" t="inlineStr"/>
      <c r="AM64" s="3" t="inlineStr">
        <is>
          <t>No opened source gives a count: no Built In profile with a total, the company site publishes none, and LinkedIn was off-limits. Founder to confirm at intake.</t>
        </is>
      </c>
      <c r="AN64" t="inlineStr">
        <is>
          <t>leasing-press</t>
        </is>
      </c>
      <c r="AO64" t="inlineStr">
        <is>
          <t>2026-07-02</t>
        </is>
      </c>
      <c r="AP64" t="inlineStr">
        <is>
          <t>no-coworking-in-building</t>
        </is>
      </c>
      <c r="AQ64" t="inlineStr">
        <is>
          <t>1008767504</t>
        </is>
      </c>
      <c r="AR64" t="n">
        <v>0</v>
      </c>
      <c r="AS64" t="inlineStr">
        <is>
          <t>13,000 sf</t>
        </is>
      </c>
      <c r="AT64" t="inlineStr">
        <is>
          <t>S2</t>
        </is>
      </c>
    </row>
    <row r="65">
      <c r="A65" t="inlineStr">
        <is>
          <t>B-C-066</t>
        </is>
      </c>
      <c r="B65" t="inlineStr">
        <is>
          <t>Beachwold Residential</t>
        </is>
      </c>
      <c r="C65" s="2" t="inlineStr">
        <is>
          <t>https://www.beachwold.com</t>
        </is>
      </c>
      <c r="D65" t="inlineStr">
        <is>
          <t>real estate (multifamily owner/operator)</t>
        </is>
      </c>
      <c r="E65" t="inlineStr">
        <is>
          <t>B-B-032</t>
        </is>
      </c>
      <c r="F65" t="inlineStr">
        <is>
          <t>257 Park Avenue South</t>
        </is>
      </c>
      <c r="G65" t="inlineStr">
        <is>
          <t>13</t>
        </is>
      </c>
      <c r="H65" t="inlineStr">
        <is>
          <t>10010</t>
        </is>
      </c>
      <c r="I65" t="n">
        <v>40.738577</v>
      </c>
      <c r="J65" t="n">
        <v>-73.987151</v>
      </c>
      <c r="K65" t="inlineStr">
        <is>
          <t>Y</t>
        </is>
      </c>
      <c r="L65" t="inlineStr">
        <is>
          <t>unknown</t>
        </is>
      </c>
      <c r="M65" t="inlineStr">
        <is>
          <t>unknown</t>
        </is>
      </c>
      <c r="N65" t="inlineStr"/>
      <c r="O65" s="2" t="inlineStr">
        <is>
          <t>https://commercialobserver.com/2022/07/paul-smith-beachwold-residential-sign-for-full-floors-at-257-park-avenue-south/</t>
        </is>
      </c>
      <c r="P65" t="inlineStr">
        <is>
          <t>2022-07-06</t>
        </is>
      </c>
      <c r="Q65" t="inlineStr"/>
      <c r="R65" t="inlineStr">
        <is>
          <t>low</t>
        </is>
      </c>
      <c r="S65" t="inlineStr">
        <is>
          <t>N</t>
        </is>
      </c>
      <c r="T65" t="inlineStr"/>
      <c r="U65" t="inlineStr"/>
      <c r="V65" s="3" t="inlineStr">
        <is>
          <t>HQ move to the full 13th floor (12,637 sf) in 2022 from 192 Lexington Ave. Not re-confirmed (company contact page returned 404).</t>
        </is>
      </c>
      <c r="W65" t="inlineStr">
        <is>
          <t>2026-10-23</t>
        </is>
      </c>
      <c r="X65" t="inlineStr">
        <is>
          <t>unknown</t>
        </is>
      </c>
      <c r="Y65" t="inlineStr">
        <is>
          <t>unknown</t>
        </is>
      </c>
      <c r="Z65" t="inlineStr"/>
      <c r="AA65" t="inlineStr"/>
      <c r="AB65" t="inlineStr">
        <is>
          <t>no-count</t>
        </is>
      </c>
      <c r="AC65" t="inlineStr"/>
      <c r="AD65" t="inlineStr"/>
      <c r="AE65" t="inlineStr"/>
      <c r="AF65" t="inlineStr">
        <is>
          <t>unknown</t>
        </is>
      </c>
      <c r="AG65" t="inlineStr"/>
      <c r="AH65" t="inlineStr">
        <is>
          <t>unknown</t>
        </is>
      </c>
      <c r="AI65" t="inlineStr">
        <is>
          <t>candidate</t>
        </is>
      </c>
      <c r="AJ65" t="inlineStr">
        <is>
          <t>occupancy-unconfirmed</t>
        </is>
      </c>
      <c r="AK65" t="inlineStr"/>
      <c r="AL65" t="inlineStr"/>
      <c r="AM65" s="3" t="inlineStr">
        <is>
          <t>No opened source gives a count: no Built In profile with a total, the company site publishes none, and LinkedIn was off-limits. Founder to confirm at intake.</t>
        </is>
      </c>
      <c r="AN65" t="inlineStr">
        <is>
          <t>leasing-press</t>
        </is>
      </c>
      <c r="AO65" t="inlineStr"/>
      <c r="AP65" t="inlineStr">
        <is>
          <t>no-coworking-in-building</t>
        </is>
      </c>
      <c r="AQ65" t="inlineStr">
        <is>
          <t>1008767504</t>
        </is>
      </c>
      <c r="AR65" t="n">
        <v>0</v>
      </c>
      <c r="AS65" t="inlineStr">
        <is>
          <t>12,637 sf</t>
        </is>
      </c>
      <c r="AT65" t="inlineStr">
        <is>
          <t>S2</t>
        </is>
      </c>
    </row>
    <row r="66">
      <c r="A66" t="inlineStr">
        <is>
          <t>B-C-067</t>
        </is>
      </c>
      <c r="B66" t="inlineStr">
        <is>
          <t>ISAIA</t>
        </is>
      </c>
      <c r="C66" s="2" t="inlineStr">
        <is>
          <t>https://www.isaia.it</t>
        </is>
      </c>
      <c r="D66" t="inlineStr">
        <is>
          <t>luxury menswear brand (U.S. showroom and office)</t>
        </is>
      </c>
      <c r="E66" t="inlineStr">
        <is>
          <t>B-B-032</t>
        </is>
      </c>
      <c r="F66" t="inlineStr">
        <is>
          <t>257 Park Avenue South</t>
        </is>
      </c>
      <c r="G66" t="inlineStr">
        <is>
          <t>10</t>
        </is>
      </c>
      <c r="H66" t="inlineStr">
        <is>
          <t>10010</t>
        </is>
      </c>
      <c r="I66" t="n">
        <v>40.738577</v>
      </c>
      <c r="J66" t="n">
        <v>-73.987151</v>
      </c>
      <c r="K66" t="inlineStr">
        <is>
          <t>Y</t>
        </is>
      </c>
      <c r="L66" t="inlineStr">
        <is>
          <t>unknown</t>
        </is>
      </c>
      <c r="M66" t="inlineStr">
        <is>
          <t>unknown</t>
        </is>
      </c>
      <c r="N66" t="inlineStr"/>
      <c r="O66" s="2" t="inlineStr">
        <is>
          <t>https://commercialobserver.com/2026/07/isaia-lease-feil-257-park-avenue-south/</t>
        </is>
      </c>
      <c r="P66" t="inlineStr">
        <is>
          <t>2026-07-21</t>
        </is>
      </c>
      <c r="Q66" t="inlineStr"/>
      <c r="R66" t="inlineStr">
        <is>
          <t>medium</t>
        </is>
      </c>
      <c r="S66" t="inlineStr">
        <is>
          <t>N</t>
        </is>
      </c>
      <c r="T66" t="inlineStr"/>
      <c r="U66" t="inlineStr"/>
      <c r="V66" s="3" t="inlineStr">
        <is>
          <t>10-year renewal of 13,000 sf corporate showroom on the 10th floor. Mainly a showroom; onsite staff count unknown.</t>
        </is>
      </c>
      <c r="W66" t="inlineStr">
        <is>
          <t>2026-10-23</t>
        </is>
      </c>
      <c r="X66" t="inlineStr">
        <is>
          <t>unknown</t>
        </is>
      </c>
      <c r="Y66" t="inlineStr">
        <is>
          <t>unknown</t>
        </is>
      </c>
      <c r="Z66" t="inlineStr"/>
      <c r="AA66" t="inlineStr"/>
      <c r="AB66" t="inlineStr">
        <is>
          <t>no-count</t>
        </is>
      </c>
      <c r="AC66" t="inlineStr"/>
      <c r="AD66" t="inlineStr"/>
      <c r="AE66" t="inlineStr"/>
      <c r="AF66" t="inlineStr">
        <is>
          <t>unknown</t>
        </is>
      </c>
      <c r="AG66" t="inlineStr"/>
      <c r="AH66" t="inlineStr">
        <is>
          <t>unknown</t>
        </is>
      </c>
      <c r="AI66" t="inlineStr">
        <is>
          <t>candidate</t>
        </is>
      </c>
      <c r="AJ66" t="inlineStr">
        <is>
          <t>occupied</t>
        </is>
      </c>
      <c r="AK66" t="inlineStr"/>
      <c r="AL66" t="inlineStr"/>
      <c r="AM66" s="3" t="inlineStr">
        <is>
          <t>No opened source gives a count: no Built In profile with a total, the company site publishes none, and LinkedIn was off-limits. Founder to confirm at intake.</t>
        </is>
      </c>
      <c r="AN66" t="inlineStr">
        <is>
          <t>leasing-press</t>
        </is>
      </c>
      <c r="AO66" t="inlineStr"/>
      <c r="AP66" t="inlineStr">
        <is>
          <t>no-coworking-in-building</t>
        </is>
      </c>
      <c r="AQ66" t="inlineStr">
        <is>
          <t>1008767504</t>
        </is>
      </c>
      <c r="AR66" t="n">
        <v>0</v>
      </c>
      <c r="AS66" t="inlineStr">
        <is>
          <t>13,000 sf</t>
        </is>
      </c>
      <c r="AT66" t="inlineStr">
        <is>
          <t>S2</t>
        </is>
      </c>
    </row>
    <row r="67">
      <c r="A67" t="inlineStr">
        <is>
          <t>B-C-068</t>
        </is>
      </c>
      <c r="B67" t="inlineStr">
        <is>
          <t>Options Group</t>
        </is>
      </c>
      <c r="C67" s="2" t="inlineStr">
        <is>
          <t>https://www.optionsgroup.com</t>
        </is>
      </c>
      <c r="D67" t="inlineStr">
        <is>
          <t>executive search and consulting</t>
        </is>
      </c>
      <c r="E67" t="inlineStr">
        <is>
          <t>B-B-032</t>
        </is>
      </c>
      <c r="F67" t="inlineStr">
        <is>
          <t>257 Park Avenue South</t>
        </is>
      </c>
      <c r="G67" t="inlineStr">
        <is>
          <t>7</t>
        </is>
      </c>
      <c r="H67" t="inlineStr">
        <is>
          <t>10010</t>
        </is>
      </c>
      <c r="I67" t="n">
        <v>40.738577</v>
      </c>
      <c r="J67" t="n">
        <v>-73.987151</v>
      </c>
      <c r="K67" t="inlineStr">
        <is>
          <t>Y</t>
        </is>
      </c>
      <c r="L67" t="inlineStr">
        <is>
          <t>unknown</t>
        </is>
      </c>
      <c r="M67" t="inlineStr">
        <is>
          <t>unknown</t>
        </is>
      </c>
      <c r="N67" t="inlineStr"/>
      <c r="O67" s="2" t="inlineStr">
        <is>
          <t>https://commercialobserver.com/2025/09/angellist-lease-257-park-avenue-south/</t>
        </is>
      </c>
      <c r="P67" t="inlineStr">
        <is>
          <t>2025-09-12</t>
        </is>
      </c>
      <c r="Q67" t="inlineStr"/>
      <c r="R67" t="inlineStr">
        <is>
          <t>medium</t>
        </is>
      </c>
      <c r="S67" t="inlineStr">
        <is>
          <t>N</t>
        </is>
      </c>
      <c r="T67" t="inlineStr"/>
      <c r="U67" t="inlineStr"/>
      <c r="V67" s="3" t="inlineStr">
        <is>
          <t>13-year lease for the full 7th floor (12,600 sf). Company contact page opened 2026-10-23 still lists 121 East 18th Street (margin, east of Park Ave S), so move status unconfirmed; either way it is in or next to this slice.</t>
        </is>
      </c>
      <c r="W67" t="inlineStr">
        <is>
          <t>2026-10-23</t>
        </is>
      </c>
      <c r="X67" t="inlineStr">
        <is>
          <t>unknown</t>
        </is>
      </c>
      <c r="Y67" t="inlineStr">
        <is>
          <t>unknown</t>
        </is>
      </c>
      <c r="Z67" t="inlineStr"/>
      <c r="AA67" t="inlineStr"/>
      <c r="AB67" t="inlineStr">
        <is>
          <t>no-count</t>
        </is>
      </c>
      <c r="AC67" t="inlineStr"/>
      <c r="AD67" t="inlineStr"/>
      <c r="AE67" t="inlineStr"/>
      <c r="AF67" t="inlineStr">
        <is>
          <t>unknown</t>
        </is>
      </c>
      <c r="AG67" t="inlineStr"/>
      <c r="AH67" t="inlineStr">
        <is>
          <t>unknown</t>
        </is>
      </c>
      <c r="AI67" t="inlineStr">
        <is>
          <t>candidate</t>
        </is>
      </c>
      <c r="AJ67" t="inlineStr">
        <is>
          <t>signed-not-occupied</t>
        </is>
      </c>
      <c r="AK67" t="inlineStr">
        <is>
          <t>unknown</t>
        </is>
      </c>
      <c r="AL67" t="inlineStr"/>
      <c r="AM67" s="3" t="inlineStr">
        <is>
          <t>No opened source gives a count: no Built In profile with a total, the company site publishes none, and LinkedIn was off-limits. Founder to confirm at intake.</t>
        </is>
      </c>
      <c r="AN67" t="inlineStr">
        <is>
          <t>leasing-press</t>
        </is>
      </c>
      <c r="AO67" t="inlineStr"/>
      <c r="AP67" t="inlineStr">
        <is>
          <t>no-coworking-in-building</t>
        </is>
      </c>
      <c r="AQ67" t="inlineStr">
        <is>
          <t>1008767504</t>
        </is>
      </c>
      <c r="AR67" t="n">
        <v>0</v>
      </c>
      <c r="AS67" t="inlineStr">
        <is>
          <t>12,600 sf</t>
        </is>
      </c>
      <c r="AT67" t="inlineStr">
        <is>
          <t>S2</t>
        </is>
      </c>
    </row>
    <row r="68">
      <c r="A68" t="inlineStr">
        <is>
          <t>B-C-069</t>
        </is>
      </c>
      <c r="B68" t="inlineStr">
        <is>
          <t>Paul Smith</t>
        </is>
      </c>
      <c r="C68" s="2" t="inlineStr">
        <is>
          <t>https://www.paulsmith.com</t>
        </is>
      </c>
      <c r="D68" t="inlineStr">
        <is>
          <t>fashion brand (U.S. showroom and office)</t>
        </is>
      </c>
      <c r="E68" t="inlineStr">
        <is>
          <t>B-B-032</t>
        </is>
      </c>
      <c r="F68" t="inlineStr">
        <is>
          <t>257 Park Avenue South</t>
        </is>
      </c>
      <c r="G68" t="inlineStr">
        <is>
          <t>5</t>
        </is>
      </c>
      <c r="H68" t="inlineStr">
        <is>
          <t>10010</t>
        </is>
      </c>
      <c r="I68" t="n">
        <v>40.738577</v>
      </c>
      <c r="J68" t="n">
        <v>-73.987151</v>
      </c>
      <c r="K68" t="inlineStr">
        <is>
          <t>Y</t>
        </is>
      </c>
      <c r="L68" t="inlineStr">
        <is>
          <t>unknown</t>
        </is>
      </c>
      <c r="M68" t="inlineStr">
        <is>
          <t>unknown</t>
        </is>
      </c>
      <c r="N68" t="inlineStr"/>
      <c r="O68" s="2" t="inlineStr">
        <is>
          <t>https://commercialobserver.com/2022/07/paul-smith-beachwold-residential-sign-for-full-floors-at-257-park-avenue-south/</t>
        </is>
      </c>
      <c r="P68" t="inlineStr">
        <is>
          <t>2022-07-06</t>
        </is>
      </c>
      <c r="Q68" t="inlineStr"/>
      <c r="R68" t="inlineStr">
        <is>
          <t>low</t>
        </is>
      </c>
      <c r="S68" t="inlineStr">
        <is>
          <t>N</t>
        </is>
      </c>
      <c r="T68" t="inlineStr"/>
      <c r="U68" t="inlineStr"/>
      <c r="V68" s="3" t="inlineStr">
        <is>
          <t>Full 5th floor (12,617 sf) for showroom and office, 2022. Not re-confirmed; the brand's site contact page shows no office address.</t>
        </is>
      </c>
      <c r="W68" t="inlineStr">
        <is>
          <t>2026-10-23</t>
        </is>
      </c>
      <c r="X68" t="inlineStr">
        <is>
          <t>unknown</t>
        </is>
      </c>
      <c r="Y68" t="inlineStr">
        <is>
          <t>unknown</t>
        </is>
      </c>
      <c r="Z68" t="inlineStr"/>
      <c r="AA68" t="inlineStr"/>
      <c r="AB68" t="inlineStr">
        <is>
          <t>no-count</t>
        </is>
      </c>
      <c r="AC68" t="inlineStr"/>
      <c r="AD68" t="inlineStr"/>
      <c r="AE68" t="inlineStr"/>
      <c r="AF68" t="inlineStr">
        <is>
          <t>unknown</t>
        </is>
      </c>
      <c r="AG68" t="inlineStr"/>
      <c r="AH68" t="inlineStr">
        <is>
          <t>unknown</t>
        </is>
      </c>
      <c r="AI68" t="inlineStr">
        <is>
          <t>candidate</t>
        </is>
      </c>
      <c r="AJ68" t="inlineStr">
        <is>
          <t>occupancy-unconfirmed</t>
        </is>
      </c>
      <c r="AK68" t="inlineStr"/>
      <c r="AL68" t="inlineStr"/>
      <c r="AM68" s="3" t="inlineStr">
        <is>
          <t>No opened source gives a count: no Built In profile with a total, the company site publishes none, and LinkedIn was off-limits. Founder to confirm at intake.</t>
        </is>
      </c>
      <c r="AN68" t="inlineStr">
        <is>
          <t>leasing-press</t>
        </is>
      </c>
      <c r="AO68" t="inlineStr"/>
      <c r="AP68" t="inlineStr">
        <is>
          <t>no-coworking-in-building</t>
        </is>
      </c>
      <c r="AQ68" t="inlineStr">
        <is>
          <t>1008767504</t>
        </is>
      </c>
      <c r="AR68" t="n">
        <v>0</v>
      </c>
      <c r="AS68" t="inlineStr">
        <is>
          <t>12,617 sf</t>
        </is>
      </c>
      <c r="AT68" t="inlineStr">
        <is>
          <t>S2</t>
        </is>
      </c>
    </row>
    <row r="69">
      <c r="A69" t="inlineStr">
        <is>
          <t>B-C-070</t>
        </is>
      </c>
      <c r="B69" t="inlineStr">
        <is>
          <t>Pei Architects</t>
        </is>
      </c>
      <c r="C69" t="inlineStr">
        <is>
          <t>unknown</t>
        </is>
      </c>
      <c r="D69" t="inlineStr">
        <is>
          <t>architecture</t>
        </is>
      </c>
      <c r="E69" t="inlineStr">
        <is>
          <t>B-B-032</t>
        </is>
      </c>
      <c r="F69" t="inlineStr">
        <is>
          <t>257 Park Avenue South</t>
        </is>
      </c>
      <c r="G69" t="inlineStr">
        <is>
          <t>19</t>
        </is>
      </c>
      <c r="H69" t="inlineStr">
        <is>
          <t>10010</t>
        </is>
      </c>
      <c r="I69" t="n">
        <v>40.738577</v>
      </c>
      <c r="J69" t="n">
        <v>-73.987151</v>
      </c>
      <c r="K69" t="inlineStr">
        <is>
          <t>Y</t>
        </is>
      </c>
      <c r="L69" t="inlineStr">
        <is>
          <t>unknown</t>
        </is>
      </c>
      <c r="M69" t="inlineStr">
        <is>
          <t>unknown</t>
        </is>
      </c>
      <c r="N69" t="inlineStr"/>
      <c r="O69" s="2" t="inlineStr">
        <is>
          <t>https://commercialobserver.com/2024/04/pei-architects-renewals-13k-sf-at-257-park-avenue-south/</t>
        </is>
      </c>
      <c r="P69" t="inlineStr">
        <is>
          <t>2024-04-15</t>
        </is>
      </c>
      <c r="Q69" t="inlineStr"/>
      <c r="R69" t="inlineStr">
        <is>
          <t>low</t>
        </is>
      </c>
      <c r="S69" t="inlineStr">
        <is>
          <t>N</t>
        </is>
      </c>
      <c r="T69" t="inlineStr"/>
      <c r="U69" t="inlineStr"/>
      <c r="V69" s="3" t="inlineStr">
        <is>
          <t>10-year renewal (2024) of 12,617 sf on the 19th floor, its primary HQ. Source predates 2024-10-23; company site (pei-architects.com) did not load. Headcount not sourced.</t>
        </is>
      </c>
      <c r="W69" t="inlineStr">
        <is>
          <t>2026-10-23</t>
        </is>
      </c>
      <c r="X69" t="inlineStr">
        <is>
          <t>unknown</t>
        </is>
      </c>
      <c r="Y69" t="inlineStr">
        <is>
          <t>unknown</t>
        </is>
      </c>
      <c r="Z69" t="inlineStr"/>
      <c r="AA69" t="inlineStr"/>
      <c r="AB69" t="inlineStr">
        <is>
          <t>no-count</t>
        </is>
      </c>
      <c r="AC69" t="inlineStr"/>
      <c r="AD69" t="inlineStr"/>
      <c r="AE69" t="inlineStr"/>
      <c r="AF69" t="inlineStr">
        <is>
          <t>unknown</t>
        </is>
      </c>
      <c r="AG69" t="inlineStr"/>
      <c r="AH69" t="inlineStr">
        <is>
          <t>unknown</t>
        </is>
      </c>
      <c r="AI69" t="inlineStr">
        <is>
          <t>candidate</t>
        </is>
      </c>
      <c r="AJ69" t="inlineStr">
        <is>
          <t>occupancy-unconfirmed</t>
        </is>
      </c>
      <c r="AK69" t="inlineStr"/>
      <c r="AL69" t="inlineStr"/>
      <c r="AM69" s="3" t="inlineStr">
        <is>
          <t>No opened source gives a count: no Built In profile with a total, the company site publishes none, and LinkedIn was off-limits. Founder to confirm at intake.</t>
        </is>
      </c>
      <c r="AN69" t="inlineStr">
        <is>
          <t>leasing-press</t>
        </is>
      </c>
      <c r="AO69" t="inlineStr"/>
      <c r="AP69" t="inlineStr">
        <is>
          <t>no-coworking-in-building</t>
        </is>
      </c>
      <c r="AQ69" t="inlineStr">
        <is>
          <t>1008767504</t>
        </is>
      </c>
      <c r="AR69" t="n">
        <v>0</v>
      </c>
      <c r="AS69" t="inlineStr">
        <is>
          <t>12,617 sf</t>
        </is>
      </c>
      <c r="AT69" t="inlineStr">
        <is>
          <t>S2</t>
        </is>
      </c>
    </row>
    <row r="70">
      <c r="A70" t="inlineStr">
        <is>
          <t>B-C-071</t>
        </is>
      </c>
      <c r="B70" t="inlineStr">
        <is>
          <t>Phipps Houses</t>
        </is>
      </c>
      <c r="C70" s="2" t="inlineStr">
        <is>
          <t>https://www.phippsny.org</t>
        </is>
      </c>
      <c r="D70" t="inlineStr">
        <is>
          <t>nonprofit affordable housing developer</t>
        </is>
      </c>
      <c r="E70" t="inlineStr">
        <is>
          <t>B-B-032</t>
        </is>
      </c>
      <c r="F70" t="inlineStr">
        <is>
          <t>257 Park Avenue South</t>
        </is>
      </c>
      <c r="G70" t="inlineStr">
        <is>
          <t>11-12, 15</t>
        </is>
      </c>
      <c r="H70" t="inlineStr">
        <is>
          <t>10010</t>
        </is>
      </c>
      <c r="I70" t="n">
        <v>40.738577</v>
      </c>
      <c r="J70" t="n">
        <v>-73.987151</v>
      </c>
      <c r="K70" t="inlineStr">
        <is>
          <t>Y</t>
        </is>
      </c>
      <c r="L70" t="inlineStr">
        <is>
          <t>unknown</t>
        </is>
      </c>
      <c r="M70" t="inlineStr">
        <is>
          <t>unknown</t>
        </is>
      </c>
      <c r="N70" t="inlineStr"/>
      <c r="O70" s="2" t="inlineStr">
        <is>
          <t>https://www.phippsny.org/contact-us/</t>
        </is>
      </c>
      <c r="P70" t="inlineStr">
        <is>
          <t>2026-10-23</t>
        </is>
      </c>
      <c r="Q70" s="2" t="inlineStr">
        <is>
          <t>https://commercialobserver.com/2024/07/phipps-houses-feil-organization-257-park-avenue-south/</t>
        </is>
      </c>
      <c r="R70" t="inlineStr">
        <is>
          <t>high</t>
        </is>
      </c>
      <c r="S70" t="inlineStr">
        <is>
          <t>N</t>
        </is>
      </c>
      <c r="T70" t="inlineStr"/>
      <c r="U70" t="inlineStr"/>
      <c r="V70" s="3" t="inlineStr">
        <is>
          <t>Contact page lists 257 Park Avenue South, 12th Floor; CO July 2024 reported a 32-year, 38,862 sf HQ lease on floors 11, 12 and 15 (relocated from 902 Broadway). Headcount not sourced.</t>
        </is>
      </c>
      <c r="W70" t="inlineStr">
        <is>
          <t>2026-10-23</t>
        </is>
      </c>
      <c r="X70" t="inlineStr">
        <is>
          <t>unknown</t>
        </is>
      </c>
      <c r="Y70" t="inlineStr">
        <is>
          <t>unknown</t>
        </is>
      </c>
      <c r="Z70" t="inlineStr"/>
      <c r="AA70" t="inlineStr"/>
      <c r="AB70" t="inlineStr">
        <is>
          <t>no-count</t>
        </is>
      </c>
      <c r="AC70" t="inlineStr"/>
      <c r="AD70" t="inlineStr"/>
      <c r="AE70" t="inlineStr"/>
      <c r="AF70" t="inlineStr">
        <is>
          <t>unknown</t>
        </is>
      </c>
      <c r="AG70" t="inlineStr"/>
      <c r="AH70" t="inlineStr">
        <is>
          <t>unknown</t>
        </is>
      </c>
      <c r="AI70" t="inlineStr">
        <is>
          <t>candidate</t>
        </is>
      </c>
      <c r="AJ70" t="inlineStr">
        <is>
          <t>occupied</t>
        </is>
      </c>
      <c r="AK70" t="inlineStr"/>
      <c r="AL70" t="inlineStr"/>
      <c r="AM70" s="3" t="inlineStr">
        <is>
          <t>No opened source gives a count: no Built In profile with a total, the company site publishes none, and LinkedIn was off-limits. Founder to confirm at intake.</t>
        </is>
      </c>
      <c r="AN70" t="inlineStr">
        <is>
          <t>company-site</t>
        </is>
      </c>
      <c r="AO70" t="inlineStr">
        <is>
          <t>2024-07-31</t>
        </is>
      </c>
      <c r="AP70" t="inlineStr">
        <is>
          <t>no-coworking-in-building</t>
        </is>
      </c>
      <c r="AQ70" t="inlineStr">
        <is>
          <t>1008767504</t>
        </is>
      </c>
      <c r="AR70" t="n">
        <v>0</v>
      </c>
      <c r="AS70" t="inlineStr">
        <is>
          <t>38,862 sf</t>
        </is>
      </c>
      <c r="AT70" t="inlineStr">
        <is>
          <t>S2</t>
        </is>
      </c>
    </row>
    <row r="71">
      <c r="A71" t="inlineStr">
        <is>
          <t>B-C-072</t>
        </is>
      </c>
      <c r="B71" t="inlineStr">
        <is>
          <t>Actively AI</t>
        </is>
      </c>
      <c r="C71" s="2" t="inlineStr">
        <is>
          <t>https://www.actively.ai</t>
        </is>
      </c>
      <c r="D71" t="inlineStr">
        <is>
          <t>software (AI sales platform)</t>
        </is>
      </c>
      <c r="E71" t="inlineStr">
        <is>
          <t>B-B-033</t>
        </is>
      </c>
      <c r="F71" t="inlineStr">
        <is>
          <t>30 West 21st Street</t>
        </is>
      </c>
      <c r="G71" t="inlineStr">
        <is>
          <t>9-10</t>
        </is>
      </c>
      <c r="H71" t="inlineStr">
        <is>
          <t>10010</t>
        </is>
      </c>
      <c r="I71" t="n">
        <v>40.74082</v>
      </c>
      <c r="J71" t="n">
        <v>-73.992366</v>
      </c>
      <c r="K71" t="inlineStr">
        <is>
          <t>Y</t>
        </is>
      </c>
      <c r="L71" t="inlineStr">
        <is>
          <t>unknown</t>
        </is>
      </c>
      <c r="M71" t="inlineStr">
        <is>
          <t>unknown</t>
        </is>
      </c>
      <c r="N71" s="2" t="inlineStr">
        <is>
          <t>https://www.builtinnyc.com/company/actively-ai</t>
        </is>
      </c>
      <c r="O71" s="2" t="inlineStr">
        <is>
          <t>https://commercialobserver.com/2025/04/actively-ai-lease-30-west-21st-street/</t>
        </is>
      </c>
      <c r="P71" t="inlineStr">
        <is>
          <t>2025-04-14</t>
        </is>
      </c>
      <c r="Q71" s="2" t="inlineStr">
        <is>
          <t>https://www.actively.ai/</t>
        </is>
      </c>
      <c r="R71" t="inlineStr">
        <is>
          <t>high</t>
        </is>
      </c>
      <c r="S71" t="inlineStr">
        <is>
          <t>N</t>
        </is>
      </c>
      <c r="T71" t="inlineStr"/>
      <c r="U71" t="inlineStr"/>
      <c r="V71" s="3" t="inlineStr">
        <is>
          <t>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is>
      </c>
      <c r="W71" t="inlineStr">
        <is>
          <t>2026-10-23</t>
        </is>
      </c>
      <c r="X71" t="inlineStr">
        <is>
          <t>New York</t>
        </is>
      </c>
      <c r="Y71" t="inlineStr">
        <is>
          <t>Y</t>
        </is>
      </c>
      <c r="Z71" t="inlineStr">
        <is>
          <t>https://www.builtinnyc.com/company/actively-ai/offices</t>
        </is>
      </c>
      <c r="AA71" t="inlineStr">
        <is>
          <t>65</t>
        </is>
      </c>
      <c r="AB71" t="inlineStr">
        <is>
          <t>disagree</t>
        </is>
      </c>
      <c r="AC71" t="inlineStr">
        <is>
          <t>83</t>
        </is>
      </c>
      <c r="AD71" t="inlineStr">
        <is>
          <t>https://www.reveliolabs.com/companies/actively/employees</t>
        </is>
      </c>
      <c r="AE71" t="inlineStr">
        <is>
          <t>2026-08-31</t>
        </is>
      </c>
      <c r="AF71" t="inlineStr">
        <is>
          <t>unknown</t>
        </is>
      </c>
      <c r="AG71" t="inlineStr"/>
      <c r="AH71" t="inlineStr">
        <is>
          <t>unknown</t>
        </is>
      </c>
      <c r="AI71" t="inlineStr">
        <is>
          <t>candidate</t>
        </is>
      </c>
      <c r="AJ71" t="inlineStr">
        <is>
          <t>occupied</t>
        </is>
      </c>
      <c r="AK71" t="inlineStr"/>
      <c r="AL71" t="inlineStr">
        <is>
          <t>2026-10-23</t>
        </is>
      </c>
      <c r="AM71" s="3" t="inlineStr">
        <is>
          <t>Sources disagree: Built In shows 65 (40-75) and Revelio Labs (Taurus Labs, Inc., whose page describes Actively, HQ New York City): about 83 employees worldwide as of March 2026 (76-150). Band left unknown; founder to confirm at intake.</t>
        </is>
      </c>
      <c r="AN71" t="inlineStr">
        <is>
          <t>leasing-press</t>
        </is>
      </c>
      <c r="AO71" t="inlineStr">
        <is>
          <t>2026-10-23</t>
        </is>
      </c>
      <c r="AP71" t="inlineStr">
        <is>
          <t>no-coworking-in-building</t>
        </is>
      </c>
      <c r="AQ71" t="inlineStr">
        <is>
          <t>1008220058</t>
        </is>
      </c>
      <c r="AR71" t="n">
        <v>0</v>
      </c>
      <c r="AS71" t="inlineStr">
        <is>
          <t>10,722 sf</t>
        </is>
      </c>
      <c r="AT71" t="inlineStr">
        <is>
          <t>S2</t>
        </is>
      </c>
    </row>
    <row r="72">
      <c r="A72" t="inlineStr">
        <is>
          <t>B-C-073</t>
        </is>
      </c>
      <c r="B72" t="inlineStr">
        <is>
          <t>Vivaldi</t>
        </is>
      </c>
      <c r="C72" s="2" t="inlineStr">
        <is>
          <t>https://vivaldigroup.com</t>
        </is>
      </c>
      <c r="D72" t="inlineStr">
        <is>
          <t>brand and business strategy consultancy</t>
        </is>
      </c>
      <c r="E72" t="inlineStr">
        <is>
          <t>B-B-033</t>
        </is>
      </c>
      <c r="F72" t="inlineStr">
        <is>
          <t>30 West 21st Street</t>
        </is>
      </c>
      <c r="G72" t="inlineStr">
        <is>
          <t>12</t>
        </is>
      </c>
      <c r="H72" t="inlineStr">
        <is>
          <t>10010</t>
        </is>
      </c>
      <c r="I72" t="n">
        <v>40.74082</v>
      </c>
      <c r="J72" t="n">
        <v>-73.992366</v>
      </c>
      <c r="K72" t="inlineStr">
        <is>
          <t>Y</t>
        </is>
      </c>
      <c r="L72" t="inlineStr">
        <is>
          <t>unknown</t>
        </is>
      </c>
      <c r="M72" t="inlineStr">
        <is>
          <t>unknown</t>
        </is>
      </c>
      <c r="N72" t="inlineStr"/>
      <c r="O72" s="2" t="inlineStr">
        <is>
          <t>https://vivaldigroup.com/contact/</t>
        </is>
      </c>
      <c r="P72" t="inlineStr">
        <is>
          <t>2026-10-23</t>
        </is>
      </c>
      <c r="Q72" s="2" t="inlineStr">
        <is>
          <t>https://commercialobserver.com/2025/04/actively-ai-lease-30-west-21st-street/</t>
        </is>
      </c>
      <c r="R72" t="inlineStr">
        <is>
          <t>high</t>
        </is>
      </c>
      <c r="S72" t="inlineStr">
        <is>
          <t>N</t>
        </is>
      </c>
      <c r="T72" t="inlineStr"/>
      <c r="U72" t="inlineStr"/>
      <c r="V72" s="3" t="inlineStr">
        <is>
          <t>Contact page lists 30 West 21st Street, 12th Floor. CO calls it advertising agency Vivaldi, a tenant of the building.</t>
        </is>
      </c>
      <c r="W72" t="inlineStr">
        <is>
          <t>2026-10-23</t>
        </is>
      </c>
      <c r="X72" t="inlineStr">
        <is>
          <t>New York</t>
        </is>
      </c>
      <c r="Y72" t="inlineStr">
        <is>
          <t>Y</t>
        </is>
      </c>
      <c r="Z72" t="inlineStr">
        <is>
          <t>https://www.vivaldigroup.com/contact</t>
        </is>
      </c>
      <c r="AA72" t="inlineStr"/>
      <c r="AB72" t="inlineStr">
        <is>
          <t>no-count</t>
        </is>
      </c>
      <c r="AC72" t="inlineStr"/>
      <c r="AD72" t="inlineStr"/>
      <c r="AE72" t="inlineStr"/>
      <c r="AF72" t="inlineStr">
        <is>
          <t>unknown</t>
        </is>
      </c>
      <c r="AG72" t="inlineStr"/>
      <c r="AH72" t="inlineStr">
        <is>
          <t>unknown</t>
        </is>
      </c>
      <c r="AI72" t="inlineStr">
        <is>
          <t>candidate</t>
        </is>
      </c>
      <c r="AJ72" t="inlineStr">
        <is>
          <t>occupied</t>
        </is>
      </c>
      <c r="AK72" t="inlineStr"/>
      <c r="AL72" t="inlineStr"/>
      <c r="AM72" s="3" t="inlineStr">
        <is>
          <t>No opened source gives a count: no Built In profile with a total, the company site publishes none, and LinkedIn was off-limits. Founder to confirm at intake.</t>
        </is>
      </c>
      <c r="AN72" t="inlineStr">
        <is>
          <t>company-site</t>
        </is>
      </c>
      <c r="AO72" t="inlineStr">
        <is>
          <t>2025-04-14</t>
        </is>
      </c>
      <c r="AP72" t="inlineStr">
        <is>
          <t>no-coworking-in-building</t>
        </is>
      </c>
      <c r="AQ72" t="inlineStr">
        <is>
          <t>1008220058</t>
        </is>
      </c>
      <c r="AR72" t="n">
        <v>0</v>
      </c>
      <c r="AS72" t="inlineStr"/>
      <c r="AT72" t="inlineStr">
        <is>
          <t>S2</t>
        </is>
      </c>
    </row>
    <row r="73">
      <c r="A73" t="inlineStr">
        <is>
          <t>B-C-077</t>
        </is>
      </c>
      <c r="B73" t="inlineStr">
        <is>
          <t>Cobalt Service Partners</t>
        </is>
      </c>
      <c r="C73" s="2" t="inlineStr">
        <is>
          <t>https://www.cobaltsp.com</t>
        </is>
      </c>
      <c r="D73" t="inlineStr">
        <is>
          <t>private equity (industrial services)</t>
        </is>
      </c>
      <c r="E73" t="inlineStr">
        <is>
          <t>B-B-036</t>
        </is>
      </c>
      <c r="F73" t="inlineStr">
        <is>
          <t>53 West 21st Street</t>
        </is>
      </c>
      <c r="G73" t="inlineStr">
        <is>
          <t>unknown</t>
        </is>
      </c>
      <c r="H73" t="inlineStr">
        <is>
          <t>10010</t>
        </is>
      </c>
      <c r="I73" t="n">
        <v>40.741548</v>
      </c>
      <c r="J73" t="n">
        <v>-73.99300700000001</v>
      </c>
      <c r="K73" t="inlineStr">
        <is>
          <t>Y</t>
        </is>
      </c>
      <c r="L73" t="inlineStr">
        <is>
          <t>unknown</t>
        </is>
      </c>
      <c r="M73" t="inlineStr">
        <is>
          <t>unknown</t>
        </is>
      </c>
      <c r="N73" t="inlineStr"/>
      <c r="O73" s="2" t="inlineStr">
        <is>
          <t>https://commercialobserver.com/2025/02/cobalt-service-partners-lease-40-west-17th-street/</t>
        </is>
      </c>
      <c r="P73" t="inlineStr">
        <is>
          <t>2025-02-06</t>
        </is>
      </c>
      <c r="Q73" s="2" t="inlineStr">
        <is>
          <t>https://commercialobserver.com/2025/05/instant-lease-moinian-53-55-west-21st-street/</t>
        </is>
      </c>
      <c r="R73" t="inlineStr">
        <is>
          <t>medium</t>
        </is>
      </c>
      <c r="S73" t="inlineStr">
        <is>
          <t>N</t>
        </is>
      </c>
      <c r="T73" t="inlineStr"/>
      <c r="U73" t="inlineStr"/>
      <c r="V73" s="3" t="inlineStr">
        <is>
          <t>Five-year, 5,000 sf lease, relocating from 1,500 sf at 40 W 17th St. A later CO article (same publisher) lists it as a current tenant. Company site shows no address. Headcount not sourced; founder to confirm at intake.</t>
        </is>
      </c>
      <c r="W73" t="inlineStr">
        <is>
          <t>2026-10-23</t>
        </is>
      </c>
      <c r="X73" t="inlineStr">
        <is>
          <t>unknown</t>
        </is>
      </c>
      <c r="Y73" t="inlineStr">
        <is>
          <t>unknown</t>
        </is>
      </c>
      <c r="Z73" t="inlineStr"/>
      <c r="AA73" t="inlineStr"/>
      <c r="AB73" t="inlineStr">
        <is>
          <t>no-count</t>
        </is>
      </c>
      <c r="AC73" t="inlineStr"/>
      <c r="AD73" t="inlineStr"/>
      <c r="AE73" t="inlineStr"/>
      <c r="AF73" t="inlineStr">
        <is>
          <t>unknown</t>
        </is>
      </c>
      <c r="AG73" t="inlineStr"/>
      <c r="AH73" t="inlineStr">
        <is>
          <t>unknown</t>
        </is>
      </c>
      <c r="AI73" t="inlineStr">
        <is>
          <t>candidate</t>
        </is>
      </c>
      <c r="AJ73" t="inlineStr">
        <is>
          <t>occupied</t>
        </is>
      </c>
      <c r="AK73" t="inlineStr"/>
      <c r="AL73" t="inlineStr"/>
      <c r="AM73" s="3" t="inlineStr">
        <is>
          <t>No opened source gives a count: no Built In profile with a total, the company site publishes none, and LinkedIn was off-limits. Founder to confirm at intake.</t>
        </is>
      </c>
      <c r="AN73" t="inlineStr">
        <is>
          <t>leasing-press</t>
        </is>
      </c>
      <c r="AO73" t="inlineStr">
        <is>
          <t>2025-05-14</t>
        </is>
      </c>
      <c r="AP73" t="inlineStr">
        <is>
          <t>no-coworking-in-building</t>
        </is>
      </c>
      <c r="AQ73" t="inlineStr">
        <is>
          <t>1008230009</t>
        </is>
      </c>
      <c r="AR73" t="n">
        <v>0</v>
      </c>
      <c r="AS73" t="inlineStr">
        <is>
          <t>5,000 sf; 1,500 sf</t>
        </is>
      </c>
      <c r="AT73" t="inlineStr">
        <is>
          <t>S2</t>
        </is>
      </c>
    </row>
    <row r="74">
      <c r="A74" t="inlineStr">
        <is>
          <t>B-C-078</t>
        </is>
      </c>
      <c r="B74" t="inlineStr">
        <is>
          <t>Instant</t>
        </is>
      </c>
      <c r="C74" s="2" t="inlineStr">
        <is>
          <t>https://instant.one</t>
        </is>
      </c>
      <c r="D74" t="inlineStr">
        <is>
          <t>software (e-commerce checkout and marketing)</t>
        </is>
      </c>
      <c r="E74" t="inlineStr">
        <is>
          <t>B-B-036</t>
        </is>
      </c>
      <c r="F74" t="inlineStr">
        <is>
          <t>53 West 21st Street</t>
        </is>
      </c>
      <c r="G74" t="inlineStr">
        <is>
          <t>unknown</t>
        </is>
      </c>
      <c r="H74" t="inlineStr">
        <is>
          <t>10010</t>
        </is>
      </c>
      <c r="I74" t="n">
        <v>40.741548</v>
      </c>
      <c r="J74" t="n">
        <v>-73.99300700000001</v>
      </c>
      <c r="K74" t="inlineStr">
        <is>
          <t>Y</t>
        </is>
      </c>
      <c r="L74" t="inlineStr">
        <is>
          <t>40-75</t>
        </is>
      </c>
      <c r="M74" t="inlineStr">
        <is>
          <t>whole-company</t>
        </is>
      </c>
      <c r="N74" s="2" t="inlineStr">
        <is>
          <t>https://www.builtinnyc.com/company/instant</t>
        </is>
      </c>
      <c r="O74" s="2" t="inlineStr">
        <is>
          <t>https://commercialobserver.com/2025/05/instant-lease-moinian-53-55-west-21st-street/</t>
        </is>
      </c>
      <c r="P74" t="inlineStr">
        <is>
          <t>2025-05-14</t>
        </is>
      </c>
      <c r="Q74" t="inlineStr"/>
      <c r="R74" t="inlineStr">
        <is>
          <t>medium</t>
        </is>
      </c>
      <c r="S74" t="inlineStr">
        <is>
          <t>N</t>
        </is>
      </c>
      <c r="T74" t="inlineStr"/>
      <c r="U74" t="inlineStr"/>
      <c r="V74" s="3" t="inlineStr">
        <is>
          <t>First NYC office, three-year furnished lease of 5,000 sf at 53-55 W 21st St (Moinian), move-in June 2025. Sydney-based. Built In shows 40 total employees (whole company), so the NYC team is at most 40 by arithmetic; its own count is not sourced.</t>
        </is>
      </c>
      <c r="W74" t="inlineStr">
        <is>
          <t>2026-10-23</t>
        </is>
      </c>
      <c r="X74" t="inlineStr">
        <is>
          <t>Sydney</t>
        </is>
      </c>
      <c r="Y74" t="inlineStr">
        <is>
          <t>N</t>
        </is>
      </c>
      <c r="Z74" t="inlineStr">
        <is>
          <t>row notes (CO lease report: 'Sydney-based')</t>
        </is>
      </c>
      <c r="AA74" t="inlineStr">
        <is>
          <t>40</t>
        </is>
      </c>
      <c r="AB74" t="inlineStr">
        <is>
          <t>single-source</t>
        </is>
      </c>
      <c r="AC74" t="inlineStr"/>
      <c r="AD74" t="inlineStr"/>
      <c r="AE74" t="inlineStr"/>
      <c r="AF74" t="inlineStr">
        <is>
          <t>unknown</t>
        </is>
      </c>
      <c r="AG74" t="inlineStr"/>
      <c r="AH74" t="inlineStr">
        <is>
          <t>unknown</t>
        </is>
      </c>
      <c r="AI74" t="inlineStr">
        <is>
          <t>candidate</t>
        </is>
      </c>
      <c r="AJ74" t="inlineStr">
        <is>
          <t>occupied</t>
        </is>
      </c>
      <c r="AK74" t="inlineStr"/>
      <c r="AL74" t="inlineStr">
        <is>
          <t>2026-10-23</t>
        </is>
      </c>
      <c r="AM74" s="3" t="inlineStr"/>
      <c r="AN74" t="inlineStr">
        <is>
          <t>leasing-press</t>
        </is>
      </c>
      <c r="AO74" t="inlineStr"/>
      <c r="AP74" t="inlineStr">
        <is>
          <t>no-coworking-in-building</t>
        </is>
      </c>
      <c r="AQ74" t="inlineStr">
        <is>
          <t>1008230009</t>
        </is>
      </c>
      <c r="AR74" t="n">
        <v>0</v>
      </c>
      <c r="AS74" t="inlineStr">
        <is>
          <t>5,000 sf</t>
        </is>
      </c>
      <c r="AT74" t="inlineStr">
        <is>
          <t>S2</t>
        </is>
      </c>
    </row>
    <row r="75">
      <c r="A75" t="inlineStr">
        <is>
          <t>B-C-079</t>
        </is>
      </c>
      <c r="B75" t="inlineStr">
        <is>
          <t>PlayPlay</t>
        </is>
      </c>
      <c r="C75" s="2" t="inlineStr">
        <is>
          <t>https://playplay.com</t>
        </is>
      </c>
      <c r="D75" t="inlineStr">
        <is>
          <t>software (video creation)</t>
        </is>
      </c>
      <c r="E75" t="inlineStr">
        <is>
          <t>B-B-036</t>
        </is>
      </c>
      <c r="F75" t="inlineStr">
        <is>
          <t>53 West 21st Street</t>
        </is>
      </c>
      <c r="G75" t="inlineStr">
        <is>
          <t>unknown</t>
        </is>
      </c>
      <c r="H75" t="inlineStr">
        <is>
          <t>10010</t>
        </is>
      </c>
      <c r="I75" t="n">
        <v>40.741548</v>
      </c>
      <c r="J75" t="n">
        <v>-73.99300700000001</v>
      </c>
      <c r="K75" t="inlineStr">
        <is>
          <t>Y</t>
        </is>
      </c>
      <c r="L75" t="inlineStr">
        <is>
          <t>151-250</t>
        </is>
      </c>
      <c r="M75" t="inlineStr">
        <is>
          <t>whole-company</t>
        </is>
      </c>
      <c r="N75" s="2" t="inlineStr">
        <is>
          <t>https://www.builtinnyc.com/company/playplay</t>
        </is>
      </c>
      <c r="O75" s="2" t="inlineStr">
        <is>
          <t>https://commercialobserver.com/2025/05/instant-lease-moinian-53-55-west-21st-street/</t>
        </is>
      </c>
      <c r="P75" t="inlineStr">
        <is>
          <t>2025-05-14</t>
        </is>
      </c>
      <c r="Q75" t="inlineStr"/>
      <c r="R75" t="inlineStr">
        <is>
          <t>medium</t>
        </is>
      </c>
      <c r="S75" t="inlineStr">
        <is>
          <t>N</t>
        </is>
      </c>
      <c r="T75" t="inlineStr"/>
      <c r="U75" t="inlineStr"/>
      <c r="V75" s="3" t="inlineStr">
        <is>
          <t>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is>
      </c>
      <c r="W75" t="inlineStr">
        <is>
          <t>2026-10-23</t>
        </is>
      </c>
      <c r="X75" t="inlineStr">
        <is>
          <t>Paris</t>
        </is>
      </c>
      <c r="Y75" t="inlineStr">
        <is>
          <t>N</t>
        </is>
      </c>
      <c r="Z75" t="inlineStr">
        <is>
          <t>https://www.reveliolabs.com/companies/playplay/employees</t>
        </is>
      </c>
      <c r="AA75" t="inlineStr">
        <is>
          <t>230</t>
        </is>
      </c>
      <c r="AB75" t="inlineStr">
        <is>
          <t>agree</t>
        </is>
      </c>
      <c r="AC75" t="inlineStr">
        <is>
          <t>181</t>
        </is>
      </c>
      <c r="AD75" t="inlineStr">
        <is>
          <t>https://www.reveliolabs.com/companies/playplay/employees</t>
        </is>
      </c>
      <c r="AE75" t="inlineStr">
        <is>
          <t>2026-08-31</t>
        </is>
      </c>
      <c r="AF75" t="inlineStr">
        <is>
          <t>unknown</t>
        </is>
      </c>
      <c r="AG75" t="inlineStr"/>
      <c r="AH75" t="inlineStr">
        <is>
          <t>unknown</t>
        </is>
      </c>
      <c r="AI75" t="inlineStr">
        <is>
          <t>candidate</t>
        </is>
      </c>
      <c r="AJ75" t="inlineStr">
        <is>
          <t>occupied</t>
        </is>
      </c>
      <c r="AK75" t="inlineStr"/>
      <c r="AL75" t="inlineStr">
        <is>
          <t>2026-10-23</t>
        </is>
      </c>
      <c r="AM75" s="3" t="inlineStr"/>
      <c r="AN75" t="inlineStr">
        <is>
          <t>leasing-press</t>
        </is>
      </c>
      <c r="AO75" t="inlineStr"/>
      <c r="AP75" t="inlineStr">
        <is>
          <t>no-coworking-in-building</t>
        </is>
      </c>
      <c r="AQ75" t="inlineStr">
        <is>
          <t>1008230009</t>
        </is>
      </c>
      <c r="AR75" t="n">
        <v>0</v>
      </c>
      <c r="AS75" t="inlineStr"/>
      <c r="AT75" t="inlineStr">
        <is>
          <t>S2</t>
        </is>
      </c>
    </row>
    <row r="76">
      <c r="A76" t="inlineStr">
        <is>
          <t>B-C-076</t>
        </is>
      </c>
      <c r="B76" t="inlineStr">
        <is>
          <t>Euclidean Capital</t>
        </is>
      </c>
      <c r="C76" t="inlineStr">
        <is>
          <t>unknown</t>
        </is>
      </c>
      <c r="D76" t="inlineStr">
        <is>
          <t>investment management (family office)</t>
        </is>
      </c>
      <c r="E76" t="inlineStr">
        <is>
          <t>B-B-035</t>
        </is>
      </c>
      <c r="F76" t="inlineStr">
        <is>
          <t>149 Fifth Avenue</t>
        </is>
      </c>
      <c r="G76" t="inlineStr">
        <is>
          <t>unknown</t>
        </is>
      </c>
      <c r="H76" t="inlineStr">
        <is>
          <t>10010</t>
        </is>
      </c>
      <c r="I76" t="n">
        <v>40.740407</v>
      </c>
      <c r="J76" t="n">
        <v>-73.990193</v>
      </c>
      <c r="K76" t="inlineStr">
        <is>
          <t>Y</t>
        </is>
      </c>
      <c r="L76" t="inlineStr">
        <is>
          <t>unknown</t>
        </is>
      </c>
      <c r="M76" t="inlineStr">
        <is>
          <t>unknown</t>
        </is>
      </c>
      <c r="N76" t="inlineStr"/>
      <c r="O76" s="2" t="inlineStr">
        <is>
          <t>https://commercialobserver.com/2025/01/euclidean-capital-lease-149-fifth-avenue/</t>
        </is>
      </c>
      <c r="P76" t="inlineStr">
        <is>
          <t>2025-01-08</t>
        </is>
      </c>
      <c r="Q76" t="inlineStr"/>
      <c r="R76" t="inlineStr">
        <is>
          <t>medium</t>
        </is>
      </c>
      <c r="S76" t="inlineStr">
        <is>
          <t>N</t>
        </is>
      </c>
      <c r="T76" t="inlineStr"/>
      <c r="U76" t="inlineStr"/>
      <c r="V76" s="3" t="inlineStr">
        <is>
          <t>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W76" t="inlineStr">
        <is>
          <t>2026-10-23</t>
        </is>
      </c>
      <c r="X76" t="inlineStr">
        <is>
          <t>unknown</t>
        </is>
      </c>
      <c r="Y76" t="inlineStr">
        <is>
          <t>unknown</t>
        </is>
      </c>
      <c r="Z76" t="inlineStr"/>
      <c r="AA76" t="inlineStr"/>
      <c r="AB76" t="inlineStr">
        <is>
          <t>no-count</t>
        </is>
      </c>
      <c r="AC76" t="inlineStr"/>
      <c r="AD76" t="inlineStr"/>
      <c r="AE76" t="inlineStr"/>
      <c r="AF76" t="inlineStr">
        <is>
          <t>unknown</t>
        </is>
      </c>
      <c r="AG76" t="inlineStr"/>
      <c r="AH76" t="inlineStr">
        <is>
          <t>unknown</t>
        </is>
      </c>
      <c r="AI76" t="inlineStr">
        <is>
          <t>candidate</t>
        </is>
      </c>
      <c r="AJ76" t="inlineStr">
        <is>
          <t>occupancy-unconfirmed</t>
        </is>
      </c>
      <c r="AK76" t="inlineStr"/>
      <c r="AL76" t="inlineStr"/>
      <c r="AM76" s="3" t="inlineStr">
        <is>
          <t>No opened source gives a count: no Built In profile with a total, the company site publishes none, and LinkedIn was off-limits. Founder to confirm at intake.</t>
        </is>
      </c>
      <c r="AN76" t="inlineStr">
        <is>
          <t>leasing-press</t>
        </is>
      </c>
      <c r="AO76" t="inlineStr"/>
      <c r="AP76" t="inlineStr">
        <is>
          <t>no-coworking-in-building</t>
        </is>
      </c>
      <c r="AQ76" t="inlineStr">
        <is>
          <t>1008500001</t>
        </is>
      </c>
      <c r="AR76" t="n">
        <v>0</v>
      </c>
      <c r="AS76" t="inlineStr">
        <is>
          <t>23,000 sf</t>
        </is>
      </c>
      <c r="AT76" t="inlineStr">
        <is>
          <t>S2</t>
        </is>
      </c>
    </row>
    <row r="77">
      <c r="A77" t="inlineStr">
        <is>
          <t>B-C-080</t>
        </is>
      </c>
      <c r="B77" t="inlineStr">
        <is>
          <t>Varley</t>
        </is>
      </c>
      <c r="C77" s="2" t="inlineStr">
        <is>
          <t>https://www.varley.com</t>
        </is>
      </c>
      <c r="D77" t="inlineStr">
        <is>
          <t>fashion brand (offices)</t>
        </is>
      </c>
      <c r="E77" t="inlineStr">
        <is>
          <t>B-B-037</t>
        </is>
      </c>
      <c r="F77" t="inlineStr">
        <is>
          <t>155 Fifth Avenue</t>
        </is>
      </c>
      <c r="G77" t="inlineStr">
        <is>
          <t>unknown</t>
        </is>
      </c>
      <c r="H77" t="inlineStr">
        <is>
          <t>10010</t>
        </is>
      </c>
      <c r="I77" t="n">
        <v>40.740438</v>
      </c>
      <c r="J77" t="n">
        <v>-73.99003399999999</v>
      </c>
      <c r="K77" t="inlineStr">
        <is>
          <t>Y</t>
        </is>
      </c>
      <c r="L77" t="inlineStr">
        <is>
          <t>unknown</t>
        </is>
      </c>
      <c r="M77" t="inlineStr">
        <is>
          <t>unknown</t>
        </is>
      </c>
      <c r="N77" t="inlineStr"/>
      <c r="O77" s="2" t="inlineStr">
        <is>
          <t>https://commercialobserver.com/2025/04/vitesse-psp-lease-155-fifth-avenue/</t>
        </is>
      </c>
      <c r="P77" t="inlineStr">
        <is>
          <t>2025-04-25</t>
        </is>
      </c>
      <c r="Q77" t="inlineStr"/>
      <c r="R77" t="inlineStr">
        <is>
          <t>medium</t>
        </is>
      </c>
      <c r="S77" t="inlineStr">
        <is>
          <t>N</t>
        </is>
      </c>
      <c r="T77" t="inlineStr"/>
      <c r="U77" t="inlineStr"/>
      <c r="V77" s="3" t="inlineStr">
        <is>
          <t>CO lists 'the offices of fashion retailer Varley' as the only other tenant at 155 Fifth. Contact page opened shows no address.</t>
        </is>
      </c>
      <c r="W77" t="inlineStr">
        <is>
          <t>2026-10-23</t>
        </is>
      </c>
      <c r="X77" t="inlineStr">
        <is>
          <t>unknown</t>
        </is>
      </c>
      <c r="Y77" t="inlineStr">
        <is>
          <t>unknown</t>
        </is>
      </c>
      <c r="Z77" t="inlineStr"/>
      <c r="AA77" t="inlineStr"/>
      <c r="AB77" t="inlineStr">
        <is>
          <t>no-count</t>
        </is>
      </c>
      <c r="AC77" t="inlineStr"/>
      <c r="AD77" t="inlineStr"/>
      <c r="AE77" t="inlineStr"/>
      <c r="AF77" t="inlineStr">
        <is>
          <t>unknown</t>
        </is>
      </c>
      <c r="AG77" t="inlineStr"/>
      <c r="AH77" t="inlineStr">
        <is>
          <t>unknown</t>
        </is>
      </c>
      <c r="AI77" t="inlineStr">
        <is>
          <t>candidate</t>
        </is>
      </c>
      <c r="AJ77" t="inlineStr">
        <is>
          <t>occupied</t>
        </is>
      </c>
      <c r="AK77" t="inlineStr"/>
      <c r="AL77" t="inlineStr"/>
      <c r="AM77" s="3" t="inlineStr">
        <is>
          <t>No opened source gives a count: no Built In profile with a total, the company site publishes none, and LinkedIn was off-limits. Founder to confirm at intake.</t>
        </is>
      </c>
      <c r="AN77" t="inlineStr">
        <is>
          <t>leasing-press</t>
        </is>
      </c>
      <c r="AO77" t="inlineStr"/>
      <c r="AP77" t="inlineStr">
        <is>
          <t>no-coworking-in-building</t>
        </is>
      </c>
      <c r="AQ77" t="inlineStr">
        <is>
          <t>1008500004</t>
        </is>
      </c>
      <c r="AR77" t="n">
        <v>0</v>
      </c>
      <c r="AS77" t="inlineStr"/>
      <c r="AT77" t="inlineStr">
        <is>
          <t>S2</t>
        </is>
      </c>
    </row>
    <row r="78">
      <c r="A78" t="inlineStr">
        <is>
          <t>B-C-081</t>
        </is>
      </c>
      <c r="B78" t="inlineStr">
        <is>
          <t>Vitesse PSP</t>
        </is>
      </c>
      <c r="C78" s="2" t="inlineStr">
        <is>
          <t>https://www.vitesse.io</t>
        </is>
      </c>
      <c r="D78" t="inlineStr">
        <is>
          <t>fintech (payments and treasury)</t>
        </is>
      </c>
      <c r="E78" t="inlineStr">
        <is>
          <t>B-B-037</t>
        </is>
      </c>
      <c r="F78" t="inlineStr">
        <is>
          <t>155 Fifth Avenue</t>
        </is>
      </c>
      <c r="G78" t="inlineStr">
        <is>
          <t>unknown</t>
        </is>
      </c>
      <c r="H78" t="inlineStr">
        <is>
          <t>10010</t>
        </is>
      </c>
      <c r="I78" t="n">
        <v>40.740438</v>
      </c>
      <c r="J78" t="n">
        <v>-73.99003399999999</v>
      </c>
      <c r="K78" t="inlineStr">
        <is>
          <t>Y</t>
        </is>
      </c>
      <c r="L78" t="inlineStr">
        <is>
          <t>unknown</t>
        </is>
      </c>
      <c r="M78" t="inlineStr">
        <is>
          <t>unknown</t>
        </is>
      </c>
      <c r="N78" t="inlineStr"/>
      <c r="O78" s="2" t="inlineStr">
        <is>
          <t>https://commercialobserver.com/2025/04/vitesse-psp-lease-155-fifth-avenue/</t>
        </is>
      </c>
      <c r="P78" t="inlineStr">
        <is>
          <t>2025-04-25</t>
        </is>
      </c>
      <c r="Q78" t="inlineStr"/>
      <c r="R78" t="inlineStr">
        <is>
          <t>medium</t>
        </is>
      </c>
      <c r="S78" t="inlineStr">
        <is>
          <t>N</t>
        </is>
      </c>
      <c r="T78" t="inlineStr"/>
      <c r="U78" t="inlineStr"/>
      <c r="V78" s="3" t="inlineStr">
        <is>
          <t>5,200 sf lease (CO citing Crain's). London-based; NYC headcount not sourced.</t>
        </is>
      </c>
      <c r="W78" t="inlineStr">
        <is>
          <t>2026-10-23</t>
        </is>
      </c>
      <c r="X78" t="inlineStr">
        <is>
          <t>unknown</t>
        </is>
      </c>
      <c r="Y78" t="inlineStr">
        <is>
          <t>unknown</t>
        </is>
      </c>
      <c r="Z78" t="inlineStr"/>
      <c r="AA78" t="inlineStr"/>
      <c r="AB78" t="inlineStr">
        <is>
          <t>no-count</t>
        </is>
      </c>
      <c r="AC78" t="inlineStr"/>
      <c r="AD78" t="inlineStr"/>
      <c r="AE78" t="inlineStr"/>
      <c r="AF78" t="inlineStr">
        <is>
          <t>unknown</t>
        </is>
      </c>
      <c r="AG78" t="inlineStr"/>
      <c r="AH78" t="inlineStr">
        <is>
          <t>unknown</t>
        </is>
      </c>
      <c r="AI78" t="inlineStr">
        <is>
          <t>candidate</t>
        </is>
      </c>
      <c r="AJ78" t="inlineStr">
        <is>
          <t>occupancy-unconfirmed</t>
        </is>
      </c>
      <c r="AK78" t="inlineStr"/>
      <c r="AL78" t="inlineStr"/>
      <c r="AM78" s="3" t="inlineStr">
        <is>
          <t>No opened source gives a count: no Built In profile with a total, the company site publishes none, and LinkedIn was off-limits. Founder to confirm at intake.</t>
        </is>
      </c>
      <c r="AN78" t="inlineStr">
        <is>
          <t>leasing-press</t>
        </is>
      </c>
      <c r="AO78" t="inlineStr"/>
      <c r="AP78" t="inlineStr">
        <is>
          <t>no-coworking-in-building</t>
        </is>
      </c>
      <c r="AQ78" t="inlineStr">
        <is>
          <t>1008500004</t>
        </is>
      </c>
      <c r="AR78" t="n">
        <v>0</v>
      </c>
      <c r="AS78" t="inlineStr">
        <is>
          <t>5,200 sf</t>
        </is>
      </c>
      <c r="AT78" t="inlineStr">
        <is>
          <t>S2</t>
        </is>
      </c>
    </row>
    <row r="79">
      <c r="A79" t="inlineStr">
        <is>
          <t>B-C-082</t>
        </is>
      </c>
      <c r="B79" t="inlineStr">
        <is>
          <t>Candid Health</t>
        </is>
      </c>
      <c r="C79" s="2" t="inlineStr">
        <is>
          <t>https://www.candidhealth.com</t>
        </is>
      </c>
      <c r="D79" t="inlineStr">
        <is>
          <t>software (healthcare billing)</t>
        </is>
      </c>
      <c r="E79" t="inlineStr">
        <is>
          <t>B-B-038</t>
        </is>
      </c>
      <c r="F79" t="inlineStr">
        <is>
          <t>675 Avenue of the Americas</t>
        </is>
      </c>
      <c r="G79" t="inlineStr">
        <is>
          <t>3</t>
        </is>
      </c>
      <c r="H79" t="inlineStr">
        <is>
          <t>10010</t>
        </is>
      </c>
      <c r="I79" t="n">
        <v>40.742014</v>
      </c>
      <c r="J79" t="n">
        <v>-73.99370500000001</v>
      </c>
      <c r="K79" t="inlineStr">
        <is>
          <t>Y</t>
        </is>
      </c>
      <c r="L79" t="inlineStr">
        <is>
          <t>unknown</t>
        </is>
      </c>
      <c r="M79" t="inlineStr">
        <is>
          <t>unknown</t>
        </is>
      </c>
      <c r="N79" s="2" t="inlineStr">
        <is>
          <t>https://www.builtinnyc.com/company/candid</t>
        </is>
      </c>
      <c r="O79" s="2" t="inlineStr">
        <is>
          <t>https://commercialobserver.com/2026/01/candid-health-lease-675-avenue-of-the-americas/</t>
        </is>
      </c>
      <c r="P79" t="inlineStr">
        <is>
          <t>2026-01-27</t>
        </is>
      </c>
      <c r="Q79" s="2" t="inlineStr">
        <is>
          <t>https://rebusinessonline.com/candid-health-signs-28687-sf-office-lease-in-midtown-manhattan/</t>
        </is>
      </c>
      <c r="R79" t="inlineStr">
        <is>
          <t>medium</t>
        </is>
      </c>
      <c r="S79" t="inlineStr">
        <is>
          <t>N</t>
        </is>
      </c>
      <c r="T79" t="inlineStr"/>
      <c r="U79" t="inlineStr"/>
      <c r="V79" s="3" t="inlineStr">
        <is>
          <t>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79" t="inlineStr">
        <is>
          <t>2026-10-23</t>
        </is>
      </c>
      <c r="X79" t="inlineStr">
        <is>
          <t>New York</t>
        </is>
      </c>
      <c r="Y79" t="inlineStr">
        <is>
          <t>Y</t>
        </is>
      </c>
      <c r="Z79" t="inlineStr">
        <is>
          <t>https://www.builtinnyc.com/company/candid/offices</t>
        </is>
      </c>
      <c r="AA79" t="inlineStr">
        <is>
          <t>256</t>
        </is>
      </c>
      <c r="AB79" t="inlineStr">
        <is>
          <t>disagree</t>
        </is>
      </c>
      <c r="AC79" t="inlineStr">
        <is>
          <t>130+</t>
        </is>
      </c>
      <c r="AD79" t="inlineStr">
        <is>
          <t>https://www.candidhealth.com/about</t>
        </is>
      </c>
      <c r="AE79" t="inlineStr">
        <is>
          <t>2025</t>
        </is>
      </c>
      <c r="AF79" t="inlineStr">
        <is>
          <t>unknown</t>
        </is>
      </c>
      <c r="AG79" t="inlineStr"/>
      <c r="AH79" t="inlineStr">
        <is>
          <t>unknown</t>
        </is>
      </c>
      <c r="AI79" t="inlineStr">
        <is>
          <t>candidate</t>
        </is>
      </c>
      <c r="AJ79" t="inlineStr">
        <is>
          <t>signed-not-occupied</t>
        </is>
      </c>
      <c r="AK79" t="inlineStr">
        <is>
          <t>unknown</t>
        </is>
      </c>
      <c r="AL79" t="inlineStr">
        <is>
          <t>2026-10-23</t>
        </is>
      </c>
      <c r="AM79" s="3" t="inlineStr">
        <is>
          <t>Sources disagree: Built In shows 256 (251-500) and Candid Health's own About page timeline, 2025 entry: 'Grew team to 130+ employees' (opened 2026-10-24) (76-150). Band left unknown; founder to confirm at intake.</t>
        </is>
      </c>
      <c r="AN79" t="inlineStr">
        <is>
          <t>leasing-press</t>
        </is>
      </c>
      <c r="AO79" t="inlineStr">
        <is>
          <t>2026-04-13</t>
        </is>
      </c>
      <c r="AP79" t="inlineStr">
        <is>
          <t>no-coworking-in-building</t>
        </is>
      </c>
      <c r="AQ79" t="inlineStr">
        <is>
          <t>1007970037</t>
        </is>
      </c>
      <c r="AR79" t="n">
        <v>0</v>
      </c>
      <c r="AS79" t="inlineStr">
        <is>
          <t>28,687 sf</t>
        </is>
      </c>
      <c r="AT79" t="inlineStr">
        <is>
          <t>S2</t>
        </is>
      </c>
    </row>
    <row r="80">
      <c r="A80" t="inlineStr">
        <is>
          <t>B-C-083</t>
        </is>
      </c>
      <c r="B80" t="inlineStr">
        <is>
          <t>CompStak</t>
        </is>
      </c>
      <c r="C80" s="2" t="inlineStr">
        <is>
          <t>https://compstak.com</t>
        </is>
      </c>
      <c r="D80" t="inlineStr">
        <is>
          <t>software (commercial real estate data)</t>
        </is>
      </c>
      <c r="E80" t="inlineStr">
        <is>
          <t>B-B-038</t>
        </is>
      </c>
      <c r="F80" t="inlineStr">
        <is>
          <t>675 Avenue of the Americas</t>
        </is>
      </c>
      <c r="G80" t="inlineStr">
        <is>
          <t>4</t>
        </is>
      </c>
      <c r="H80" t="inlineStr">
        <is>
          <t>10010</t>
        </is>
      </c>
      <c r="I80" t="n">
        <v>40.742014</v>
      </c>
      <c r="J80" t="n">
        <v>-73.99370500000001</v>
      </c>
      <c r="K80" t="inlineStr">
        <is>
          <t>Y</t>
        </is>
      </c>
      <c r="L80" t="inlineStr">
        <is>
          <t>unknown</t>
        </is>
      </c>
      <c r="M80" t="inlineStr">
        <is>
          <t>unknown</t>
        </is>
      </c>
      <c r="N80" s="2" t="inlineStr">
        <is>
          <t>https://www.builtinnyc.com/company/compstak</t>
        </is>
      </c>
      <c r="O80" s="2" t="inlineStr">
        <is>
          <t>https://compstak.com/about</t>
        </is>
      </c>
      <c r="P80" t="inlineStr">
        <is>
          <t>2026-10-24</t>
        </is>
      </c>
      <c r="Q80" s="2" t="inlineStr">
        <is>
          <t>https://www.builtinnyc.com/company/compstak/offices</t>
        </is>
      </c>
      <c r="R80" t="inlineStr">
        <is>
          <t>high</t>
        </is>
      </c>
      <c r="S80" t="inlineStr">
        <is>
          <t>N</t>
        </is>
      </c>
      <c r="T80" t="inlineStr"/>
      <c r="U80" t="inlineStr"/>
      <c r="V80" s="3" t="inlineStr">
        <is>
          <t>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80" t="inlineStr">
        <is>
          <t>2026-10-23</t>
        </is>
      </c>
      <c r="X80" t="inlineStr">
        <is>
          <t>New York</t>
        </is>
      </c>
      <c r="Y80" t="inlineStr">
        <is>
          <t>Y</t>
        </is>
      </c>
      <c r="Z80" t="inlineStr">
        <is>
          <t>https://www.builtinnyc.com/company/compstak/offices</t>
        </is>
      </c>
      <c r="AA80" t="inlineStr">
        <is>
          <t>150</t>
        </is>
      </c>
      <c r="AB80" t="inlineStr">
        <is>
          <t>disagree</t>
        </is>
      </c>
      <c r="AC80" t="inlineStr">
        <is>
          <t>157</t>
        </is>
      </c>
      <c r="AD80" t="inlineStr">
        <is>
          <t>https://www.reveliolabs.com/companies/compstak/employees</t>
        </is>
      </c>
      <c r="AE80" t="inlineStr">
        <is>
          <t>2026-08-31</t>
        </is>
      </c>
      <c r="AF80" t="inlineStr">
        <is>
          <t>unknown</t>
        </is>
      </c>
      <c r="AG80" t="inlineStr"/>
      <c r="AH80" t="inlineStr">
        <is>
          <t>unknown</t>
        </is>
      </c>
      <c r="AI80" t="inlineStr">
        <is>
          <t>candidate</t>
        </is>
      </c>
      <c r="AJ80" t="inlineStr">
        <is>
          <t>occupied</t>
        </is>
      </c>
      <c r="AK80" t="inlineStr"/>
      <c r="AL80" t="inlineStr">
        <is>
          <t>2026-10-23</t>
        </is>
      </c>
      <c r="AM80" s="3" t="inlineStr">
        <is>
          <t>Sources disagree: Built In shows 150 (76-150) and Revelio Labs (CompStak, Inc., HQ New York City): about 157 employees worldwide as of March 2026 (151-250). Band left unknown; founder to confirm at intake.</t>
        </is>
      </c>
      <c r="AN80" t="inlineStr">
        <is>
          <t>company-site</t>
        </is>
      </c>
      <c r="AO80" t="inlineStr">
        <is>
          <t>2026-10-23</t>
        </is>
      </c>
      <c r="AP80" t="inlineStr">
        <is>
          <t>no-coworking-in-building</t>
        </is>
      </c>
      <c r="AQ80" t="inlineStr">
        <is>
          <t>1007970037</t>
        </is>
      </c>
      <c r="AR80" t="n">
        <v>0</v>
      </c>
      <c r="AS80" t="inlineStr">
        <is>
          <t>25,644 sf</t>
        </is>
      </c>
      <c r="AT80" t="inlineStr">
        <is>
          <t>S2</t>
        </is>
      </c>
    </row>
    <row r="81">
      <c r="A81" t="inlineStr">
        <is>
          <t>B-C-085</t>
        </is>
      </c>
      <c r="B81" t="inlineStr">
        <is>
          <t>Empathy</t>
        </is>
      </c>
      <c r="C81" s="2" t="inlineStr">
        <is>
          <t>https://www.empathy.com</t>
        </is>
      </c>
      <c r="D81" t="inlineStr">
        <is>
          <t>software and services (bereavement support, insurtech)</t>
        </is>
      </c>
      <c r="E81" t="inlineStr">
        <is>
          <t>B-B-039</t>
        </is>
      </c>
      <c r="F81" t="inlineStr">
        <is>
          <t>56 West 22nd Street</t>
        </is>
      </c>
      <c r="G81" t="inlineStr">
        <is>
          <t>PH</t>
        </is>
      </c>
      <c r="H81" t="inlineStr">
        <is>
          <t>10010</t>
        </is>
      </c>
      <c r="I81" t="n">
        <v>40.741838</v>
      </c>
      <c r="J81" t="n">
        <v>-73.992892</v>
      </c>
      <c r="K81" t="inlineStr">
        <is>
          <t>Y</t>
        </is>
      </c>
      <c r="L81" t="inlineStr">
        <is>
          <t>151-250</t>
        </is>
      </c>
      <c r="M81" t="inlineStr">
        <is>
          <t>whole-company</t>
        </is>
      </c>
      <c r="N81" s="2" t="inlineStr">
        <is>
          <t>https://www.builtinnyc.com/company/empathy</t>
        </is>
      </c>
      <c r="O81" s="2" t="inlineStr">
        <is>
          <t>https://www.empathy.com/</t>
        </is>
      </c>
      <c r="P81" t="inlineStr">
        <is>
          <t>2026-10-24</t>
        </is>
      </c>
      <c r="Q81" s="2" t="inlineStr">
        <is>
          <t>https://www.builtinnyc.com/company/empathy/offices</t>
        </is>
      </c>
      <c r="R81" t="inlineStr">
        <is>
          <t>high</t>
        </is>
      </c>
      <c r="S81" t="inlineStr">
        <is>
          <t>N</t>
        </is>
      </c>
      <c r="T81" t="inlineStr"/>
      <c r="U81" t="inlineStr"/>
      <c r="V81" s="3" t="inlineStr">
        <is>
          <t>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t>
        </is>
      </c>
      <c r="W81" t="inlineStr">
        <is>
          <t>2026-10-23</t>
        </is>
      </c>
      <c r="X81" t="inlineStr">
        <is>
          <t>New York</t>
        </is>
      </c>
      <c r="Y81" t="inlineStr">
        <is>
          <t>Y</t>
        </is>
      </c>
      <c r="Z81" t="inlineStr">
        <is>
          <t>https://www.builtinnyc.com/company/empathy/offices</t>
        </is>
      </c>
      <c r="AA81" t="inlineStr">
        <is>
          <t>200</t>
        </is>
      </c>
      <c r="AB81" t="inlineStr">
        <is>
          <t>single-source</t>
        </is>
      </c>
      <c r="AC81" t="inlineStr"/>
      <c r="AD81" t="inlineStr"/>
      <c r="AE81" t="inlineStr"/>
      <c r="AF81" t="inlineStr">
        <is>
          <t>unknown</t>
        </is>
      </c>
      <c r="AG81" t="inlineStr"/>
      <c r="AH81" t="inlineStr">
        <is>
          <t>unknown</t>
        </is>
      </c>
      <c r="AI81" t="inlineStr">
        <is>
          <t>candidate</t>
        </is>
      </c>
      <c r="AJ81" t="inlineStr">
        <is>
          <t>occupied</t>
        </is>
      </c>
      <c r="AK81" t="inlineStr"/>
      <c r="AL81" t="inlineStr">
        <is>
          <t>2026-10-23</t>
        </is>
      </c>
      <c r="AM81" s="3" t="inlineStr"/>
      <c r="AN81" t="inlineStr">
        <is>
          <t>company-site</t>
        </is>
      </c>
      <c r="AO81" t="inlineStr">
        <is>
          <t>2026-10-23</t>
        </is>
      </c>
      <c r="AP81" t="inlineStr">
        <is>
          <t>no-coworking-in-building</t>
        </is>
      </c>
      <c r="AQ81" t="inlineStr">
        <is>
          <t>1008230073</t>
        </is>
      </c>
      <c r="AR81" t="n">
        <v>0</v>
      </c>
      <c r="AS81" t="inlineStr">
        <is>
          <t>5,508 sf</t>
        </is>
      </c>
      <c r="AT81" t="inlineStr">
        <is>
          <t>S2</t>
        </is>
      </c>
    </row>
    <row r="82">
      <c r="A82" t="inlineStr">
        <is>
          <t>B-C-086</t>
        </is>
      </c>
      <c r="B82" t="inlineStr">
        <is>
          <t>Sharma Brands</t>
        </is>
      </c>
      <c r="C82" s="2" t="inlineStr">
        <is>
          <t>https://sharmabrands.com</t>
        </is>
      </c>
      <c r="D82" t="inlineStr">
        <is>
          <t>brand strategy agency / brand holding company</t>
        </is>
      </c>
      <c r="E82" t="inlineStr">
        <is>
          <t>B-B-039</t>
        </is>
      </c>
      <c r="F82" t="inlineStr">
        <is>
          <t>56 West 22nd Street</t>
        </is>
      </c>
      <c r="G82" t="inlineStr">
        <is>
          <t>11</t>
        </is>
      </c>
      <c r="H82" t="inlineStr">
        <is>
          <t>10010</t>
        </is>
      </c>
      <c r="I82" t="n">
        <v>40.741838</v>
      </c>
      <c r="J82" t="n">
        <v>-73.992892</v>
      </c>
      <c r="K82" t="inlineStr">
        <is>
          <t>Y</t>
        </is>
      </c>
      <c r="L82" t="inlineStr">
        <is>
          <t>unknown</t>
        </is>
      </c>
      <c r="M82" t="inlineStr">
        <is>
          <t>unknown</t>
        </is>
      </c>
      <c r="N82" t="inlineStr"/>
      <c r="O82" s="2" t="inlineStr">
        <is>
          <t>https://commercialobserver.com/2022/11/sharma-brands-leases-6k-sf-at-56-west-22nd-street/</t>
        </is>
      </c>
      <c r="P82" t="inlineStr">
        <is>
          <t>2022-11-29</t>
        </is>
      </c>
      <c r="Q82" t="inlineStr"/>
      <c r="R82" t="inlineStr">
        <is>
          <t>low</t>
        </is>
      </c>
      <c r="S82" t="inlineStr">
        <is>
          <t>N</t>
        </is>
      </c>
      <c r="T82" t="inlineStr"/>
      <c r="U82" t="inlineStr"/>
      <c r="V82" s="3" t="inlineStr">
        <is>
          <t>Five-year lease (2022) of the full 11th floor (5,508 sf), shared with portfolio company 1180 Media. Not re-confirmed; site shows no address.</t>
        </is>
      </c>
      <c r="W82" t="inlineStr">
        <is>
          <t>2026-10-23</t>
        </is>
      </c>
      <c r="X82" t="inlineStr">
        <is>
          <t>unknown</t>
        </is>
      </c>
      <c r="Y82" t="inlineStr">
        <is>
          <t>unknown</t>
        </is>
      </c>
      <c r="Z82" t="inlineStr"/>
      <c r="AA82" t="inlineStr"/>
      <c r="AB82" t="inlineStr">
        <is>
          <t>no-count</t>
        </is>
      </c>
      <c r="AC82" t="inlineStr"/>
      <c r="AD82" t="inlineStr"/>
      <c r="AE82" t="inlineStr"/>
      <c r="AF82" t="inlineStr">
        <is>
          <t>unknown</t>
        </is>
      </c>
      <c r="AG82" t="inlineStr"/>
      <c r="AH82" t="inlineStr">
        <is>
          <t>unknown</t>
        </is>
      </c>
      <c r="AI82" t="inlineStr">
        <is>
          <t>candidate</t>
        </is>
      </c>
      <c r="AJ82" t="inlineStr">
        <is>
          <t>occupancy-unconfirmed</t>
        </is>
      </c>
      <c r="AK82" t="inlineStr"/>
      <c r="AL82" t="inlineStr"/>
      <c r="AM82" s="3" t="inlineStr">
        <is>
          <t>No opened source gives a count: no Built In profile with a total, the company site publishes none, and LinkedIn was off-limits. Founder to confirm at intake.</t>
        </is>
      </c>
      <c r="AN82" t="inlineStr">
        <is>
          <t>leasing-press</t>
        </is>
      </c>
      <c r="AO82" t="inlineStr"/>
      <c r="AP82" t="inlineStr">
        <is>
          <t>no-coworking-in-building</t>
        </is>
      </c>
      <c r="AQ82" t="inlineStr">
        <is>
          <t>1008230073</t>
        </is>
      </c>
      <c r="AR82" t="n">
        <v>0</v>
      </c>
      <c r="AS82" t="inlineStr">
        <is>
          <t>5,508 sf</t>
        </is>
      </c>
      <c r="AT82" t="inlineStr">
        <is>
          <t>S2</t>
        </is>
      </c>
    </row>
    <row r="83">
      <c r="A83" t="inlineStr">
        <is>
          <t>B-C-087</t>
        </is>
      </c>
      <c r="B83" t="inlineStr">
        <is>
          <t>The Information</t>
        </is>
      </c>
      <c r="C83" s="2" t="inlineStr">
        <is>
          <t>https://www.theinformation.com</t>
        </is>
      </c>
      <c r="D83" t="inlineStr">
        <is>
          <t>digital media (tech news)</t>
        </is>
      </c>
      <c r="E83" t="inlineStr">
        <is>
          <t>B-B-040</t>
        </is>
      </c>
      <c r="F83" t="inlineStr">
        <is>
          <t>20 West 22nd Street</t>
        </is>
      </c>
      <c r="G83" t="inlineStr">
        <is>
          <t>10 (Suite 1006)</t>
        </is>
      </c>
      <c r="H83" t="inlineStr">
        <is>
          <t>10010</t>
        </is>
      </c>
      <c r="I83" t="n">
        <v>40.74129</v>
      </c>
      <c r="J83" t="n">
        <v>-73.991589</v>
      </c>
      <c r="K83" t="inlineStr">
        <is>
          <t>Y</t>
        </is>
      </c>
      <c r="L83" t="inlineStr">
        <is>
          <t>unknown</t>
        </is>
      </c>
      <c r="M83" t="inlineStr">
        <is>
          <t>unknown</t>
        </is>
      </c>
      <c r="N83" t="inlineStr"/>
      <c r="O83" s="2" t="inlineStr">
        <is>
          <t>https://www.theinformation.com/about</t>
        </is>
      </c>
      <c r="P83" t="inlineStr">
        <is>
          <t>2026-10-23</t>
        </is>
      </c>
      <c r="Q83" s="2" t="inlineStr">
        <is>
          <t>https://commercialobserver.com/2022/06/the-information-20-west-22nd-street/</t>
        </is>
      </c>
      <c r="R83" t="inlineStr">
        <is>
          <t>medium</t>
        </is>
      </c>
      <c r="S83" t="inlineStr">
        <is>
          <t>N</t>
        </is>
      </c>
      <c r="T83" t="inlineStr"/>
      <c r="U83" t="inlineStr"/>
      <c r="V83" s="3" t="inlineStr">
        <is>
          <t>About page lists the East Coast Bureau at 20 West 22nd Street, Suite 1006. CO 2022: 5,830 sf on part of the 10th floor. San Francisco HQ; NYC bureau headcount not sourced.</t>
        </is>
      </c>
      <c r="W83" t="inlineStr">
        <is>
          <t>2026-10-23</t>
        </is>
      </c>
      <c r="X83" t="inlineStr">
        <is>
          <t>San Francisco</t>
        </is>
      </c>
      <c r="Y83" t="inlineStr">
        <is>
          <t>N</t>
        </is>
      </c>
      <c r="Z83" t="inlineStr">
        <is>
          <t>row notes (the About page lists an East Coast bureau here)</t>
        </is>
      </c>
      <c r="AA83" t="inlineStr"/>
      <c r="AB83" t="inlineStr">
        <is>
          <t>no-count</t>
        </is>
      </c>
      <c r="AC83" t="inlineStr"/>
      <c r="AD83" t="inlineStr"/>
      <c r="AE83" t="inlineStr"/>
      <c r="AF83" t="inlineStr">
        <is>
          <t>unknown</t>
        </is>
      </c>
      <c r="AG83" t="inlineStr"/>
      <c r="AH83" t="inlineStr">
        <is>
          <t>security desk</t>
        </is>
      </c>
      <c r="AI83" t="inlineStr">
        <is>
          <t>candidate</t>
        </is>
      </c>
      <c r="AJ83" t="inlineStr">
        <is>
          <t>occupied</t>
        </is>
      </c>
      <c r="AK83" t="inlineStr"/>
      <c r="AL83" t="inlineStr"/>
      <c r="AM83" s="3" t="inlineStr">
        <is>
          <t>No opened source gives a count: no Built In profile with a total, the company site publishes none, and LinkedIn was off-limits. Founder to confirm at intake.</t>
        </is>
      </c>
      <c r="AN83" t="inlineStr">
        <is>
          <t>company-site</t>
        </is>
      </c>
      <c r="AO83" t="inlineStr">
        <is>
          <t>2022-06-15</t>
        </is>
      </c>
      <c r="AP83" t="inlineStr">
        <is>
          <t>no-coworking-in-building</t>
        </is>
      </c>
      <c r="AQ83" t="inlineStr">
        <is>
          <t>1008230055</t>
        </is>
      </c>
      <c r="AR83" t="n">
        <v>0</v>
      </c>
      <c r="AS83" t="inlineStr">
        <is>
          <t>5,830 sf</t>
        </is>
      </c>
      <c r="AT83" t="inlineStr">
        <is>
          <t>S2</t>
        </is>
      </c>
    </row>
    <row r="84">
      <c r="A84" t="inlineStr">
        <is>
          <t>B-C-088</t>
        </is>
      </c>
      <c r="B84" t="inlineStr">
        <is>
          <t>Heard City</t>
        </is>
      </c>
      <c r="C84" s="2" t="inlineStr">
        <is>
          <t>https://www.heardcity.com</t>
        </is>
      </c>
      <c r="D84" t="inlineStr">
        <is>
          <t>audio post-production studio</t>
        </is>
      </c>
      <c r="E84" t="inlineStr">
        <is>
          <t>B-B-041</t>
        </is>
      </c>
      <c r="F84" t="inlineStr">
        <is>
          <t>16 West 22nd Street</t>
        </is>
      </c>
      <c r="G84" t="inlineStr">
        <is>
          <t>5</t>
        </is>
      </c>
      <c r="H84" t="inlineStr">
        <is>
          <t>10010</t>
        </is>
      </c>
      <c r="I84" t="n">
        <v>40.74118</v>
      </c>
      <c r="J84" t="n">
        <v>-73.99129000000001</v>
      </c>
      <c r="K84" t="inlineStr">
        <is>
          <t>Y</t>
        </is>
      </c>
      <c r="L84" t="inlineStr">
        <is>
          <t>unknown</t>
        </is>
      </c>
      <c r="M84" t="inlineStr">
        <is>
          <t>unknown</t>
        </is>
      </c>
      <c r="N84" t="inlineStr"/>
      <c r="O84" s="2" t="inlineStr">
        <is>
          <t>https://www.heardcity.com/contact</t>
        </is>
      </c>
      <c r="P84" t="inlineStr">
        <is>
          <t>2026-10-23</t>
        </is>
      </c>
      <c r="Q84" s="2" t="inlineStr">
        <is>
          <t>https://commercialobserver.com/2022/02/recording-studio-heard-city-re-ups-13k-sf-lease-in-flatiron-district/</t>
        </is>
      </c>
      <c r="R84" t="inlineStr">
        <is>
          <t>medium</t>
        </is>
      </c>
      <c r="S84" t="inlineStr">
        <is>
          <t>N</t>
        </is>
      </c>
      <c r="T84" t="inlineStr"/>
      <c r="U84" t="inlineStr"/>
      <c r="V84" s="3" t="inlineStr">
        <is>
          <t>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4" t="inlineStr">
        <is>
          <t>2026-10-23</t>
        </is>
      </c>
      <c r="X84" t="inlineStr">
        <is>
          <t>unknown</t>
        </is>
      </c>
      <c r="Y84" t="inlineStr">
        <is>
          <t>unknown</t>
        </is>
      </c>
      <c r="Z84" t="inlineStr"/>
      <c r="AA84" t="inlineStr"/>
      <c r="AB84" t="inlineStr">
        <is>
          <t>no-count</t>
        </is>
      </c>
      <c r="AC84" t="inlineStr"/>
      <c r="AD84" t="inlineStr"/>
      <c r="AE84" t="inlineStr"/>
      <c r="AF84" t="inlineStr">
        <is>
          <t>unknown</t>
        </is>
      </c>
      <c r="AG84" t="inlineStr"/>
      <c r="AH84" t="inlineStr">
        <is>
          <t>unknown</t>
        </is>
      </c>
      <c r="AI84" t="inlineStr">
        <is>
          <t>candidate</t>
        </is>
      </c>
      <c r="AJ84" t="inlineStr">
        <is>
          <t>occupied</t>
        </is>
      </c>
      <c r="AK84" t="inlineStr"/>
      <c r="AL84" t="inlineStr"/>
      <c r="AM84" s="3" t="inlineStr">
        <is>
          <t>No opened source gives a count: no Built In profile with a total, the company site publishes none, and LinkedIn was off-limits. Founder to confirm at intake.</t>
        </is>
      </c>
      <c r="AN84" t="inlineStr">
        <is>
          <t>company-site</t>
        </is>
      </c>
      <c r="AO84" t="inlineStr">
        <is>
          <t>2022-02-25</t>
        </is>
      </c>
      <c r="AP84" t="inlineStr">
        <is>
          <t>no-coworking-in-building</t>
        </is>
      </c>
      <c r="AQ84" t="inlineStr">
        <is>
          <t>1008230029</t>
        </is>
      </c>
      <c r="AR84" t="n">
        <v>0</v>
      </c>
      <c r="AS84" t="inlineStr">
        <is>
          <t>13,000 sf</t>
        </is>
      </c>
      <c r="AT84" t="inlineStr">
        <is>
          <t>S2</t>
        </is>
      </c>
    </row>
    <row r="85">
      <c r="A85" t="inlineStr">
        <is>
          <t>B-C-089</t>
        </is>
      </c>
      <c r="B85" t="inlineStr">
        <is>
          <t>Sussex Publishers (Psychology Today)</t>
        </is>
      </c>
      <c r="C85" s="2" t="inlineStr">
        <is>
          <t>https://www.psychologytoday.com</t>
        </is>
      </c>
      <c r="D85" t="inlineStr">
        <is>
          <t>publishing / digital media</t>
        </is>
      </c>
      <c r="E85" t="inlineStr">
        <is>
          <t>B-B-041</t>
        </is>
      </c>
      <c r="F85" t="inlineStr">
        <is>
          <t>16 West 22nd Street</t>
        </is>
      </c>
      <c r="G85" t="inlineStr">
        <is>
          <t>2</t>
        </is>
      </c>
      <c r="H85" t="inlineStr">
        <is>
          <t>10010</t>
        </is>
      </c>
      <c r="I85" t="n">
        <v>40.74118</v>
      </c>
      <c r="J85" t="n">
        <v>-73.99129000000001</v>
      </c>
      <c r="K85" t="inlineStr">
        <is>
          <t>Y</t>
        </is>
      </c>
      <c r="L85" t="inlineStr">
        <is>
          <t>unknown</t>
        </is>
      </c>
      <c r="M85" t="inlineStr">
        <is>
          <t>unknown</t>
        </is>
      </c>
      <c r="N85" t="inlineStr"/>
      <c r="O85" s="2" t="inlineStr">
        <is>
          <t>https://commercialobserver.com/2023/11/psychology-today-16-west-22nd-street-lease-relocation/</t>
        </is>
      </c>
      <c r="P85" t="inlineStr">
        <is>
          <t>2023-11-27</t>
        </is>
      </c>
      <c r="Q85" t="inlineStr"/>
      <c r="R85" t="inlineStr">
        <is>
          <t>low</t>
        </is>
      </c>
      <c r="S85" t="inlineStr">
        <is>
          <t>N</t>
        </is>
      </c>
      <c r="T85" t="inlineStr"/>
      <c r="U85" t="inlineStr"/>
      <c r="V85" s="3" t="inlineStr">
        <is>
          <t>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85" t="inlineStr">
        <is>
          <t>2026-10-23</t>
        </is>
      </c>
      <c r="X85" t="inlineStr">
        <is>
          <t>unknown</t>
        </is>
      </c>
      <c r="Y85" t="inlineStr">
        <is>
          <t>unknown</t>
        </is>
      </c>
      <c r="Z85" t="inlineStr"/>
      <c r="AA85" t="inlineStr"/>
      <c r="AB85" t="inlineStr">
        <is>
          <t>no-count</t>
        </is>
      </c>
      <c r="AC85" t="inlineStr"/>
      <c r="AD85" t="inlineStr"/>
      <c r="AE85" t="inlineStr"/>
      <c r="AF85" t="inlineStr">
        <is>
          <t>unknown</t>
        </is>
      </c>
      <c r="AG85" t="inlineStr"/>
      <c r="AH85" t="inlineStr">
        <is>
          <t>unknown</t>
        </is>
      </c>
      <c r="AI85" t="inlineStr">
        <is>
          <t>candidate</t>
        </is>
      </c>
      <c r="AJ85" t="inlineStr">
        <is>
          <t>occupancy-unconfirmed</t>
        </is>
      </c>
      <c r="AK85" t="inlineStr"/>
      <c r="AL85" t="inlineStr"/>
      <c r="AM85" s="3" t="inlineStr">
        <is>
          <t>No opened source gives a count: no Built In profile with a total, the company site publishes none, and LinkedIn was off-limits. Founder to confirm at intake.</t>
        </is>
      </c>
      <c r="AN85" t="inlineStr">
        <is>
          <t>leasing-press</t>
        </is>
      </c>
      <c r="AO85" t="inlineStr"/>
      <c r="AP85" t="inlineStr">
        <is>
          <t>no-coworking-in-building</t>
        </is>
      </c>
      <c r="AQ85" t="inlineStr">
        <is>
          <t>1008230029</t>
        </is>
      </c>
      <c r="AR85" t="n">
        <v>0</v>
      </c>
      <c r="AS85" t="inlineStr">
        <is>
          <t>3,285 sf</t>
        </is>
      </c>
      <c r="AT85" t="inlineStr">
        <is>
          <t>S2</t>
        </is>
      </c>
    </row>
    <row r="86">
      <c r="A86" t="inlineStr">
        <is>
          <t>B-C-090</t>
        </is>
      </c>
      <c r="B86" t="inlineStr">
        <is>
          <t>Hungryroot</t>
        </is>
      </c>
      <c r="C86" s="2" t="inlineStr">
        <is>
          <t>https://www.hungryroot.com</t>
        </is>
      </c>
      <c r="D86" t="inlineStr">
        <is>
          <t>food delivery (grocery and meal kits)</t>
        </is>
      </c>
      <c r="E86" t="inlineStr">
        <is>
          <t>B-B-043</t>
        </is>
      </c>
      <c r="F86" t="inlineStr">
        <is>
          <t>7 West 22nd Street</t>
        </is>
      </c>
      <c r="G86" t="inlineStr">
        <is>
          <t>6</t>
        </is>
      </c>
      <c r="H86" t="inlineStr">
        <is>
          <t>10010</t>
        </is>
      </c>
      <c r="I86" t="n">
        <v>40.741355</v>
      </c>
      <c r="J86" t="n">
        <v>-73.99059800000001</v>
      </c>
      <c r="K86" t="inlineStr">
        <is>
          <t>Y</t>
        </is>
      </c>
      <c r="L86" t="inlineStr">
        <is>
          <t>unknown</t>
        </is>
      </c>
      <c r="M86" t="inlineStr">
        <is>
          <t>unknown</t>
        </is>
      </c>
      <c r="N86" s="2" t="inlineStr">
        <is>
          <t>https://www.builtinnyc.com/company/hungryroot</t>
        </is>
      </c>
      <c r="O86" s="2" t="inlineStr">
        <is>
          <t>https://commercialobserver.com/2019/11/hungryroot-lease-7-west-22nd-street/</t>
        </is>
      </c>
      <c r="P86" t="inlineStr">
        <is>
          <t>2019-11-25</t>
        </is>
      </c>
      <c r="Q86" t="inlineStr"/>
      <c r="R86" t="inlineStr">
        <is>
          <t>low</t>
        </is>
      </c>
      <c r="S86" t="inlineStr">
        <is>
          <t>N</t>
        </is>
      </c>
      <c r="T86" t="inlineStr"/>
      <c r="U86" t="inlineStr"/>
      <c r="V86" s="3" t="inlineStr">
        <is>
          <t>Five-year lease (2019) of 10,000 sf on the 6th floor; term likely ended around 2024 and no current confirmation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is>
      </c>
      <c r="W86" t="inlineStr">
        <is>
          <t>2026-10-23</t>
        </is>
      </c>
      <c r="X86" t="inlineStr">
        <is>
          <t>New York</t>
        </is>
      </c>
      <c r="Y86" t="inlineStr">
        <is>
          <t>Y</t>
        </is>
      </c>
      <c r="Z86" t="inlineStr">
        <is>
          <t>https://www.builtinnyc.com/company/hungryroot/offices</t>
        </is>
      </c>
      <c r="AA86" t="inlineStr">
        <is>
          <t>200</t>
        </is>
      </c>
      <c r="AB86" t="inlineStr">
        <is>
          <t>disagree</t>
        </is>
      </c>
      <c r="AC86" t="inlineStr">
        <is>
          <t>326</t>
        </is>
      </c>
      <c r="AD86" t="inlineStr">
        <is>
          <t>https://www.reveliolabs.com/companies/hungryroot/employees</t>
        </is>
      </c>
      <c r="AE86" t="inlineStr">
        <is>
          <t>2026-08-31</t>
        </is>
      </c>
      <c r="AF86" t="inlineStr">
        <is>
          <t>unknown</t>
        </is>
      </c>
      <c r="AG86" t="inlineStr"/>
      <c r="AH86" t="inlineStr">
        <is>
          <t>unknown</t>
        </is>
      </c>
      <c r="AI86" t="inlineStr">
        <is>
          <t>candidate</t>
        </is>
      </c>
      <c r="AJ86" t="inlineStr">
        <is>
          <t>occupancy-unconfirmed</t>
        </is>
      </c>
      <c r="AK86" t="inlineStr"/>
      <c r="AL86" t="inlineStr">
        <is>
          <t>2026-10-23</t>
        </is>
      </c>
      <c r="AM86" s="3" t="inlineStr">
        <is>
          <t>Sources disagree: Built In shows 200 (151-250) and Revelio Labs (Hungryroot, Inc., HQ New York City): about 326 employees worldwide as of March 2026 (251-500). Band left unknown; founder to confirm at intake.</t>
        </is>
      </c>
      <c r="AN86" t="inlineStr">
        <is>
          <t>leasing-press</t>
        </is>
      </c>
      <c r="AO86" t="inlineStr"/>
      <c r="AP86" t="inlineStr">
        <is>
          <t>no-coworking-in-building</t>
        </is>
      </c>
      <c r="AQ86" t="inlineStr">
        <is>
          <t>1008240032</t>
        </is>
      </c>
      <c r="AR86" t="n">
        <v>0</v>
      </c>
      <c r="AS86" t="inlineStr">
        <is>
          <t>10,000 sf</t>
        </is>
      </c>
      <c r="AT86" t="inlineStr">
        <is>
          <t>S2</t>
        </is>
      </c>
    </row>
    <row r="87">
      <c r="A87" t="inlineStr">
        <is>
          <t>B-C-093</t>
        </is>
      </c>
      <c r="B87" t="inlineStr">
        <is>
          <t>Kodansha USA</t>
        </is>
      </c>
      <c r="C87" s="2" t="inlineStr">
        <is>
          <t>https://kodansha.us/</t>
        </is>
      </c>
      <c r="D87" t="inlineStr">
        <is>
          <t>Publishing (manga and books)</t>
        </is>
      </c>
      <c r="E87" t="inlineStr">
        <is>
          <t>B-B-045</t>
        </is>
      </c>
      <c r="F87" t="inlineStr">
        <is>
          <t>25 East 22nd Street</t>
        </is>
      </c>
      <c r="G87" t="inlineStr">
        <is>
          <t>building owner-occupant</t>
        </is>
      </c>
      <c r="H87" t="inlineStr">
        <is>
          <t>10010</t>
        </is>
      </c>
      <c r="I87" t="n">
        <v>40.740287</v>
      </c>
      <c r="J87" t="n">
        <v>-73.98805</v>
      </c>
      <c r="K87" t="inlineStr">
        <is>
          <t>Y</t>
        </is>
      </c>
      <c r="L87" t="inlineStr">
        <is>
          <t>unknown</t>
        </is>
      </c>
      <c r="M87" t="inlineStr">
        <is>
          <t>unknown</t>
        </is>
      </c>
      <c r="N87" t="inlineStr"/>
      <c r="O87" s="2" t="inlineStr">
        <is>
          <t>https://kodansha.us/privacy-policy/</t>
        </is>
      </c>
      <c r="P87" t="inlineStr">
        <is>
          <t>2026-10-23</t>
        </is>
      </c>
      <c r="Q87" s="2" t="inlineStr">
        <is>
          <t>https://flatironnomad.nyc/2024/02/07/january-news-roundup-5/</t>
        </is>
      </c>
      <c r="R87" t="inlineStr">
        <is>
          <t>medium</t>
        </is>
      </c>
      <c r="S87" t="inlineStr">
        <is>
          <t>N</t>
        </is>
      </c>
      <c r="T87" t="inlineStr"/>
      <c r="U87" t="inlineStr"/>
      <c r="V87" s="3" t="inlineStr">
        <is>
          <t>Kodansha USA privacy policy (live) gives 25 East 22nd Street, New York, NY 10010. FNP Feb 2024 roundup (citing Crain's) reports Kodansha bought the six-story, 17,000 sf building. Headcount not found in an opened source.</t>
        </is>
      </c>
      <c r="W87" t="inlineStr">
        <is>
          <t>2026-10-23</t>
        </is>
      </c>
      <c r="X87" t="inlineStr">
        <is>
          <t>unknown</t>
        </is>
      </c>
      <c r="Y87" t="inlineStr">
        <is>
          <t>unknown</t>
        </is>
      </c>
      <c r="Z87" t="inlineStr"/>
      <c r="AA87" t="inlineStr"/>
      <c r="AB87" t="inlineStr">
        <is>
          <t>no-count</t>
        </is>
      </c>
      <c r="AC87" t="inlineStr"/>
      <c r="AD87" t="inlineStr"/>
      <c r="AE87" t="inlineStr"/>
      <c r="AF87" t="inlineStr">
        <is>
          <t>unknown</t>
        </is>
      </c>
      <c r="AG87" t="inlineStr"/>
      <c r="AH87" t="inlineStr">
        <is>
          <t>unknown</t>
        </is>
      </c>
      <c r="AI87" t="inlineStr">
        <is>
          <t>candidate</t>
        </is>
      </c>
      <c r="AJ87" t="inlineStr">
        <is>
          <t>occupied</t>
        </is>
      </c>
      <c r="AK87" t="inlineStr"/>
      <c r="AL87" t="inlineStr"/>
      <c r="AM87" s="3" t="inlineStr">
        <is>
          <t>No opened source gives a count: no Built In profile with a total, the company site publishes none, and LinkedIn was off-limits. Founder to confirm at intake.</t>
        </is>
      </c>
      <c r="AN87" t="inlineStr">
        <is>
          <t>company-site</t>
        </is>
      </c>
      <c r="AO87" t="inlineStr">
        <is>
          <t>2024-02-07</t>
        </is>
      </c>
      <c r="AP87" t="inlineStr">
        <is>
          <t>no-coworking-in-building</t>
        </is>
      </c>
      <c r="AQ87" t="inlineStr">
        <is>
          <t>1008510022</t>
        </is>
      </c>
      <c r="AR87" t="n">
        <v>0</v>
      </c>
      <c r="AS87" t="inlineStr">
        <is>
          <t>17,000 sf</t>
        </is>
      </c>
      <c r="AT87" t="inlineStr">
        <is>
          <t>S3</t>
        </is>
      </c>
    </row>
    <row r="88">
      <c r="A88" t="inlineStr">
        <is>
          <t>B-C-091</t>
        </is>
      </c>
      <c r="B88" t="inlineStr">
        <is>
          <t>1stDibs</t>
        </is>
      </c>
      <c r="C88" s="2" t="inlineStr">
        <is>
          <t>https://www.1stdibs.com/</t>
        </is>
      </c>
      <c r="D88" t="inlineStr">
        <is>
          <t>Online marketplace (design, art, antiques)</t>
        </is>
      </c>
      <c r="E88" t="inlineStr">
        <is>
          <t>B-B-044</t>
        </is>
      </c>
      <c r="F88" t="inlineStr">
        <is>
          <t>300 Park Avenue South</t>
        </is>
      </c>
      <c r="G88" t="inlineStr">
        <is>
          <t>10</t>
        </is>
      </c>
      <c r="H88" t="inlineStr">
        <is>
          <t>10010</t>
        </is>
      </c>
      <c r="I88" t="n">
        <v>40.739819</v>
      </c>
      <c r="J88" t="n">
        <v>-73.986885</v>
      </c>
      <c r="K88" t="inlineStr">
        <is>
          <t>Y</t>
        </is>
      </c>
      <c r="L88" t="inlineStr">
        <is>
          <t>251-500</t>
        </is>
      </c>
      <c r="M88" t="inlineStr">
        <is>
          <t>whole-company</t>
        </is>
      </c>
      <c r="N88" s="2" t="inlineStr">
        <is>
          <t>https://www.builtinnyc.com/company/1stdibs/offices</t>
        </is>
      </c>
      <c r="O88" s="2" t="inlineStr">
        <is>
          <t>https://www.1stdibs.com/about/user-agreement/</t>
        </is>
      </c>
      <c r="P88" t="inlineStr">
        <is>
          <t>2026-10-23</t>
        </is>
      </c>
      <c r="Q88" s="2" t="inlineStr">
        <is>
          <t>https://commercialobserver.com/2025/08/flexible-finance-relocating-41k-sf-300-park-avenue-south/</t>
        </is>
      </c>
      <c r="R88" t="inlineStr">
        <is>
          <t>high</t>
        </is>
      </c>
      <c r="S88" t="inlineStr">
        <is>
          <t>N</t>
        </is>
      </c>
      <c r="T88" t="inlineStr"/>
      <c r="U88" t="inlineStr"/>
      <c r="V88" s="3" t="inlineStr">
        <is>
          <t>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is>
      </c>
      <c r="W88" t="inlineStr">
        <is>
          <t>2026-10-23</t>
        </is>
      </c>
      <c r="X88" t="inlineStr">
        <is>
          <t>New York</t>
        </is>
      </c>
      <c r="Y88" t="inlineStr">
        <is>
          <t>Y</t>
        </is>
      </c>
      <c r="Z88" t="inlineStr">
        <is>
          <t>https://www.builtinnyc.com/company/1stdibs/offices</t>
        </is>
      </c>
      <c r="AA88" t="inlineStr">
        <is>
          <t>455</t>
        </is>
      </c>
      <c r="AB88" t="inlineStr">
        <is>
          <t>agree</t>
        </is>
      </c>
      <c r="AC88" t="inlineStr">
        <is>
          <t>281</t>
        </is>
      </c>
      <c r="AD88" t="inlineStr">
        <is>
          <t>https://www.reveliolabs.com/companies/1stdibs/employees</t>
        </is>
      </c>
      <c r="AE88" t="inlineStr">
        <is>
          <t>2026-08-31</t>
        </is>
      </c>
      <c r="AF88" t="inlineStr">
        <is>
          <t>unknown</t>
        </is>
      </c>
      <c r="AG88" t="inlineStr"/>
      <c r="AH88" t="inlineStr">
        <is>
          <t>security desk</t>
        </is>
      </c>
      <c r="AI88" t="inlineStr">
        <is>
          <t>candidate</t>
        </is>
      </c>
      <c r="AJ88" t="inlineStr">
        <is>
          <t>occupied</t>
        </is>
      </c>
      <c r="AK88" t="inlineStr"/>
      <c r="AL88" t="inlineStr">
        <is>
          <t>2026-10-23</t>
        </is>
      </c>
      <c r="AM88" s="3" t="inlineStr"/>
      <c r="AN88" t="inlineStr">
        <is>
          <t>company-site</t>
        </is>
      </c>
      <c r="AO88" t="inlineStr">
        <is>
          <t>2025-08-18</t>
        </is>
      </c>
      <c r="AP88" t="inlineStr">
        <is>
          <t>no-coworking-in-building</t>
        </is>
      </c>
      <c r="AQ88" t="inlineStr">
        <is>
          <t>1008510035</t>
        </is>
      </c>
      <c r="AR88" t="n">
        <v>0</v>
      </c>
      <c r="AS88" t="inlineStr">
        <is>
          <t>13,671 sf</t>
        </is>
      </c>
      <c r="AT88" t="inlineStr">
        <is>
          <t>S3</t>
        </is>
      </c>
    </row>
    <row r="89">
      <c r="A89" t="inlineStr">
        <is>
          <t>B-C-092</t>
        </is>
      </c>
      <c r="B89" t="inlineStr">
        <is>
          <t>Flexible Finance (Flex)</t>
        </is>
      </c>
      <c r="C89" t="inlineStr">
        <is>
          <t>unknown</t>
        </is>
      </c>
      <c r="D89" t="inlineStr">
        <is>
          <t>fintech (flexible rent payments)</t>
        </is>
      </c>
      <c r="E89" t="inlineStr">
        <is>
          <t>B-B-044</t>
        </is>
      </c>
      <c r="F89" t="inlineStr">
        <is>
          <t>300 Park Avenue South</t>
        </is>
      </c>
      <c r="G89" t="inlineStr">
        <is>
          <t>top three floors</t>
        </is>
      </c>
      <c r="H89" t="inlineStr">
        <is>
          <t>10010</t>
        </is>
      </c>
      <c r="I89" t="n">
        <v>40.739819</v>
      </c>
      <c r="J89" t="n">
        <v>-73.986885</v>
      </c>
      <c r="K89" t="inlineStr">
        <is>
          <t>Y</t>
        </is>
      </c>
      <c r="L89" t="inlineStr">
        <is>
          <t>unknown</t>
        </is>
      </c>
      <c r="M89" t="inlineStr">
        <is>
          <t>unknown</t>
        </is>
      </c>
      <c r="N89" t="inlineStr"/>
      <c r="O89" s="2" t="inlineStr">
        <is>
          <t>https://commercialobserver.com/2025/08/flexible-finance-relocating-41k-sf-300-park-avenue-south/</t>
        </is>
      </c>
      <c r="P89" t="inlineStr">
        <is>
          <t>2025-08-18</t>
        </is>
      </c>
      <c r="Q89" s="2" t="inlineStr">
        <is>
          <t>https://therealdeal.com/new-york/2025/09/02/top-office-leases-nyc-in-august-2025/</t>
        </is>
      </c>
      <c r="R89" t="inlineStr">
        <is>
          <t>medium</t>
        </is>
      </c>
      <c r="S89" t="inlineStr">
        <is>
          <t>N</t>
        </is>
      </c>
      <c r="T89" t="inlineStr"/>
      <c r="U89" t="inlineStr"/>
      <c r="V89" s="3" t="inlineStr">
        <is>
          <t>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is>
      </c>
      <c r="W89" t="inlineStr">
        <is>
          <t>2026-10-23</t>
        </is>
      </c>
      <c r="X89" t="inlineStr">
        <is>
          <t>unknown</t>
        </is>
      </c>
      <c r="Y89" t="inlineStr">
        <is>
          <t>unknown</t>
        </is>
      </c>
      <c r="Z89" t="inlineStr"/>
      <c r="AA89" t="inlineStr"/>
      <c r="AB89" t="inlineStr">
        <is>
          <t>no-count</t>
        </is>
      </c>
      <c r="AC89" t="inlineStr"/>
      <c r="AD89" t="inlineStr"/>
      <c r="AE89" t="inlineStr"/>
      <c r="AF89" t="inlineStr">
        <is>
          <t>unknown</t>
        </is>
      </c>
      <c r="AG89" t="inlineStr"/>
      <c r="AH89" t="inlineStr">
        <is>
          <t>security desk</t>
        </is>
      </c>
      <c r="AI89" t="inlineStr">
        <is>
          <t>candidate</t>
        </is>
      </c>
      <c r="AJ89" t="inlineStr">
        <is>
          <t>occupancy-unconfirmed</t>
        </is>
      </c>
      <c r="AK89" t="inlineStr"/>
      <c r="AL89" t="inlineStr"/>
      <c r="AM89" s="3" t="inlineStr">
        <is>
          <t>The Built In 'flex' profile is a different LA company.</t>
        </is>
      </c>
      <c r="AN89" t="inlineStr">
        <is>
          <t>leasing-press</t>
        </is>
      </c>
      <c r="AO89" t="inlineStr">
        <is>
          <t>2025-09-02</t>
        </is>
      </c>
      <c r="AP89" t="inlineStr">
        <is>
          <t>no-coworking-in-building</t>
        </is>
      </c>
      <c r="AQ89" t="inlineStr">
        <is>
          <t>1008510035</t>
        </is>
      </c>
      <c r="AR89" t="n">
        <v>0</v>
      </c>
      <c r="AS89" t="inlineStr">
        <is>
          <t>41,000 sf</t>
        </is>
      </c>
      <c r="AT89" t="inlineStr">
        <is>
          <t>S2</t>
        </is>
      </c>
    </row>
    <row r="90">
      <c r="A90" t="inlineStr">
        <is>
          <t>B-C-094</t>
        </is>
      </c>
      <c r="B90" t="inlineStr">
        <is>
          <t>BMF (We Are BMF)</t>
        </is>
      </c>
      <c r="C90" s="2" t="inlineStr">
        <is>
          <t>https://wearebmf.com/</t>
        </is>
      </c>
      <c r="D90" t="inlineStr">
        <is>
          <t>Marketing / experiential agency</t>
        </is>
      </c>
      <c r="E90" t="inlineStr">
        <is>
          <t>B-B-046</t>
        </is>
      </c>
      <c r="F90" t="inlineStr">
        <is>
          <t>50 West 23rd Street</t>
        </is>
      </c>
      <c r="G90" t="inlineStr">
        <is>
          <t>unknown</t>
        </is>
      </c>
      <c r="H90" t="inlineStr">
        <is>
          <t>10010</t>
        </is>
      </c>
      <c r="I90" t="n">
        <v>40.742199</v>
      </c>
      <c r="J90" t="n">
        <v>-73.99172</v>
      </c>
      <c r="K90" t="inlineStr">
        <is>
          <t>Y</t>
        </is>
      </c>
      <c r="L90" t="inlineStr">
        <is>
          <t>40-75</t>
        </is>
      </c>
      <c r="M90" t="inlineStr">
        <is>
          <t>whole-company</t>
        </is>
      </c>
      <c r="N90" s="2" t="inlineStr">
        <is>
          <t>https://www.builtinnyc.com/company/bmf/offices</t>
        </is>
      </c>
      <c r="O90" s="2" t="inlineStr">
        <is>
          <t>https://commercialobserver.com/?p=544473</t>
        </is>
      </c>
      <c r="P90" t="inlineStr">
        <is>
          <t>2025-09-09</t>
        </is>
      </c>
      <c r="Q90" s="2" t="inlineStr">
        <is>
          <t>https://nyrej.com/index.php/two-new-leases-signed-at-50-west-23rd-st</t>
        </is>
      </c>
      <c r="R90" t="inlineStr">
        <is>
          <t>medium</t>
        </is>
      </c>
      <c r="S90" t="inlineStr">
        <is>
          <t>N</t>
        </is>
      </c>
      <c r="T90" t="inlineStr"/>
      <c r="U90" t="inlineStr"/>
      <c r="V90" s="3" t="inlineStr">
        <is>
          <t>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0" t="inlineStr">
        <is>
          <t>2026-10-23</t>
        </is>
      </c>
      <c r="X90" t="inlineStr">
        <is>
          <t>New York</t>
        </is>
      </c>
      <c r="Y90" t="inlineStr">
        <is>
          <t>Y</t>
        </is>
      </c>
      <c r="Z90" t="inlineStr">
        <is>
          <t>https://www.builtinnyc.com/company/bmf/offices</t>
        </is>
      </c>
      <c r="AA90" t="inlineStr">
        <is>
          <t>70</t>
        </is>
      </c>
      <c r="AB90" t="inlineStr">
        <is>
          <t>single-source</t>
        </is>
      </c>
      <c r="AC90" t="inlineStr"/>
      <c r="AD90" t="inlineStr"/>
      <c r="AE90" t="inlineStr"/>
      <c r="AF90" t="inlineStr">
        <is>
          <t>unknown</t>
        </is>
      </c>
      <c r="AG90" t="inlineStr"/>
      <c r="AH90" t="inlineStr">
        <is>
          <t>security desk</t>
        </is>
      </c>
      <c r="AI90" t="inlineStr">
        <is>
          <t>candidate</t>
        </is>
      </c>
      <c r="AJ90" t="inlineStr">
        <is>
          <t>occupied</t>
        </is>
      </c>
      <c r="AK90" t="inlineStr"/>
      <c r="AL90" t="inlineStr">
        <is>
          <t>2026-10-23</t>
        </is>
      </c>
      <c r="AM90" s="3" t="inlineStr"/>
      <c r="AN90" t="inlineStr">
        <is>
          <t>leasing-press</t>
        </is>
      </c>
      <c r="AO90" t="inlineStr">
        <is>
          <t>2025-10-14</t>
        </is>
      </c>
      <c r="AP90" t="inlineStr">
        <is>
          <t>no-coworking-in-building</t>
        </is>
      </c>
      <c r="AQ90" t="inlineStr">
        <is>
          <t>1008240015</t>
        </is>
      </c>
      <c r="AR90" t="n">
        <v>0</v>
      </c>
      <c r="AS90" t="inlineStr"/>
      <c r="AT90" t="inlineStr">
        <is>
          <t>S3</t>
        </is>
      </c>
    </row>
    <row r="91">
      <c r="A91" t="inlineStr">
        <is>
          <t>B-C-095</t>
        </is>
      </c>
      <c r="B91" t="inlineStr">
        <is>
          <t>Foursquare</t>
        </is>
      </c>
      <c r="C91" s="2" t="inlineStr">
        <is>
          <t>https://foursquare.com/</t>
        </is>
      </c>
      <c r="D91" t="inlineStr">
        <is>
          <t>Location technology / software</t>
        </is>
      </c>
      <c r="E91" t="inlineStr">
        <is>
          <t>B-B-046</t>
        </is>
      </c>
      <c r="F91" t="inlineStr">
        <is>
          <t>50 West 23rd Street</t>
        </is>
      </c>
      <c r="G91" t="inlineStr">
        <is>
          <t>unknown</t>
        </is>
      </c>
      <c r="H91" t="inlineStr">
        <is>
          <t>10010</t>
        </is>
      </c>
      <c r="I91" t="n">
        <v>40.742199</v>
      </c>
      <c r="J91" t="n">
        <v>-73.99172</v>
      </c>
      <c r="K91" t="inlineStr">
        <is>
          <t>Y</t>
        </is>
      </c>
      <c r="L91" t="inlineStr">
        <is>
          <t>251-500</t>
        </is>
      </c>
      <c r="M91" t="inlineStr">
        <is>
          <t>whole-company</t>
        </is>
      </c>
      <c r="N91" s="2" t="inlineStr">
        <is>
          <t>https://www.builtinnyc.com/company/foursquare/offices</t>
        </is>
      </c>
      <c r="O91" s="2" t="inlineStr">
        <is>
          <t>https://www.builtinnyc.com/company/foursquare/offices</t>
        </is>
      </c>
      <c r="P91" t="inlineStr">
        <is>
          <t>2026-10-23</t>
        </is>
      </c>
      <c r="Q91" s="2" t="inlineStr">
        <is>
          <t>https://nyrej.com/index.php/two-new-leases-signed-at-50-west-23rd-st</t>
        </is>
      </c>
      <c r="R91" t="inlineStr">
        <is>
          <t>high</t>
        </is>
      </c>
      <c r="S91" t="inlineStr">
        <is>
          <t>N</t>
        </is>
      </c>
      <c r="T91" t="inlineStr"/>
      <c r="U91" t="inlineStr"/>
      <c r="V91" s="3" t="inlineStr">
        <is>
          <t>Built In lists HQ 50 West 23rd Street and 350 total employees (live profile, undated). NYREJ Oct 2025 (Two Trees release) names Foursquare as an existing tenant. | Assembly 2026-10-24: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91" t="inlineStr">
        <is>
          <t>2026-10-23</t>
        </is>
      </c>
      <c r="X91" t="inlineStr">
        <is>
          <t>New York</t>
        </is>
      </c>
      <c r="Y91" t="inlineStr">
        <is>
          <t>Y</t>
        </is>
      </c>
      <c r="Z91" t="inlineStr">
        <is>
          <t>https://www.builtinnyc.com/company/foursquare/offices</t>
        </is>
      </c>
      <c r="AA91" t="inlineStr">
        <is>
          <t>350</t>
        </is>
      </c>
      <c r="AB91" t="inlineStr">
        <is>
          <t>agree</t>
        </is>
      </c>
      <c r="AC91" t="inlineStr">
        <is>
          <t>430</t>
        </is>
      </c>
      <c r="AD91" t="inlineStr">
        <is>
          <t>https://www.reveliolabs.com/companies/foursquare-labs/employees</t>
        </is>
      </c>
      <c r="AE91" t="inlineStr">
        <is>
          <t>2026-08-31</t>
        </is>
      </c>
      <c r="AF91" t="inlineStr">
        <is>
          <t>unknown</t>
        </is>
      </c>
      <c r="AG91" t="inlineStr"/>
      <c r="AH91" t="inlineStr">
        <is>
          <t>security desk</t>
        </is>
      </c>
      <c r="AI91" t="inlineStr">
        <is>
          <t>candidate</t>
        </is>
      </c>
      <c r="AJ91" t="inlineStr">
        <is>
          <t>occupied</t>
        </is>
      </c>
      <c r="AK91" t="inlineStr"/>
      <c r="AL91" t="inlineStr">
        <is>
          <t>2026-10-23</t>
        </is>
      </c>
      <c r="AM91" s="3" t="inlineStr"/>
      <c r="AN91" t="inlineStr">
        <is>
          <t>builtin</t>
        </is>
      </c>
      <c r="AO91" t="inlineStr">
        <is>
          <t>2025-10-14</t>
        </is>
      </c>
      <c r="AP91" t="inlineStr">
        <is>
          <t>no-coworking-in-building</t>
        </is>
      </c>
      <c r="AQ91" t="inlineStr">
        <is>
          <t>1008240015</t>
        </is>
      </c>
      <c r="AR91" t="n">
        <v>0</v>
      </c>
      <c r="AS91" t="inlineStr"/>
      <c r="AT91" t="inlineStr">
        <is>
          <t>S3</t>
        </is>
      </c>
    </row>
    <row r="92">
      <c r="A92" t="inlineStr">
        <is>
          <t>B-C-100</t>
        </is>
      </c>
      <c r="B92" t="inlineStr">
        <is>
          <t>LaForce</t>
        </is>
      </c>
      <c r="C92" s="2" t="inlineStr">
        <is>
          <t>https://www.laforce.com/</t>
        </is>
      </c>
      <c r="D92" t="inlineStr">
        <is>
          <t>Public relations / communications agency</t>
        </is>
      </c>
      <c r="E92" t="inlineStr">
        <is>
          <t>B-B-050</t>
        </is>
      </c>
      <c r="F92" t="inlineStr">
        <is>
          <t>53 West 23rd Street</t>
        </is>
      </c>
      <c r="G92" t="inlineStr">
        <is>
          <t>unknown</t>
        </is>
      </c>
      <c r="H92" t="inlineStr">
        <is>
          <t>10010</t>
        </is>
      </c>
      <c r="I92" t="n">
        <v>40.742654</v>
      </c>
      <c r="J92" t="n">
        <v>-73.991559</v>
      </c>
      <c r="K92" t="inlineStr">
        <is>
          <t>Y</t>
        </is>
      </c>
      <c r="L92" t="inlineStr">
        <is>
          <t>unknown</t>
        </is>
      </c>
      <c r="M92" t="inlineStr">
        <is>
          <t>unknown</t>
        </is>
      </c>
      <c r="N92" t="inlineStr"/>
      <c r="O92" s="2" t="inlineStr">
        <is>
          <t>https://commercialobserver.com/2025/10/huge-lease-adams-53-west-23rd-street/</t>
        </is>
      </c>
      <c r="P92" t="inlineStr">
        <is>
          <t>2025-10-02</t>
        </is>
      </c>
      <c r="Q92" t="inlineStr"/>
      <c r="R92" t="inlineStr">
        <is>
          <t>medium</t>
        </is>
      </c>
      <c r="S92" t="inlineStr">
        <is>
          <t>N</t>
        </is>
      </c>
      <c r="T92" t="inlineStr"/>
      <c r="U92" t="inlineStr"/>
      <c r="V92" s="3" t="inlineStr">
        <is>
          <t>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2" t="inlineStr">
        <is>
          <t>2026-10-23</t>
        </is>
      </c>
      <c r="X92" t="inlineStr">
        <is>
          <t>unknown</t>
        </is>
      </c>
      <c r="Y92" t="inlineStr">
        <is>
          <t>unknown</t>
        </is>
      </c>
      <c r="Z92" t="inlineStr"/>
      <c r="AA92" t="inlineStr"/>
      <c r="AB92" t="inlineStr">
        <is>
          <t>no-count</t>
        </is>
      </c>
      <c r="AC92" t="inlineStr"/>
      <c r="AD92" t="inlineStr"/>
      <c r="AE92" t="inlineStr"/>
      <c r="AF92" t="inlineStr">
        <is>
          <t>unknown</t>
        </is>
      </c>
      <c r="AG92" t="inlineStr"/>
      <c r="AH92" t="inlineStr">
        <is>
          <t>security desk</t>
        </is>
      </c>
      <c r="AI92" t="inlineStr">
        <is>
          <t>candidate</t>
        </is>
      </c>
      <c r="AJ92" t="inlineStr">
        <is>
          <t>occupied</t>
        </is>
      </c>
      <c r="AK92" t="inlineStr"/>
      <c r="AL92" t="inlineStr"/>
      <c r="AM92" s="3" t="inlineStr">
        <is>
          <t>No opened source gives a count: no Built In profile with a total, the company site publishes none, and LinkedIn was off-limits. Founder to confirm at intake.</t>
        </is>
      </c>
      <c r="AN92" t="inlineStr">
        <is>
          <t>leasing-press</t>
        </is>
      </c>
      <c r="AO92" t="inlineStr"/>
      <c r="AP92" t="inlineStr">
        <is>
          <t>no-coworking-in-building</t>
        </is>
      </c>
      <c r="AQ92" t="inlineStr">
        <is>
          <t>1008250012</t>
        </is>
      </c>
      <c r="AR92" t="n">
        <v>0</v>
      </c>
      <c r="AS92" t="inlineStr"/>
      <c r="AT92" t="inlineStr">
        <is>
          <t>S3</t>
        </is>
      </c>
    </row>
    <row r="93">
      <c r="A93" t="inlineStr">
        <is>
          <t>B-C-101</t>
        </is>
      </c>
      <c r="B93" t="inlineStr">
        <is>
          <t>TripleLift</t>
        </is>
      </c>
      <c r="C93" s="2" t="inlineStr">
        <is>
          <t>https://triplelift.com/</t>
        </is>
      </c>
      <c r="D93" t="inlineStr">
        <is>
          <t>Advertising technology</t>
        </is>
      </c>
      <c r="E93" t="inlineStr">
        <is>
          <t>B-B-050</t>
        </is>
      </c>
      <c r="F93" t="inlineStr">
        <is>
          <t>53 West 23rd Street</t>
        </is>
      </c>
      <c r="G93" t="inlineStr">
        <is>
          <t>12</t>
        </is>
      </c>
      <c r="H93" t="inlineStr">
        <is>
          <t>10010</t>
        </is>
      </c>
      <c r="I93" t="n">
        <v>40.742654</v>
      </c>
      <c r="J93" t="n">
        <v>-73.991559</v>
      </c>
      <c r="K93" t="inlineStr">
        <is>
          <t>Y</t>
        </is>
      </c>
      <c r="L93" t="inlineStr">
        <is>
          <t>251-500</t>
        </is>
      </c>
      <c r="M93" t="inlineStr">
        <is>
          <t>whole-company</t>
        </is>
      </c>
      <c r="N93" s="2" t="inlineStr">
        <is>
          <t>https://www.builtinnyc.com/company/triplelift/offices</t>
        </is>
      </c>
      <c r="O93" s="2" t="inlineStr">
        <is>
          <t>https://triplelift.com/contact-us/</t>
        </is>
      </c>
      <c r="P93" t="inlineStr">
        <is>
          <t>2026-10-24</t>
        </is>
      </c>
      <c r="Q93" s="2" t="inlineStr">
        <is>
          <t>https://www.builtinnyc.com/company/triplelift/offices</t>
        </is>
      </c>
      <c r="R93" t="inlineStr">
        <is>
          <t>high</t>
        </is>
      </c>
      <c r="S93" t="inlineStr">
        <is>
          <t>N</t>
        </is>
      </c>
      <c r="T93" t="inlineStr"/>
      <c r="U93" t="inlineStr"/>
      <c r="V93" s="3" t="inlineStr">
        <is>
          <t>Company site footer and contact page (live, (c) 2026): '53 W. 23rd St., 12th Floor New York, NY 10010'. Built In lists HQ 53 W 23rd St and 335 total employees; the contact page says '400+ Talented Workers' across 8+ locations, so the whole company may be near the top of the band. Building has 24/7 guard and turnstiles (Adams &amp; Co). | Assembly 2026-10-24: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93" t="inlineStr">
        <is>
          <t>2026-10-23</t>
        </is>
      </c>
      <c r="X93" t="inlineStr">
        <is>
          <t>New York</t>
        </is>
      </c>
      <c r="Y93" t="inlineStr">
        <is>
          <t>Y</t>
        </is>
      </c>
      <c r="Z93" t="inlineStr">
        <is>
          <t>https://www.builtinnyc.com/company/triplelift/offices</t>
        </is>
      </c>
      <c r="AA93" t="inlineStr">
        <is>
          <t>335</t>
        </is>
      </c>
      <c r="AB93" t="inlineStr">
        <is>
          <t>agree</t>
        </is>
      </c>
      <c r="AC93" t="inlineStr">
        <is>
          <t>415</t>
        </is>
      </c>
      <c r="AD93" t="inlineStr">
        <is>
          <t>https://www.reveliolabs.com/companies/triple-lift/employees</t>
        </is>
      </c>
      <c r="AE93" t="inlineStr">
        <is>
          <t>2026-08-31</t>
        </is>
      </c>
      <c r="AF93" t="inlineStr">
        <is>
          <t>unknown</t>
        </is>
      </c>
      <c r="AG93" t="inlineStr"/>
      <c r="AH93" t="inlineStr">
        <is>
          <t>security desk</t>
        </is>
      </c>
      <c r="AI93" t="inlineStr">
        <is>
          <t>candidate</t>
        </is>
      </c>
      <c r="AJ93" t="inlineStr">
        <is>
          <t>occupied</t>
        </is>
      </c>
      <c r="AK93" t="inlineStr"/>
      <c r="AL93" t="inlineStr">
        <is>
          <t>2026-10-23</t>
        </is>
      </c>
      <c r="AM93" s="3" t="inlineStr"/>
      <c r="AN93" t="inlineStr">
        <is>
          <t>company-site</t>
        </is>
      </c>
      <c r="AO93" t="inlineStr">
        <is>
          <t>2026-10-23</t>
        </is>
      </c>
      <c r="AP93" t="inlineStr">
        <is>
          <t>no-coworking-in-building</t>
        </is>
      </c>
      <c r="AQ93" t="inlineStr">
        <is>
          <t>1008250012</t>
        </is>
      </c>
      <c r="AR93" t="n">
        <v>0</v>
      </c>
      <c r="AS93" t="inlineStr"/>
      <c r="AT93" t="inlineStr">
        <is>
          <t>S3</t>
        </is>
      </c>
    </row>
    <row r="94">
      <c r="A94" t="inlineStr">
        <is>
          <t>B-C-099</t>
        </is>
      </c>
      <c r="B94" t="inlineStr">
        <is>
          <t>Chalk</t>
        </is>
      </c>
      <c r="C94" s="2" t="inlineStr">
        <is>
          <t>https://chalk.ai/</t>
        </is>
      </c>
      <c r="D94" t="inlineStr">
        <is>
          <t>Software (data platform for AI)</t>
        </is>
      </c>
      <c r="E94" t="inlineStr">
        <is>
          <t>B-B-049</t>
        </is>
      </c>
      <c r="F94" t="inlineStr">
        <is>
          <t>43 West 23rd Street</t>
        </is>
      </c>
      <c r="G94" t="inlineStr">
        <is>
          <t>unknown</t>
        </is>
      </c>
      <c r="H94" t="inlineStr">
        <is>
          <t>10010</t>
        </is>
      </c>
      <c r="I94" t="n">
        <v>40.742498</v>
      </c>
      <c r="J94" t="n">
        <v>-73.99118799999999</v>
      </c>
      <c r="K94" t="inlineStr">
        <is>
          <t>Y</t>
        </is>
      </c>
      <c r="L94" t="inlineStr">
        <is>
          <t>unknown</t>
        </is>
      </c>
      <c r="M94" t="inlineStr">
        <is>
          <t>unknown</t>
        </is>
      </c>
      <c r="N94" s="2" t="inlineStr">
        <is>
          <t>https://www.builtinnyc.com/company/chalk/offices</t>
        </is>
      </c>
      <c r="O94" s="2" t="inlineStr">
        <is>
          <t>https://commercialobserver.com/2026/07/chalk-ai-lease-flatiron-43-west-23rd-street/</t>
        </is>
      </c>
      <c r="P94" t="inlineStr">
        <is>
          <t>2026-07</t>
        </is>
      </c>
      <c r="Q94" t="inlineStr"/>
      <c r="R94" t="inlineStr">
        <is>
          <t>medium</t>
        </is>
      </c>
      <c r="S94" t="inlineStr">
        <is>
          <t>N</t>
        </is>
      </c>
      <c r="T94" t="inlineStr"/>
      <c r="U94" t="inlineStr"/>
      <c r="V94" s="3" t="inlineStr">
        <is>
          <t>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W94" t="inlineStr">
        <is>
          <t>2026-10-23</t>
        </is>
      </c>
      <c r="X94" t="inlineStr">
        <is>
          <t>San Francisco</t>
        </is>
      </c>
      <c r="Y94" t="inlineStr">
        <is>
          <t>N</t>
        </is>
      </c>
      <c r="Z94" t="inlineStr">
        <is>
          <t>https://www.builtinnyc.com/company/chalk/offices</t>
        </is>
      </c>
      <c r="AA94" t="inlineStr">
        <is>
          <t>40</t>
        </is>
      </c>
      <c r="AB94" t="inlineStr">
        <is>
          <t>disagree</t>
        </is>
      </c>
      <c r="AC94" t="inlineStr">
        <is>
          <t>126</t>
        </is>
      </c>
      <c r="AD94" t="inlineStr">
        <is>
          <t>https://www.reveliolabs.com/companies/chalk-ai/employees</t>
        </is>
      </c>
      <c r="AE94" t="inlineStr">
        <is>
          <t>2026-08-31</t>
        </is>
      </c>
      <c r="AF94" t="inlineStr">
        <is>
          <t>unknown</t>
        </is>
      </c>
      <c r="AG94" t="inlineStr"/>
      <c r="AH94" t="inlineStr">
        <is>
          <t>unknown</t>
        </is>
      </c>
      <c r="AI94" t="inlineStr">
        <is>
          <t>candidate</t>
        </is>
      </c>
      <c r="AJ94" t="inlineStr">
        <is>
          <t>signed-not-occupied</t>
        </is>
      </c>
      <c r="AK94" t="inlineStr">
        <is>
          <t>unknown</t>
        </is>
      </c>
      <c r="AL94" t="inlineStr">
        <is>
          <t>2026-10-23</t>
        </is>
      </c>
      <c r="AM94" s="3" t="inlineStr">
        <is>
          <t>Sources disagree: Built In shows 40 (40-75) and Revelio Labs (Chalk AI, Inc., HQ San Francisco): about 126 employees worldwide as of March 2026 (76-150). Band left unknown; founder to confirm at intake.</t>
        </is>
      </c>
      <c r="AN94" t="inlineStr">
        <is>
          <t>leasing-press</t>
        </is>
      </c>
      <c r="AO94" t="inlineStr"/>
      <c r="AP94" t="inlineStr">
        <is>
          <t>no-coworking-in-building</t>
        </is>
      </c>
      <c r="AQ94" t="inlineStr">
        <is>
          <t>1008250017</t>
        </is>
      </c>
      <c r="AR94" t="n">
        <v>0</v>
      </c>
      <c r="AS94" t="inlineStr">
        <is>
          <t>26,607 sf</t>
        </is>
      </c>
      <c r="AT94" t="inlineStr">
        <is>
          <t>S3</t>
        </is>
      </c>
    </row>
    <row r="95">
      <c r="A95" t="inlineStr">
        <is>
          <t>B-C-096</t>
        </is>
      </c>
      <c r="B95" t="inlineStr">
        <is>
          <t>Inspiren</t>
        </is>
      </c>
      <c r="C95" s="2" t="inlineStr">
        <is>
          <t>https://www.inspiren.com/</t>
        </is>
      </c>
      <c r="D95" t="inlineStr">
        <is>
          <t>Healthcare technology (AI for senior living)</t>
        </is>
      </c>
      <c r="E95" t="inlineStr">
        <is>
          <t>B-B-047</t>
        </is>
      </c>
      <c r="F95" t="inlineStr">
        <is>
          <t>61 West 23rd Street</t>
        </is>
      </c>
      <c r="G95" t="inlineStr">
        <is>
          <t>full floor (floor number not stated)</t>
        </is>
      </c>
      <c r="H95" t="inlineStr">
        <is>
          <t>10010</t>
        </is>
      </c>
      <c r="I95" t="n">
        <v>40.742771</v>
      </c>
      <c r="J95" t="n">
        <v>-73.991782</v>
      </c>
      <c r="K95" t="inlineStr">
        <is>
          <t>Y</t>
        </is>
      </c>
      <c r="L95" t="inlineStr">
        <is>
          <t>76-150</t>
        </is>
      </c>
      <c r="M95" t="inlineStr">
        <is>
          <t>whole-company</t>
        </is>
      </c>
      <c r="N95" s="2" t="inlineStr">
        <is>
          <t>https://www.builtinnyc.com/company/inspiren/offices</t>
        </is>
      </c>
      <c r="O95" s="2" t="inlineStr">
        <is>
          <t>https://commercialobserver.com/2026/09/normal-computing-inspiren-leases-61-west-23rd-street/</t>
        </is>
      </c>
      <c r="P95" t="inlineStr">
        <is>
          <t>2026-09-21</t>
        </is>
      </c>
      <c r="Q95" s="2" t="inlineStr">
        <is>
          <t>https://www.builtinnyc.com/company/inspiren/offices</t>
        </is>
      </c>
      <c r="R95" t="inlineStr">
        <is>
          <t>high</t>
        </is>
      </c>
      <c r="S95" t="inlineStr">
        <is>
          <t>N</t>
        </is>
      </c>
      <c r="T95" t="inlineStr"/>
      <c r="U95" t="inlineStr"/>
      <c r="V95" s="3" t="inlineStr">
        <is>
          <t>CO: moved into 8,367 sf in early Sept 2026, first permanent NYC office (previously Brooklyn Navy Yard). Built In lists HQ 61 W 23rd St and 150 total employees (live profile, undated).</t>
        </is>
      </c>
      <c r="W95" t="inlineStr">
        <is>
          <t>2026-10-23</t>
        </is>
      </c>
      <c r="X95" t="inlineStr">
        <is>
          <t>New York</t>
        </is>
      </c>
      <c r="Y95" t="inlineStr">
        <is>
          <t>Y</t>
        </is>
      </c>
      <c r="Z95" t="inlineStr">
        <is>
          <t>https://www.builtinnyc.com/company/inspiren/offices</t>
        </is>
      </c>
      <c r="AA95" t="inlineStr">
        <is>
          <t>150</t>
        </is>
      </c>
      <c r="AB95" t="inlineStr">
        <is>
          <t>single-source</t>
        </is>
      </c>
      <c r="AC95" t="inlineStr"/>
      <c r="AD95" t="inlineStr"/>
      <c r="AE95" t="inlineStr"/>
      <c r="AF95" t="inlineStr">
        <is>
          <t>unknown</t>
        </is>
      </c>
      <c r="AG95" t="inlineStr"/>
      <c r="AH95" t="inlineStr">
        <is>
          <t>unknown</t>
        </is>
      </c>
      <c r="AI95" t="inlineStr">
        <is>
          <t>candidate</t>
        </is>
      </c>
      <c r="AJ95" t="inlineStr">
        <is>
          <t>occupied</t>
        </is>
      </c>
      <c r="AK95" t="inlineStr"/>
      <c r="AL95" t="inlineStr">
        <is>
          <t>2026-10-23</t>
        </is>
      </c>
      <c r="AM95" s="3" t="inlineStr"/>
      <c r="AN95" t="inlineStr">
        <is>
          <t>leasing-press</t>
        </is>
      </c>
      <c r="AO95" t="inlineStr">
        <is>
          <t>2026-10-23</t>
        </is>
      </c>
      <c r="AP95" t="inlineStr">
        <is>
          <t>no-coworking-in-building</t>
        </is>
      </c>
      <c r="AQ95" t="inlineStr">
        <is>
          <t>1008250009</t>
        </is>
      </c>
      <c r="AR95" t="n">
        <v>0</v>
      </c>
      <c r="AS95" t="inlineStr">
        <is>
          <t>8,367 sf</t>
        </is>
      </c>
      <c r="AT95" t="inlineStr">
        <is>
          <t>S3</t>
        </is>
      </c>
    </row>
    <row r="96">
      <c r="A96" t="inlineStr">
        <is>
          <t>B-C-097</t>
        </is>
      </c>
      <c r="B96" t="inlineStr">
        <is>
          <t>Normal Computing</t>
        </is>
      </c>
      <c r="C96" s="2" t="inlineStr">
        <is>
          <t>https://normalcomputing.com/</t>
        </is>
      </c>
      <c r="D96" t="inlineStr">
        <is>
          <t>AI hardware / computing</t>
        </is>
      </c>
      <c r="E96" t="inlineStr">
        <is>
          <t>B-B-047</t>
        </is>
      </c>
      <c r="F96" t="inlineStr">
        <is>
          <t>61 West 23rd Street</t>
        </is>
      </c>
      <c r="G96" t="inlineStr">
        <is>
          <t>full floor (floor number not stated)</t>
        </is>
      </c>
      <c r="H96" t="inlineStr">
        <is>
          <t>10010</t>
        </is>
      </c>
      <c r="I96" t="n">
        <v>40.742771</v>
      </c>
      <c r="J96" t="n">
        <v>-73.991782</v>
      </c>
      <c r="K96" t="inlineStr">
        <is>
          <t>Y</t>
        </is>
      </c>
      <c r="L96" t="inlineStr">
        <is>
          <t>under-40</t>
        </is>
      </c>
      <c r="M96" t="inlineStr">
        <is>
          <t>nyc-office</t>
        </is>
      </c>
      <c r="N96" s="2" t="inlineStr">
        <is>
          <t>https://commercialobserver.com/2026/09/normal-computing-inspiren-leases-61-west-23rd-street/</t>
        </is>
      </c>
      <c r="O96" s="2" t="inlineStr">
        <is>
          <t>https://commercialobserver.com/2026/09/normal-computing-inspiren-leases-61-west-23rd-street/</t>
        </is>
      </c>
      <c r="P96" t="inlineStr">
        <is>
          <t>2026-09-21</t>
        </is>
      </c>
      <c r="Q96" s="2" t="inlineStr">
        <is>
          <t>https://flatironnomad.nyc/2026/10/07/september-news-roundup-7/</t>
        </is>
      </c>
      <c r="R96" t="inlineStr">
        <is>
          <t>medium</t>
        </is>
      </c>
      <c r="S96" t="inlineStr">
        <is>
          <t>N</t>
        </is>
      </c>
      <c r="T96" t="inlineStr"/>
      <c r="U96" t="inlineStr"/>
      <c r="V96" s="3" t="inlineStr">
        <is>
          <t>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is>
      </c>
      <c r="W96" t="inlineStr">
        <is>
          <t>2026-10-23</t>
        </is>
      </c>
      <c r="X96" t="inlineStr">
        <is>
          <t>New York</t>
        </is>
      </c>
      <c r="Y96" t="inlineStr">
        <is>
          <t>Y</t>
        </is>
      </c>
      <c r="Z96" t="inlineStr">
        <is>
          <t>https://commercialobserver.com/2026/09/normal-computing-inspiren-leases-61-west-23rd-street/</t>
        </is>
      </c>
      <c r="AA96" t="inlineStr">
        <is>
          <t>30</t>
        </is>
      </c>
      <c r="AB96" t="inlineStr">
        <is>
          <t>scope-differs</t>
        </is>
      </c>
      <c r="AC96" t="inlineStr">
        <is>
          <t>71</t>
        </is>
      </c>
      <c r="AD96" t="inlineStr">
        <is>
          <t>https://www.reveliolabs.com/companies/normal-computing/employees</t>
        </is>
      </c>
      <c r="AE96" t="inlineStr">
        <is>
          <t>2026-08-31</t>
        </is>
      </c>
      <c r="AF96" t="inlineStr">
        <is>
          <t>unknown</t>
        </is>
      </c>
      <c r="AG96" t="inlineStr"/>
      <c r="AH96" t="inlineStr">
        <is>
          <t>unknown</t>
        </is>
      </c>
      <c r="AI96" t="inlineStr">
        <is>
          <t>candidate</t>
        </is>
      </c>
      <c r="AJ96" t="inlineStr">
        <is>
          <t>signed-not-occupied</t>
        </is>
      </c>
      <c r="AK96" t="inlineStr">
        <is>
          <t>2026-11</t>
        </is>
      </c>
      <c r="AL96" t="inlineStr">
        <is>
          <t>2026-09-21</t>
        </is>
      </c>
      <c r="AM96" s="3" t="inlineStr"/>
      <c r="AN96" t="inlineStr">
        <is>
          <t>leasing-press</t>
        </is>
      </c>
      <c r="AO96" t="inlineStr">
        <is>
          <t>2026-10-07</t>
        </is>
      </c>
      <c r="AP96" t="inlineStr">
        <is>
          <t>no-coworking-in-building</t>
        </is>
      </c>
      <c r="AQ96" t="inlineStr">
        <is>
          <t>1008250009</t>
        </is>
      </c>
      <c r="AR96" t="n">
        <v>0</v>
      </c>
      <c r="AS96" t="inlineStr">
        <is>
          <t>8,367 sf</t>
        </is>
      </c>
      <c r="AT96" t="inlineStr">
        <is>
          <t>S3</t>
        </is>
      </c>
    </row>
    <row r="97">
      <c r="A97" t="inlineStr">
        <is>
          <t>B-C-098</t>
        </is>
      </c>
      <c r="B97" t="inlineStr">
        <is>
          <t>BrainPOP</t>
        </is>
      </c>
      <c r="C97" s="2" t="inlineStr">
        <is>
          <t>https://www.brainpop.com/</t>
        </is>
      </c>
      <c r="D97" t="inlineStr">
        <is>
          <t>Education technology</t>
        </is>
      </c>
      <c r="E97" t="inlineStr">
        <is>
          <t>B-B-048</t>
        </is>
      </c>
      <c r="F97" t="inlineStr">
        <is>
          <t>71 West 23rd Street</t>
        </is>
      </c>
      <c r="G97" t="inlineStr">
        <is>
          <t>17</t>
        </is>
      </c>
      <c r="H97" t="inlineStr">
        <is>
          <t>10010</t>
        </is>
      </c>
      <c r="I97" t="n">
        <v>40.743043</v>
      </c>
      <c r="J97" t="n">
        <v>-73.99233</v>
      </c>
      <c r="K97" t="inlineStr">
        <is>
          <t>Y</t>
        </is>
      </c>
      <c r="L97" t="inlineStr">
        <is>
          <t>151-250</t>
        </is>
      </c>
      <c r="M97" t="inlineStr">
        <is>
          <t>whole-company</t>
        </is>
      </c>
      <c r="N97" s="2" t="inlineStr">
        <is>
          <t>https://www.builtinnyc.com/company/brainpop/offices</t>
        </is>
      </c>
      <c r="O97" s="2" t="inlineStr">
        <is>
          <t>https://www.brainpop.com/discover/terms-of-use</t>
        </is>
      </c>
      <c r="P97" t="inlineStr">
        <is>
          <t>2026-10-24</t>
        </is>
      </c>
      <c r="Q97" s="2" t="inlineStr">
        <is>
          <t>https://www.builtinnyc.com/company/brainpop/offices</t>
        </is>
      </c>
      <c r="R97" t="inlineStr">
        <is>
          <t>high</t>
        </is>
      </c>
      <c r="S97" t="inlineStr">
        <is>
          <t>N</t>
        </is>
      </c>
      <c r="T97" t="inlineStr"/>
      <c r="U97" t="inlineStr"/>
      <c r="V97" s="3" t="inlineStr">
        <is>
          <t>Terms of use and privacy policy (live) give '71 W 23rd St., 17th Fl. New York, NY 10010'. Built In (independent): HQ New York, office in the Flatiron district 'down the street from the iconic landmark Flatiron Building and Madison Square Park'; 225 total employees.</t>
        </is>
      </c>
      <c r="W97" t="inlineStr">
        <is>
          <t>2026-10-23</t>
        </is>
      </c>
      <c r="X97" t="inlineStr">
        <is>
          <t>New York</t>
        </is>
      </c>
      <c r="Y97" t="inlineStr">
        <is>
          <t>Y</t>
        </is>
      </c>
      <c r="Z97" t="inlineStr">
        <is>
          <t>https://www.builtinnyc.com/company/brainpop/offices</t>
        </is>
      </c>
      <c r="AA97" t="inlineStr">
        <is>
          <t>225</t>
        </is>
      </c>
      <c r="AB97" t="inlineStr">
        <is>
          <t>single-source</t>
        </is>
      </c>
      <c r="AC97" t="inlineStr"/>
      <c r="AD97" t="inlineStr"/>
      <c r="AE97" t="inlineStr"/>
      <c r="AF97" t="inlineStr">
        <is>
          <t>unknown</t>
        </is>
      </c>
      <c r="AG97" t="inlineStr"/>
      <c r="AH97" t="inlineStr">
        <is>
          <t>unknown</t>
        </is>
      </c>
      <c r="AI97" t="inlineStr">
        <is>
          <t>candidate</t>
        </is>
      </c>
      <c r="AJ97" t="inlineStr">
        <is>
          <t>occupied</t>
        </is>
      </c>
      <c r="AK97" t="inlineStr"/>
      <c r="AL97" t="inlineStr">
        <is>
          <t>2026-10-24</t>
        </is>
      </c>
      <c r="AM97" s="3" t="inlineStr"/>
      <c r="AN97" t="inlineStr">
        <is>
          <t>company-site</t>
        </is>
      </c>
      <c r="AO97" t="inlineStr">
        <is>
          <t>2026-10-24</t>
        </is>
      </c>
      <c r="AP97" t="inlineStr">
        <is>
          <t>no-coworking-in-building</t>
        </is>
      </c>
      <c r="AQ97" t="inlineStr">
        <is>
          <t>1008250001</t>
        </is>
      </c>
      <c r="AR97" t="n">
        <v>0</v>
      </c>
      <c r="AS97" t="inlineStr"/>
      <c r="AT97" t="inlineStr">
        <is>
          <t>S3</t>
        </is>
      </c>
    </row>
    <row r="98">
      <c r="A98" t="inlineStr">
        <is>
          <t>B-C-104</t>
        </is>
      </c>
      <c r="B98" t="inlineStr">
        <is>
          <t>Madison Square Park Conservancy</t>
        </is>
      </c>
      <c r="C98" s="2" t="inlineStr">
        <is>
          <t>https://madisonsquarepark.org/</t>
        </is>
      </c>
      <c r="D98" t="inlineStr">
        <is>
          <t>Nonprofit (public park conservancy)</t>
        </is>
      </c>
      <c r="E98" t="inlineStr">
        <is>
          <t>B-B-052</t>
        </is>
      </c>
      <c r="F98" t="inlineStr">
        <is>
          <t>11 Madison Avenue</t>
        </is>
      </c>
      <c r="G98" t="inlineStr">
        <is>
          <t>15</t>
        </is>
      </c>
      <c r="H98" t="inlineStr">
        <is>
          <t>10010</t>
        </is>
      </c>
      <c r="I98" t="n">
        <v>40.741761</v>
      </c>
      <c r="J98" t="n">
        <v>-73.987033</v>
      </c>
      <c r="K98" t="inlineStr">
        <is>
          <t>Y</t>
        </is>
      </c>
      <c r="L98" t="inlineStr">
        <is>
          <t>unknown</t>
        </is>
      </c>
      <c r="M98" t="inlineStr">
        <is>
          <t>unknown</t>
        </is>
      </c>
      <c r="N98" t="inlineStr"/>
      <c r="O98" s="2" t="inlineStr">
        <is>
          <t>https://madisonsquarepark.org/park/contact/</t>
        </is>
      </c>
      <c r="P98" t="inlineStr">
        <is>
          <t>2026-10-24</t>
        </is>
      </c>
      <c r="Q98" t="inlineStr"/>
      <c r="R98" t="inlineStr">
        <is>
          <t>medium</t>
        </is>
      </c>
      <c r="S98" t="inlineStr">
        <is>
          <t>N</t>
        </is>
      </c>
      <c r="T98" t="inlineStr"/>
      <c r="U98" t="inlineStr"/>
      <c r="V98" s="3" t="inlineStr">
        <is>
          <t>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98" t="inlineStr">
        <is>
          <t>2026-10-23</t>
        </is>
      </c>
      <c r="X98" t="inlineStr">
        <is>
          <t>unknown</t>
        </is>
      </c>
      <c r="Y98" t="inlineStr">
        <is>
          <t>unknown</t>
        </is>
      </c>
      <c r="Z98" t="inlineStr"/>
      <c r="AA98" t="inlineStr"/>
      <c r="AB98" t="inlineStr">
        <is>
          <t>no-count</t>
        </is>
      </c>
      <c r="AC98" t="inlineStr"/>
      <c r="AD98" t="inlineStr"/>
      <c r="AE98" t="inlineStr"/>
      <c r="AF98" t="inlineStr">
        <is>
          <t>unknown</t>
        </is>
      </c>
      <c r="AG98" t="inlineStr"/>
      <c r="AH98" t="inlineStr">
        <is>
          <t>loading dock</t>
        </is>
      </c>
      <c r="AI98" t="inlineStr">
        <is>
          <t>candidate</t>
        </is>
      </c>
      <c r="AJ98" t="inlineStr">
        <is>
          <t>occupied</t>
        </is>
      </c>
      <c r="AK98" t="inlineStr"/>
      <c r="AL98" t="inlineStr"/>
      <c r="AM98" s="3" t="inlineStr">
        <is>
          <t>No opened source gives a count: no Built In profile with a total, the company site publishes none, and LinkedIn was off-limits. Founder to confirm at intake.</t>
        </is>
      </c>
      <c r="AN98" t="inlineStr">
        <is>
          <t>company-site</t>
        </is>
      </c>
      <c r="AO98" t="inlineStr"/>
      <c r="AP98" t="inlineStr">
        <is>
          <t>no-coworking-in-building</t>
        </is>
      </c>
      <c r="AQ98" t="inlineStr">
        <is>
          <t>1008547501</t>
        </is>
      </c>
      <c r="AR98" t="n">
        <v>0</v>
      </c>
      <c r="AS98" t="inlineStr"/>
      <c r="AT98" t="inlineStr">
        <is>
          <t>S3</t>
        </is>
      </c>
    </row>
    <row r="99">
      <c r="A99" t="inlineStr">
        <is>
          <t>B-C-105</t>
        </is>
      </c>
      <c r="B99" t="inlineStr">
        <is>
          <t>Orbital</t>
        </is>
      </c>
      <c r="C99" s="2" t="inlineStr">
        <is>
          <t>https://www.orbital.tech/</t>
        </is>
      </c>
      <c r="D99" t="inlineStr">
        <is>
          <t>Software (AI for real estate legal due diligence)</t>
        </is>
      </c>
      <c r="E99" t="inlineStr">
        <is>
          <t>B-B-053</t>
        </is>
      </c>
      <c r="F99" t="inlineStr">
        <is>
          <t>40 West 25th Street</t>
        </is>
      </c>
      <c r="G99" t="inlineStr">
        <is>
          <t>6</t>
        </is>
      </c>
      <c r="H99" t="inlineStr">
        <is>
          <t>10010</t>
        </is>
      </c>
      <c r="I99" t="n">
        <v>40.743613</v>
      </c>
      <c r="J99" t="n">
        <v>-73.991062</v>
      </c>
      <c r="K99" t="inlineStr">
        <is>
          <t>Y</t>
        </is>
      </c>
      <c r="L99" t="inlineStr">
        <is>
          <t>unknown</t>
        </is>
      </c>
      <c r="M99" t="inlineStr">
        <is>
          <t>unknown</t>
        </is>
      </c>
      <c r="N99" s="2" t="inlineStr">
        <is>
          <t>https://www.builtinnyc.com/company/orbital</t>
        </is>
      </c>
      <c r="O99" s="2" t="inlineStr">
        <is>
          <t>https://commercialobserver.com/2026/09/orbital-ai-lease-kaufman-organization-40-west-25th-street/</t>
        </is>
      </c>
      <c r="P99" t="inlineStr">
        <is>
          <t>2026-09-09</t>
        </is>
      </c>
      <c r="Q99" t="inlineStr"/>
      <c r="R99" t="inlineStr">
        <is>
          <t>medium</t>
        </is>
      </c>
      <c r="S99" t="inlineStr">
        <is>
          <t>N</t>
        </is>
      </c>
      <c r="T99" t="inlineStr"/>
      <c r="U99" t="inlineStr"/>
      <c r="V99" s="3" t="inlineStr">
        <is>
          <t>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is>
      </c>
      <c r="W99" t="inlineStr">
        <is>
          <t>2026-10-23</t>
        </is>
      </c>
      <c r="X99" t="inlineStr">
        <is>
          <t>New York</t>
        </is>
      </c>
      <c r="Y99" t="inlineStr">
        <is>
          <t>Y</t>
        </is>
      </c>
      <c r="Z99" t="inlineStr">
        <is>
          <t>https://commercialobserver.com/2026/09/orbital-ai-lease-kaufman-organization-40-west-25th-street/</t>
        </is>
      </c>
      <c r="AA99" t="inlineStr">
        <is>
          <t>96</t>
        </is>
      </c>
      <c r="AB99" t="inlineStr">
        <is>
          <t>disagree</t>
        </is>
      </c>
      <c r="AC99" t="inlineStr">
        <is>
          <t>150+</t>
        </is>
      </c>
      <c r="AD99" t="inlineStr">
        <is>
          <t>https://www.orbital.tech/about</t>
        </is>
      </c>
      <c r="AE99" t="inlineStr">
        <is>
          <t>2026-10-24</t>
        </is>
      </c>
      <c r="AF99" t="inlineStr">
        <is>
          <t>unknown</t>
        </is>
      </c>
      <c r="AG99" t="inlineStr"/>
      <c r="AH99" t="inlineStr">
        <is>
          <t>unknown</t>
        </is>
      </c>
      <c r="AI99" t="inlineStr">
        <is>
          <t>candidate</t>
        </is>
      </c>
      <c r="AJ99" t="inlineStr">
        <is>
          <t>signed-not-occupied</t>
        </is>
      </c>
      <c r="AK99" t="inlineStr">
        <is>
          <t>unknown</t>
        </is>
      </c>
      <c r="AL99" t="inlineStr">
        <is>
          <t>2026-10-24</t>
        </is>
      </c>
      <c r="AM99" s="3" t="inlineStr">
        <is>
          <t>Sources disagree: Built In shows 96 (76-150) and Orbital's own About page (opened 2026-10-24): '150+ employees' (151-250). Band left unknown; founder to confirm at intake.</t>
        </is>
      </c>
      <c r="AN99" t="inlineStr">
        <is>
          <t>leasing-press</t>
        </is>
      </c>
      <c r="AO99" t="inlineStr"/>
      <c r="AP99" t="inlineStr">
        <is>
          <t>no-coworking-in-building</t>
        </is>
      </c>
      <c r="AQ99" t="inlineStr">
        <is>
          <t>1008260065</t>
        </is>
      </c>
      <c r="AR99" t="n">
        <v>0</v>
      </c>
      <c r="AS99" t="inlineStr">
        <is>
          <t>11,185 sf</t>
        </is>
      </c>
      <c r="AT99" t="inlineStr">
        <is>
          <t>S3</t>
        </is>
      </c>
    </row>
    <row r="100">
      <c r="A100" t="inlineStr">
        <is>
          <t>B-C-106</t>
        </is>
      </c>
      <c r="B100" t="inlineStr">
        <is>
          <t>Ellevest</t>
        </is>
      </c>
      <c r="C100" s="2" t="inlineStr">
        <is>
          <t>https://www.ellevest.com/</t>
        </is>
      </c>
      <c r="D100" t="inlineStr">
        <is>
          <t>Fintech / wealth management</t>
        </is>
      </c>
      <c r="E100" t="inlineStr">
        <is>
          <t>B-B-054</t>
        </is>
      </c>
      <c r="F100" t="inlineStr">
        <is>
          <t>48 West 25th Street</t>
        </is>
      </c>
      <c r="G100" t="inlineStr">
        <is>
          <t>unknown</t>
        </is>
      </c>
      <c r="H100" t="inlineStr">
        <is>
          <t>10010</t>
        </is>
      </c>
      <c r="I100" t="n">
        <v>40.743751</v>
      </c>
      <c r="J100" t="n">
        <v>-73.99137399999999</v>
      </c>
      <c r="K100" t="inlineStr">
        <is>
          <t>Y</t>
        </is>
      </c>
      <c r="L100" t="inlineStr">
        <is>
          <t>unknown</t>
        </is>
      </c>
      <c r="M100" t="inlineStr">
        <is>
          <t>unknown</t>
        </is>
      </c>
      <c r="N100" s="2" t="inlineStr">
        <is>
          <t>https://www.builtinnyc.com/company/ellevest/offices</t>
        </is>
      </c>
      <c r="O100" s="2" t="inlineStr">
        <is>
          <t>https://www.builtinnyc.com/company/ellevest/offices</t>
        </is>
      </c>
      <c r="P100" t="inlineStr">
        <is>
          <t>2026-10-24</t>
        </is>
      </c>
      <c r="Q100" t="inlineStr"/>
      <c r="R100" t="inlineStr">
        <is>
          <t>low</t>
        </is>
      </c>
      <c r="S100" t="inlineStr">
        <is>
          <t>N</t>
        </is>
      </c>
      <c r="T100" t="inlineStr"/>
      <c r="U100" t="inlineStr"/>
      <c r="V100" s="3" t="inlineStr">
        <is>
          <t>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is>
      </c>
      <c r="W100" t="inlineStr">
        <is>
          <t>2026-10-23</t>
        </is>
      </c>
      <c r="X100" t="inlineStr">
        <is>
          <t>New York</t>
        </is>
      </c>
      <c r="Y100" t="inlineStr">
        <is>
          <t>Y</t>
        </is>
      </c>
      <c r="Z100" t="inlineStr">
        <is>
          <t>https://www.builtinnyc.com/company/ellevest/offices</t>
        </is>
      </c>
      <c r="AA100" t="inlineStr">
        <is>
          <t>129</t>
        </is>
      </c>
      <c r="AB100" t="inlineStr">
        <is>
          <t>disagree</t>
        </is>
      </c>
      <c r="AC100" t="inlineStr">
        <is>
          <t>38</t>
        </is>
      </c>
      <c r="AD100" t="inlineStr">
        <is>
          <t>https://www.reveliolabs.com/companies/ellevest/employees</t>
        </is>
      </c>
      <c r="AE100" t="inlineStr">
        <is>
          <t>2026-08-31</t>
        </is>
      </c>
      <c r="AF100" t="inlineStr">
        <is>
          <t>unknown</t>
        </is>
      </c>
      <c r="AG100" t="inlineStr"/>
      <c r="AH100" t="inlineStr">
        <is>
          <t>unknown</t>
        </is>
      </c>
      <c r="AI100" t="inlineStr">
        <is>
          <t>candidate</t>
        </is>
      </c>
      <c r="AJ100" t="inlineStr">
        <is>
          <t>occupancy-unconfirmed</t>
        </is>
      </c>
      <c r="AK100" t="inlineStr"/>
      <c r="AL100" t="inlineStr">
        <is>
          <t>2026-10-24</t>
        </is>
      </c>
      <c r="AM100" s="3" t="inlineStr">
        <is>
          <t>Sources disagree: Built In shows 129 (76-150) and Revelio Labs (Ellevest, Inc., HQ New York City): about 38 employees worldwide as of March 2026 (under-40). Band left unknown; founder to confirm at intake.</t>
        </is>
      </c>
      <c r="AN100" t="inlineStr">
        <is>
          <t>builtin</t>
        </is>
      </c>
      <c r="AO100" t="inlineStr"/>
      <c r="AP100" t="inlineStr">
        <is>
          <t>no-coworking-in-building</t>
        </is>
      </c>
      <c r="AQ100" t="inlineStr">
        <is>
          <t>1008260069</t>
        </is>
      </c>
      <c r="AR100" t="n">
        <v>0</v>
      </c>
      <c r="AS100" t="inlineStr"/>
      <c r="AT100" t="inlineStr">
        <is>
          <t>S3</t>
        </is>
      </c>
    </row>
    <row r="101">
      <c r="A101" t="inlineStr">
        <is>
          <t>B-C-107</t>
        </is>
      </c>
      <c r="B101" t="inlineStr">
        <is>
          <t>MediaCo Holding (HOT 97, WBLS)</t>
        </is>
      </c>
      <c r="C101" s="2" t="inlineStr">
        <is>
          <t>https://www.mediacoholding.com/</t>
        </is>
      </c>
      <c r="D101" t="inlineStr">
        <is>
          <t>Media (radio and digital)</t>
        </is>
      </c>
      <c r="E101" t="inlineStr">
        <is>
          <t>B-B-054</t>
        </is>
      </c>
      <c r="F101" t="inlineStr">
        <is>
          <t>48 West 25th Street</t>
        </is>
      </c>
      <c r="G101" t="inlineStr">
        <is>
          <t>unknown</t>
        </is>
      </c>
      <c r="H101" t="inlineStr">
        <is>
          <t>10010</t>
        </is>
      </c>
      <c r="I101" t="n">
        <v>40.743751</v>
      </c>
      <c r="J101" t="n">
        <v>-73.99137399999999</v>
      </c>
      <c r="K101" t="inlineStr">
        <is>
          <t>Y</t>
        </is>
      </c>
      <c r="L101" t="inlineStr">
        <is>
          <t>unknown</t>
        </is>
      </c>
      <c r="M101" t="inlineStr">
        <is>
          <t>unknown</t>
        </is>
      </c>
      <c r="N101" t="inlineStr"/>
      <c r="O101" s="2" t="inlineStr">
        <is>
          <t>https://commercialobserver.com/2026/08/sapien-ai-lease-kaufman-organization-48-west-25th-street/</t>
        </is>
      </c>
      <c r="P101" t="inlineStr">
        <is>
          <t>2026-08-03</t>
        </is>
      </c>
      <c r="Q101" t="inlineStr"/>
      <c r="R101" t="inlineStr">
        <is>
          <t>medium</t>
        </is>
      </c>
      <c r="S101" t="inlineStr">
        <is>
          <t>N</t>
        </is>
      </c>
      <c r="T101" t="inlineStr"/>
      <c r="U101" t="inlineStr"/>
      <c r="V101" s="3" t="inlineStr">
        <is>
          <t>CO Aug 2026: MediaCo Holding, parent of HOT 97 and WBLS, signed a 16-year, 25,000 sf lease at 48 W 25th St in 2023 (one of the most recent tenants before the Kaufman purchase). CO Jan 2023 headline (seen on CO tag page) reported the relocation. Headcount not found in an opened source.</t>
        </is>
      </c>
      <c r="W101" t="inlineStr">
        <is>
          <t>2026-10-23</t>
        </is>
      </c>
      <c r="X101" t="inlineStr">
        <is>
          <t>unknown</t>
        </is>
      </c>
      <c r="Y101" t="inlineStr">
        <is>
          <t>unknown</t>
        </is>
      </c>
      <c r="Z101" t="inlineStr"/>
      <c r="AA101" t="inlineStr"/>
      <c r="AB101" t="inlineStr">
        <is>
          <t>no-count</t>
        </is>
      </c>
      <c r="AC101" t="inlineStr"/>
      <c r="AD101" t="inlineStr"/>
      <c r="AE101" t="inlineStr"/>
      <c r="AF101" t="inlineStr">
        <is>
          <t>unknown</t>
        </is>
      </c>
      <c r="AG101" t="inlineStr"/>
      <c r="AH101" t="inlineStr">
        <is>
          <t>unknown</t>
        </is>
      </c>
      <c r="AI101" t="inlineStr">
        <is>
          <t>candidate</t>
        </is>
      </c>
      <c r="AJ101" t="inlineStr">
        <is>
          <t>occupied</t>
        </is>
      </c>
      <c r="AK101" t="inlineStr"/>
      <c r="AL101" t="inlineStr"/>
      <c r="AM101" s="3" t="inlineStr">
        <is>
          <t>No opened source gives a count: no Built In profile with a total, the company site publishes none, and LinkedIn was off-limits. Founder to confirm at intake.</t>
        </is>
      </c>
      <c r="AN101" t="inlineStr">
        <is>
          <t>leasing-press</t>
        </is>
      </c>
      <c r="AO101" t="inlineStr"/>
      <c r="AP101" t="inlineStr">
        <is>
          <t>no-coworking-in-building</t>
        </is>
      </c>
      <c r="AQ101" t="inlineStr">
        <is>
          <t>1008260069</t>
        </is>
      </c>
      <c r="AR101" t="n">
        <v>0</v>
      </c>
      <c r="AS101" t="inlineStr">
        <is>
          <t>25,000 sf</t>
        </is>
      </c>
      <c r="AT101" t="inlineStr">
        <is>
          <t>S3</t>
        </is>
      </c>
    </row>
    <row r="102">
      <c r="A102" t="inlineStr">
        <is>
          <t>B-C-108</t>
        </is>
      </c>
      <c r="B102" t="inlineStr">
        <is>
          <t>Sapien AI</t>
        </is>
      </c>
      <c r="C102" t="inlineStr">
        <is>
          <t>unknown</t>
        </is>
      </c>
      <c r="D102" t="inlineStr">
        <is>
          <t>Software (AI financial and operations analytics)</t>
        </is>
      </c>
      <c r="E102" t="inlineStr">
        <is>
          <t>B-B-054</t>
        </is>
      </c>
      <c r="F102" t="inlineStr">
        <is>
          <t>48 West 25th Street</t>
        </is>
      </c>
      <c r="G102" t="inlineStr">
        <is>
          <t>5</t>
        </is>
      </c>
      <c r="H102" t="inlineStr">
        <is>
          <t>10010</t>
        </is>
      </c>
      <c r="I102" t="n">
        <v>40.743751</v>
      </c>
      <c r="J102" t="n">
        <v>-73.99137399999999</v>
      </c>
      <c r="K102" t="inlineStr">
        <is>
          <t>Y</t>
        </is>
      </c>
      <c r="L102" t="inlineStr">
        <is>
          <t>unknown</t>
        </is>
      </c>
      <c r="M102" t="inlineStr">
        <is>
          <t>unknown</t>
        </is>
      </c>
      <c r="N102" t="inlineStr"/>
      <c r="O102" s="2" t="inlineStr">
        <is>
          <t>https://commercialobserver.com/2026/08/sapien-ai-lease-kaufman-organization-48-west-25th-street/</t>
        </is>
      </c>
      <c r="P102" t="inlineStr">
        <is>
          <t>2026-08-03</t>
        </is>
      </c>
      <c r="Q102" s="2" t="inlineStr">
        <is>
          <t>https://flatironnomad.nyc/2026/09/02/august-news-roundup-7/</t>
        </is>
      </c>
      <c r="R102" t="inlineStr">
        <is>
          <t>medium</t>
        </is>
      </c>
      <c r="S102" t="inlineStr">
        <is>
          <t>N</t>
        </is>
      </c>
      <c r="T102" t="inlineStr"/>
      <c r="U102" t="inlineStr"/>
      <c r="V102" s="3" t="inlineStr">
        <is>
          <t>CO Aug 2026: about 10,500 sf, entire 5th floor, relocating from 184 Fifth Avenue. FNP roundup repeats the CO report. Website and headcount not confirmed (Built In 'sapien' profile is a 5-person Berkeley firm, likely a different company).</t>
        </is>
      </c>
      <c r="W102" t="inlineStr">
        <is>
          <t>2026-10-23</t>
        </is>
      </c>
      <c r="X102" t="inlineStr">
        <is>
          <t>unknown</t>
        </is>
      </c>
      <c r="Y102" t="inlineStr">
        <is>
          <t>unknown</t>
        </is>
      </c>
      <c r="Z102" t="inlineStr"/>
      <c r="AA102" t="inlineStr"/>
      <c r="AB102" t="inlineStr">
        <is>
          <t>no-count</t>
        </is>
      </c>
      <c r="AC102" t="inlineStr"/>
      <c r="AD102" t="inlineStr"/>
      <c r="AE102" t="inlineStr"/>
      <c r="AF102" t="inlineStr">
        <is>
          <t>unknown</t>
        </is>
      </c>
      <c r="AG102" t="inlineStr"/>
      <c r="AH102" t="inlineStr">
        <is>
          <t>unknown</t>
        </is>
      </c>
      <c r="AI102" t="inlineStr">
        <is>
          <t>candidate</t>
        </is>
      </c>
      <c r="AJ102" t="inlineStr">
        <is>
          <t>signed-not-occupied</t>
        </is>
      </c>
      <c r="AK102" t="inlineStr">
        <is>
          <t>unknown</t>
        </is>
      </c>
      <c r="AL102" t="inlineStr"/>
      <c r="AM102" s="3" t="inlineStr">
        <is>
          <t>The Built In 'sapien' profile is a different 5-person Berkeley firm.</t>
        </is>
      </c>
      <c r="AN102" t="inlineStr">
        <is>
          <t>leasing-press</t>
        </is>
      </c>
      <c r="AO102" t="inlineStr">
        <is>
          <t>2026-09-02</t>
        </is>
      </c>
      <c r="AP102" t="inlineStr">
        <is>
          <t>no-coworking-in-building</t>
        </is>
      </c>
      <c r="AQ102" t="inlineStr">
        <is>
          <t>1008260069</t>
        </is>
      </c>
      <c r="AR102" t="n">
        <v>0</v>
      </c>
      <c r="AS102" t="inlineStr">
        <is>
          <t>10,500 sf</t>
        </is>
      </c>
      <c r="AT102" t="inlineStr">
        <is>
          <t>S3</t>
        </is>
      </c>
    </row>
    <row r="103">
      <c r="A103" t="inlineStr">
        <is>
          <t>B-C-109</t>
        </is>
      </c>
      <c r="B103" t="inlineStr">
        <is>
          <t>Green Mountain Energy</t>
        </is>
      </c>
      <c r="C103" s="2" t="inlineStr">
        <is>
          <t>https://www.greenmountainenergy.com/</t>
        </is>
      </c>
      <c r="D103" t="inlineStr">
        <is>
          <t>Energy retailer (renewable electricity)</t>
        </is>
      </c>
      <c r="E103" t="inlineStr">
        <is>
          <t>B-B-056</t>
        </is>
      </c>
      <c r="F103" t="inlineStr">
        <is>
          <t>16 Madison Square West</t>
        </is>
      </c>
      <c r="G103" t="inlineStr">
        <is>
          <t>unknown</t>
        </is>
      </c>
      <c r="H103" t="inlineStr">
        <is>
          <t>10010</t>
        </is>
      </c>
      <c r="I103" t="n">
        <v>40.743006</v>
      </c>
      <c r="J103" t="n">
        <v>-73.98947</v>
      </c>
      <c r="K103" t="inlineStr">
        <is>
          <t>Y</t>
        </is>
      </c>
      <c r="L103" t="inlineStr">
        <is>
          <t>251-500</t>
        </is>
      </c>
      <c r="M103" t="inlineStr">
        <is>
          <t>whole-company</t>
        </is>
      </c>
      <c r="N103" s="2" t="inlineStr">
        <is>
          <t>https://www.builtinnyc.com/company/green-mountain-energy/offices</t>
        </is>
      </c>
      <c r="O103" s="2" t="inlineStr">
        <is>
          <t>https://commercialobserver.com/2026/01/purple-lease-16-madison-square-west/</t>
        </is>
      </c>
      <c r="P103" t="inlineStr">
        <is>
          <t>2026-01-08</t>
        </is>
      </c>
      <c r="Q103" t="inlineStr"/>
      <c r="R103" t="inlineStr">
        <is>
          <t>medium</t>
        </is>
      </c>
      <c r="S103" t="inlineStr">
        <is>
          <t>N</t>
        </is>
      </c>
      <c r="T103" t="inlineStr"/>
      <c r="U103" t="inlineStr"/>
      <c r="V103" s="3" t="inlineStr">
        <is>
          <t>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is>
      </c>
      <c r="W103" t="inlineStr">
        <is>
          <t>2026-10-23</t>
        </is>
      </c>
      <c r="X103" t="inlineStr">
        <is>
          <t>Houston</t>
        </is>
      </c>
      <c r="Y103" t="inlineStr">
        <is>
          <t>N</t>
        </is>
      </c>
      <c r="Z103" t="inlineStr">
        <is>
          <t>https://www.builtinnyc.com/company/green-mountain-energy/offices</t>
        </is>
      </c>
      <c r="AA103" t="inlineStr">
        <is>
          <t>334</t>
        </is>
      </c>
      <c r="AB103" t="inlineStr">
        <is>
          <t>agree</t>
        </is>
      </c>
      <c r="AC103" t="inlineStr">
        <is>
          <t>257</t>
        </is>
      </c>
      <c r="AD103" t="inlineStr">
        <is>
          <t>https://www.reveliolabs.com/companies/green-mountain-energy/employees</t>
        </is>
      </c>
      <c r="AE103" t="inlineStr">
        <is>
          <t>2026-08-31</t>
        </is>
      </c>
      <c r="AF103" t="inlineStr">
        <is>
          <t>NRG Energy</t>
        </is>
      </c>
      <c r="AG103" t="inlineStr">
        <is>
          <t>row notes</t>
        </is>
      </c>
      <c r="AH103" t="inlineStr">
        <is>
          <t>security desk</t>
        </is>
      </c>
      <c r="AI103" t="inlineStr">
        <is>
          <t>candidate</t>
        </is>
      </c>
      <c r="AJ103" t="inlineStr">
        <is>
          <t>occupied</t>
        </is>
      </c>
      <c r="AK103" t="inlineStr"/>
      <c r="AL103" t="inlineStr">
        <is>
          <t>2026-10-23</t>
        </is>
      </c>
      <c r="AM103" s="3" t="inlineStr"/>
      <c r="AN103" t="inlineStr">
        <is>
          <t>leasing-press</t>
        </is>
      </c>
      <c r="AO103" t="inlineStr"/>
      <c r="AP103" t="inlineStr">
        <is>
          <t>direct-lease-documented</t>
        </is>
      </c>
      <c r="AQ103" t="inlineStr">
        <is>
          <t>1008260046</t>
        </is>
      </c>
      <c r="AR103" t="n">
        <v>0</v>
      </c>
      <c r="AS103" t="inlineStr"/>
      <c r="AT103" t="inlineStr">
        <is>
          <t>S3</t>
        </is>
      </c>
    </row>
    <row r="104">
      <c r="A104" t="inlineStr">
        <is>
          <t>B-C-110</t>
        </is>
      </c>
      <c r="B104" t="inlineStr">
        <is>
          <t>Purple (PR)</t>
        </is>
      </c>
      <c r="C104" s="2" t="inlineStr">
        <is>
          <t>https://purplepr.com/</t>
        </is>
      </c>
      <c r="D104" t="inlineStr">
        <is>
          <t>Public relations / lifestyle communications</t>
        </is>
      </c>
      <c r="E104" t="inlineStr">
        <is>
          <t>B-B-056</t>
        </is>
      </c>
      <c r="F104" t="inlineStr">
        <is>
          <t>16 Madison Square West</t>
        </is>
      </c>
      <c r="G104" t="inlineStr">
        <is>
          <t>full floor (number not stated)</t>
        </is>
      </c>
      <c r="H104" t="inlineStr">
        <is>
          <t>10010</t>
        </is>
      </c>
      <c r="I104" t="n">
        <v>40.743006</v>
      </c>
      <c r="J104" t="n">
        <v>-73.98947</v>
      </c>
      <c r="K104" t="inlineStr">
        <is>
          <t>Y</t>
        </is>
      </c>
      <c r="L104" t="inlineStr">
        <is>
          <t>unknown</t>
        </is>
      </c>
      <c r="M104" t="inlineStr">
        <is>
          <t>unknown</t>
        </is>
      </c>
      <c r="N104" t="inlineStr"/>
      <c r="O104" s="2" t="inlineStr">
        <is>
          <t>https://commercialobserver.com/2026/01/purple-lease-16-madison-square-west/</t>
        </is>
      </c>
      <c r="P104" t="inlineStr">
        <is>
          <t>2026-01-08</t>
        </is>
      </c>
      <c r="Q104" s="2" t="inlineStr">
        <is>
          <t>https://flatironnomad.nyc/2026/02/18/january-news-roundup-7/</t>
        </is>
      </c>
      <c r="R104" t="inlineStr">
        <is>
          <t>medium</t>
        </is>
      </c>
      <c r="S104" t="inlineStr">
        <is>
          <t>N</t>
        </is>
      </c>
      <c r="T104" t="inlineStr"/>
      <c r="U104" t="inlineStr"/>
      <c r="V104" s="3" t="inlineStr">
        <is>
          <t>CO Jan 2026: 10-yr lease, about 24,000 sf full floor, relocating from 322 Eighth Ave. London-based with offices in LA, Miami, Hong Kong. Move-in date not stated. FNP roundup repeats the CO report. Not the mattress company Purple.</t>
        </is>
      </c>
      <c r="W104" t="inlineStr">
        <is>
          <t>2026-10-23</t>
        </is>
      </c>
      <c r="X104" t="inlineStr">
        <is>
          <t>unknown</t>
        </is>
      </c>
      <c r="Y104" t="inlineStr">
        <is>
          <t>unknown</t>
        </is>
      </c>
      <c r="Z104" t="inlineStr"/>
      <c r="AA104" t="inlineStr"/>
      <c r="AB104" t="inlineStr">
        <is>
          <t>no-count</t>
        </is>
      </c>
      <c r="AC104" t="inlineStr"/>
      <c r="AD104" t="inlineStr"/>
      <c r="AE104" t="inlineStr"/>
      <c r="AF104" t="inlineStr">
        <is>
          <t>unknown</t>
        </is>
      </c>
      <c r="AG104" t="inlineStr"/>
      <c r="AH104" t="inlineStr">
        <is>
          <t>security desk</t>
        </is>
      </c>
      <c r="AI104" t="inlineStr">
        <is>
          <t>candidate</t>
        </is>
      </c>
      <c r="AJ104" t="inlineStr">
        <is>
          <t>occupancy-unconfirmed</t>
        </is>
      </c>
      <c r="AK104" t="inlineStr"/>
      <c r="AL104" t="inlineStr"/>
      <c r="AM104" s="3" t="inlineStr">
        <is>
          <t>No opened source gives a count: no Built In profile with a total, the company site publishes none, and LinkedIn was off-limits. Founder to confirm at intake.</t>
        </is>
      </c>
      <c r="AN104" t="inlineStr">
        <is>
          <t>leasing-press</t>
        </is>
      </c>
      <c r="AO104" t="inlineStr">
        <is>
          <t>2026-02-18</t>
        </is>
      </c>
      <c r="AP104" t="inlineStr">
        <is>
          <t>direct-lease-documented</t>
        </is>
      </c>
      <c r="AQ104" t="inlineStr">
        <is>
          <t>1008260046</t>
        </is>
      </c>
      <c r="AR104" t="n">
        <v>0</v>
      </c>
      <c r="AS104" t="inlineStr">
        <is>
          <t>24,000 sf</t>
        </is>
      </c>
      <c r="AT104" t="inlineStr">
        <is>
          <t>S3</t>
        </is>
      </c>
    </row>
    <row r="105">
      <c r="A105" t="inlineStr">
        <is>
          <t>B-C-111</t>
        </is>
      </c>
      <c r="B105" t="inlineStr">
        <is>
          <t>Wellcom Worldwide</t>
        </is>
      </c>
      <c r="C105" s="2" t="inlineStr">
        <is>
          <t>https://www.wellcomworldwide.com/</t>
        </is>
      </c>
      <c r="D105" t="inlineStr">
        <is>
          <t>Creative production agency</t>
        </is>
      </c>
      <c r="E105" t="inlineStr">
        <is>
          <t>B-B-056</t>
        </is>
      </c>
      <c r="F105" t="inlineStr">
        <is>
          <t>16 Madison Square West</t>
        </is>
      </c>
      <c r="G105" t="inlineStr">
        <is>
          <t>unknown</t>
        </is>
      </c>
      <c r="H105" t="inlineStr">
        <is>
          <t>10010</t>
        </is>
      </c>
      <c r="I105" t="n">
        <v>40.743006</v>
      </c>
      <c r="J105" t="n">
        <v>-73.98947</v>
      </c>
      <c r="K105" t="inlineStr">
        <is>
          <t>Y</t>
        </is>
      </c>
      <c r="L105" t="inlineStr">
        <is>
          <t>251-500</t>
        </is>
      </c>
      <c r="M105" t="inlineStr">
        <is>
          <t>whole-company</t>
        </is>
      </c>
      <c r="N105" s="2" t="inlineStr">
        <is>
          <t>https://www.builtinnyc.com/company/wellcom-worldwide/offices</t>
        </is>
      </c>
      <c r="O105" s="2" t="inlineStr">
        <is>
          <t>https://commercialobserver.com/2024/08/wellcom-worldwide-signs-24k-sf-lease-16-madison-square-west-manhattan/</t>
        </is>
      </c>
      <c r="P105" t="inlineStr">
        <is>
          <t>2024-08-27</t>
        </is>
      </c>
      <c r="Q105" s="2" t="inlineStr">
        <is>
          <t>https://www.builtinnyc.com/company/wellcom-worldwide/offices</t>
        </is>
      </c>
      <c r="R105" t="inlineStr">
        <is>
          <t>low</t>
        </is>
      </c>
      <c r="S105" t="inlineStr">
        <is>
          <t>N</t>
        </is>
      </c>
      <c r="T105" t="inlineStr"/>
      <c r="U105" t="inlineStr"/>
      <c r="V105" s="3" t="inlineStr">
        <is>
          <t>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t>
        </is>
      </c>
      <c r="W105" t="inlineStr">
        <is>
          <t>2026-10-23</t>
        </is>
      </c>
      <c r="X105" t="inlineStr">
        <is>
          <t>New York</t>
        </is>
      </c>
      <c r="Y105" t="inlineStr">
        <is>
          <t>Y</t>
        </is>
      </c>
      <c r="Z105" t="inlineStr">
        <is>
          <t>https://www.builtinnyc.com/company/wellcom-worldwide/offices</t>
        </is>
      </c>
      <c r="AA105" t="inlineStr">
        <is>
          <t>336</t>
        </is>
      </c>
      <c r="AB105" t="inlineStr">
        <is>
          <t>single-source</t>
        </is>
      </c>
      <c r="AC105" t="inlineStr"/>
      <c r="AD105" t="inlineStr"/>
      <c r="AE105" t="inlineStr"/>
      <c r="AF105" t="inlineStr">
        <is>
          <t>Innocean Worldwide</t>
        </is>
      </c>
      <c r="AG105" t="inlineStr">
        <is>
          <t>row notes</t>
        </is>
      </c>
      <c r="AH105" t="inlineStr">
        <is>
          <t>security desk</t>
        </is>
      </c>
      <c r="AI105" t="inlineStr">
        <is>
          <t>candidate</t>
        </is>
      </c>
      <c r="AJ105" t="inlineStr">
        <is>
          <t>occupied</t>
        </is>
      </c>
      <c r="AK105" t="inlineStr"/>
      <c r="AL105" t="inlineStr">
        <is>
          <t>2026-10-23</t>
        </is>
      </c>
      <c r="AM105" s="3" t="inlineStr"/>
      <c r="AN105" t="inlineStr">
        <is>
          <t>leasing-press</t>
        </is>
      </c>
      <c r="AO105" t="inlineStr">
        <is>
          <t>2026-10-23</t>
        </is>
      </c>
      <c r="AP105" t="inlineStr">
        <is>
          <t>direct-lease-documented</t>
        </is>
      </c>
      <c r="AQ105" t="inlineStr">
        <is>
          <t>1008260046</t>
        </is>
      </c>
      <c r="AR105" t="n">
        <v>0</v>
      </c>
      <c r="AS105" t="inlineStr">
        <is>
          <t>24,005 sf</t>
        </is>
      </c>
      <c r="AT105" t="inlineStr">
        <is>
          <t>S3</t>
        </is>
      </c>
    </row>
    <row r="106">
      <c r="A106" t="inlineStr">
        <is>
          <t>B-C-112</t>
        </is>
      </c>
      <c r="B106" t="inlineStr">
        <is>
          <t>BrightTower</t>
        </is>
      </c>
      <c r="C106" s="2" t="inlineStr">
        <is>
          <t>https://brighttower.com</t>
        </is>
      </c>
      <c r="D106" t="inlineStr">
        <is>
          <t>investment banking (M&amp;A advisory)</t>
        </is>
      </c>
      <c r="E106" t="inlineStr">
        <is>
          <t>B-B-057</t>
        </is>
      </c>
      <c r="F106" t="inlineStr">
        <is>
          <t>41 Madison Avenue</t>
        </is>
      </c>
      <c r="G106" t="inlineStr">
        <is>
          <t>32</t>
        </is>
      </c>
      <c r="H106" t="inlineStr">
        <is>
          <t>10010</t>
        </is>
      </c>
      <c r="I106" t="n">
        <v>40.742477</v>
      </c>
      <c r="J106" t="n">
        <v>-73.986608</v>
      </c>
      <c r="K106" t="inlineStr">
        <is>
          <t>Y</t>
        </is>
      </c>
      <c r="L106" t="inlineStr">
        <is>
          <t>unknown</t>
        </is>
      </c>
      <c r="M106" t="inlineStr">
        <is>
          <t>unknown</t>
        </is>
      </c>
      <c r="N106" t="inlineStr"/>
      <c r="O106" s="2" t="inlineStr">
        <is>
          <t>https://commercialobserver.com/2026/03/brighttower-lease-rudin-41-madison-avenue/</t>
        </is>
      </c>
      <c r="P106" t="inlineStr">
        <is>
          <t>2026-03-09</t>
        </is>
      </c>
      <c r="Q106" t="inlineStr"/>
      <c r="R106" t="inlineStr">
        <is>
          <t>medium</t>
        </is>
      </c>
      <c r="S106" t="inlineStr">
        <is>
          <t>N</t>
        </is>
      </c>
      <c r="T106" t="inlineStr"/>
      <c r="U106" t="inlineStr"/>
      <c r="V106" s="3" t="inlineStr">
        <is>
          <t>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is>
      </c>
      <c r="W106" t="inlineStr">
        <is>
          <t>2026-10-23</t>
        </is>
      </c>
      <c r="X106" t="inlineStr">
        <is>
          <t>unknown</t>
        </is>
      </c>
      <c r="Y106" t="inlineStr">
        <is>
          <t>unknown</t>
        </is>
      </c>
      <c r="Z106" t="inlineStr"/>
      <c r="AA106" t="inlineStr"/>
      <c r="AB106" t="inlineStr">
        <is>
          <t>no-count</t>
        </is>
      </c>
      <c r="AC106" t="inlineStr"/>
      <c r="AD106" t="inlineStr"/>
      <c r="AE106" t="inlineStr"/>
      <c r="AF106" t="inlineStr">
        <is>
          <t>unknown</t>
        </is>
      </c>
      <c r="AG106" t="inlineStr"/>
      <c r="AH106" t="inlineStr">
        <is>
          <t>security desk</t>
        </is>
      </c>
      <c r="AI106" t="inlineStr">
        <is>
          <t>candidate</t>
        </is>
      </c>
      <c r="AJ106" t="inlineStr">
        <is>
          <t>occupancy-unconfirmed</t>
        </is>
      </c>
      <c r="AK106" t="inlineStr"/>
      <c r="AL106" t="inlineStr"/>
      <c r="AM106" s="3" t="inlineStr">
        <is>
          <t>No opened source gives a count: no Built In profile with a total, the company site publishes none, and LinkedIn was off-limits. Founder to confirm at intake.</t>
        </is>
      </c>
      <c r="AN106" t="inlineStr">
        <is>
          <t>leasing-press</t>
        </is>
      </c>
      <c r="AO106" t="inlineStr"/>
      <c r="AP106" t="inlineStr">
        <is>
          <t>different-floor</t>
        </is>
      </c>
      <c r="AQ106" t="inlineStr">
        <is>
          <t>1008550037</t>
        </is>
      </c>
      <c r="AR106" t="n">
        <v>0</v>
      </c>
      <c r="AS106" t="inlineStr">
        <is>
          <t>13,857 sf</t>
        </is>
      </c>
      <c r="AT106" t="inlineStr">
        <is>
          <t>S4</t>
        </is>
      </c>
    </row>
    <row r="107">
      <c r="A107" t="inlineStr">
        <is>
          <t>B-C-113</t>
        </is>
      </c>
      <c r="B107" t="inlineStr">
        <is>
          <t>Clarick Gueron Reisbaum</t>
        </is>
      </c>
      <c r="C107" t="inlineStr">
        <is>
          <t>unknown</t>
        </is>
      </c>
      <c r="D107" t="inlineStr">
        <is>
          <t>law firm (commercial litigation)</t>
        </is>
      </c>
      <c r="E107" t="inlineStr">
        <is>
          <t>B-B-057</t>
        </is>
      </c>
      <c r="F107" t="inlineStr">
        <is>
          <t>41 Madison Avenue</t>
        </is>
      </c>
      <c r="G107" t="inlineStr">
        <is>
          <t>23</t>
        </is>
      </c>
      <c r="H107" t="inlineStr">
        <is>
          <t>10010</t>
        </is>
      </c>
      <c r="I107" t="n">
        <v>40.742477</v>
      </c>
      <c r="J107" t="n">
        <v>-73.986608</v>
      </c>
      <c r="K107" t="inlineStr">
        <is>
          <t>Y</t>
        </is>
      </c>
      <c r="L107" t="inlineStr">
        <is>
          <t>unknown</t>
        </is>
      </c>
      <c r="M107" t="inlineStr">
        <is>
          <t>unknown</t>
        </is>
      </c>
      <c r="N107" t="inlineStr"/>
      <c r="O107" s="2" t="inlineStr">
        <is>
          <t>https://commercialobserver.com/2024/06/law-firm-clarick-gueron-reisbaum-signs-13k-sf-lease-at-rudins-41-madison-avenue/</t>
        </is>
      </c>
      <c r="P107" t="inlineStr">
        <is>
          <t>2024-06-24</t>
        </is>
      </c>
      <c r="Q107" t="inlineStr"/>
      <c r="R107" t="inlineStr">
        <is>
          <t>low</t>
        </is>
      </c>
      <c r="S107" t="inlineStr">
        <is>
          <t>N</t>
        </is>
      </c>
      <c r="T107" t="inlineStr"/>
      <c r="U107" t="inlineStr"/>
      <c r="V107" s="3" t="inlineStr">
        <is>
          <t>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is>
      </c>
      <c r="W107" t="inlineStr">
        <is>
          <t>2026-10-23</t>
        </is>
      </c>
      <c r="X107" t="inlineStr">
        <is>
          <t>unknown</t>
        </is>
      </c>
      <c r="Y107" t="inlineStr">
        <is>
          <t>unknown</t>
        </is>
      </c>
      <c r="Z107" t="inlineStr"/>
      <c r="AA107" t="inlineStr"/>
      <c r="AB107" t="inlineStr">
        <is>
          <t>no-count</t>
        </is>
      </c>
      <c r="AC107" t="inlineStr"/>
      <c r="AD107" t="inlineStr"/>
      <c r="AE107" t="inlineStr"/>
      <c r="AF107" t="inlineStr">
        <is>
          <t>unknown</t>
        </is>
      </c>
      <c r="AG107" t="inlineStr"/>
      <c r="AH107" t="inlineStr">
        <is>
          <t>security desk</t>
        </is>
      </c>
      <c r="AI107" t="inlineStr">
        <is>
          <t>candidate</t>
        </is>
      </c>
      <c r="AJ107" t="inlineStr">
        <is>
          <t>occupancy-unconfirmed</t>
        </is>
      </c>
      <c r="AK107" t="inlineStr"/>
      <c r="AL107" t="inlineStr"/>
      <c r="AM107" s="3" t="inlineStr">
        <is>
          <t>No opened source gives a count: no Built In profile with a total, the company site publishes none, and LinkedIn was off-limits. Founder to confirm at intake.</t>
        </is>
      </c>
      <c r="AN107" t="inlineStr">
        <is>
          <t>leasing-press</t>
        </is>
      </c>
      <c r="AO107" t="inlineStr"/>
      <c r="AP107" t="inlineStr">
        <is>
          <t>different-floor</t>
        </is>
      </c>
      <c r="AQ107" t="inlineStr">
        <is>
          <t>1008550037</t>
        </is>
      </c>
      <c r="AR107" t="n">
        <v>0</v>
      </c>
      <c r="AS107" t="inlineStr">
        <is>
          <t>13,394 sf</t>
        </is>
      </c>
      <c r="AT107" t="inlineStr">
        <is>
          <t>S4</t>
        </is>
      </c>
    </row>
    <row r="108">
      <c r="A108" t="inlineStr">
        <is>
          <t>B-C-114</t>
        </is>
      </c>
      <c r="B108" t="inlineStr">
        <is>
          <t>Kensington Vanguard National Land Services</t>
        </is>
      </c>
      <c r="C108" s="2" t="inlineStr">
        <is>
          <t>https://www.kvnational.com</t>
        </is>
      </c>
      <c r="D108" t="inlineStr">
        <is>
          <t>title insurance</t>
        </is>
      </c>
      <c r="E108" t="inlineStr">
        <is>
          <t>B-B-057</t>
        </is>
      </c>
      <c r="F108" t="inlineStr">
        <is>
          <t>41 Madison Avenue</t>
        </is>
      </c>
      <c r="G108" t="inlineStr">
        <is>
          <t>21</t>
        </is>
      </c>
      <c r="H108" t="inlineStr">
        <is>
          <t>10010</t>
        </is>
      </c>
      <c r="I108" t="n">
        <v>40.742477</v>
      </c>
      <c r="J108" t="n">
        <v>-73.986608</v>
      </c>
      <c r="K108" t="inlineStr">
        <is>
          <t>Y</t>
        </is>
      </c>
      <c r="L108" t="inlineStr">
        <is>
          <t>unknown</t>
        </is>
      </c>
      <c r="M108" t="inlineStr">
        <is>
          <t>unknown</t>
        </is>
      </c>
      <c r="N108" t="inlineStr"/>
      <c r="O108" s="2" t="inlineStr">
        <is>
          <t>https://commercialobserver.com/2023/11/law-firm-kensington-vanguard-signs-13k-sf-lease-at-41-madison/</t>
        </is>
      </c>
      <c r="P108" t="inlineStr">
        <is>
          <t>2023-11-01</t>
        </is>
      </c>
      <c r="Q108" t="inlineStr"/>
      <c r="R108" t="inlineStr">
        <is>
          <t>low</t>
        </is>
      </c>
      <c r="S108" t="inlineStr">
        <is>
          <t>N</t>
        </is>
      </c>
      <c r="T108" t="inlineStr"/>
      <c r="U108" t="inlineStr"/>
      <c r="V108" s="3" t="inlineStr">
        <is>
          <t>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security desk</t>
        </is>
      </c>
      <c r="AI108" t="inlineStr">
        <is>
          <t>candidate</t>
        </is>
      </c>
      <c r="AJ108" t="inlineStr">
        <is>
          <t>occupancy-unconfirmed</t>
        </is>
      </c>
      <c r="AK108" t="inlineStr"/>
      <c r="AL108" t="inlineStr"/>
      <c r="AM108" s="3" t="inlineStr">
        <is>
          <t>No opened source gives a count: no Built In profile with a total, the company site publishes none, and LinkedIn was off-limits. Founder to confirm at intake.</t>
        </is>
      </c>
      <c r="AN108" t="inlineStr">
        <is>
          <t>leasing-press</t>
        </is>
      </c>
      <c r="AO108" t="inlineStr"/>
      <c r="AP108" t="inlineStr">
        <is>
          <t>different-floor</t>
        </is>
      </c>
      <c r="AQ108" t="inlineStr">
        <is>
          <t>1008550037</t>
        </is>
      </c>
      <c r="AR108" t="n">
        <v>0</v>
      </c>
      <c r="AS108" t="inlineStr">
        <is>
          <t>13,394 sf</t>
        </is>
      </c>
      <c r="AT108" t="inlineStr">
        <is>
          <t>S4</t>
        </is>
      </c>
    </row>
    <row r="109">
      <c r="A109" t="inlineStr">
        <is>
          <t>B-C-115</t>
        </is>
      </c>
      <c r="B109" t="inlineStr">
        <is>
          <t>Polar Asset Management Partners</t>
        </is>
      </c>
      <c r="C109" s="2" t="inlineStr">
        <is>
          <t>https://polaramp.com</t>
        </is>
      </c>
      <c r="D109" t="inlineStr">
        <is>
          <t>alternative asset management</t>
        </is>
      </c>
      <c r="E109" t="inlineStr">
        <is>
          <t>B-B-057</t>
        </is>
      </c>
      <c r="F109" t="inlineStr">
        <is>
          <t>41 Madison Avenue</t>
        </is>
      </c>
      <c r="G109" t="inlineStr">
        <is>
          <t>36 (per site); moving to 33</t>
        </is>
      </c>
      <c r="H109" t="inlineStr">
        <is>
          <t>10010</t>
        </is>
      </c>
      <c r="I109" t="n">
        <v>40.742477</v>
      </c>
      <c r="J109" t="n">
        <v>-73.986608</v>
      </c>
      <c r="K109" t="inlineStr">
        <is>
          <t>Y</t>
        </is>
      </c>
      <c r="L109" t="inlineStr">
        <is>
          <t>unknown</t>
        </is>
      </c>
      <c r="M109" t="inlineStr">
        <is>
          <t>unknown</t>
        </is>
      </c>
      <c r="N109" t="inlineStr"/>
      <c r="O109" s="2" t="inlineStr">
        <is>
          <t>https://commercialobserver.com/2026/05/polar-asset-management-partners-lease-rudin-41-madison-avenue/</t>
        </is>
      </c>
      <c r="P109" t="inlineStr">
        <is>
          <t>2026-05-04</t>
        </is>
      </c>
      <c r="Q109" s="2" t="inlineStr">
        <is>
          <t>https://polaramp.com/contact</t>
        </is>
      </c>
      <c r="R109" t="inlineStr">
        <is>
          <t>high</t>
        </is>
      </c>
      <c r="S109" t="inlineStr">
        <is>
          <t>N</t>
        </is>
      </c>
      <c r="T109" t="inlineStr"/>
      <c r="U109" t="inlineStr"/>
      <c r="V109" s="3" t="inlineStr">
        <is>
          <t>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security desk</t>
        </is>
      </c>
      <c r="AI109" t="inlineStr">
        <is>
          <t>candidate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different-floor</t>
        </is>
      </c>
      <c r="AQ109" t="inlineStr">
        <is>
          <t>1008550037</t>
        </is>
      </c>
      <c r="AR109" t="n">
        <v>0</v>
      </c>
      <c r="AS109" t="inlineStr">
        <is>
          <t>9,848 sf; 13,357 sf</t>
        </is>
      </c>
      <c r="AT109" t="inlineStr">
        <is>
          <t>S4</t>
        </is>
      </c>
    </row>
    <row r="110">
      <c r="A110" t="inlineStr">
        <is>
          <t>B-C-116</t>
        </is>
      </c>
      <c r="B110" t="inlineStr">
        <is>
          <t>TenBerke (formerly Deborah Berke Partners)</t>
        </is>
      </c>
      <c r="C110" s="2" t="inlineStr">
        <is>
          <t>https://tenberke.com</t>
        </is>
      </c>
      <c r="D110" t="inlineStr">
        <is>
          <t>architecture</t>
        </is>
      </c>
      <c r="E110" t="inlineStr">
        <is>
          <t>B-B-057</t>
        </is>
      </c>
      <c r="F110" t="inlineStr">
        <is>
          <t>41 Madison Avenue</t>
        </is>
      </c>
      <c r="G110" t="inlineStr">
        <is>
          <t>17</t>
        </is>
      </c>
      <c r="H110" t="inlineStr">
        <is>
          <t>10010</t>
        </is>
      </c>
      <c r="I110" t="n">
        <v>40.742477</v>
      </c>
      <c r="J110" t="n">
        <v>-73.986608</v>
      </c>
      <c r="K110" t="inlineStr">
        <is>
          <t>Y</t>
        </is>
      </c>
      <c r="L110" t="inlineStr">
        <is>
          <t>unknown</t>
        </is>
      </c>
      <c r="M110" t="inlineStr">
        <is>
          <t>unknown</t>
        </is>
      </c>
      <c r="N110" t="inlineStr"/>
      <c r="O110" s="2" t="inlineStr">
        <is>
          <t>https://tenberke.com/contact/</t>
        </is>
      </c>
      <c r="P110" t="inlineStr">
        <is>
          <t>2026-10-23</t>
        </is>
      </c>
      <c r="Q110" s="2" t="inlineStr">
        <is>
          <t>https://commercialobserver.com/2022/12/deborah-berke-takes-13k-sf-at-41-madison-avenue/</t>
        </is>
      </c>
      <c r="R110" t="inlineStr">
        <is>
          <t>high</t>
        </is>
      </c>
      <c r="S110" t="inlineStr">
        <is>
          <t>N</t>
        </is>
      </c>
      <c r="T110" t="inlineStr"/>
      <c r="U110" t="inlineStr"/>
      <c r="V110" s="3" t="inlineStr">
        <is>
          <t>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0" t="inlineStr">
        <is>
          <t>2026-10-23</t>
        </is>
      </c>
      <c r="X110" t="inlineStr">
        <is>
          <t>unknown</t>
        </is>
      </c>
      <c r="Y110" t="inlineStr">
        <is>
          <t>unknown</t>
        </is>
      </c>
      <c r="Z110" t="inlineStr"/>
      <c r="AA110" t="inlineStr"/>
      <c r="AB110" t="inlineStr">
        <is>
          <t>no-count</t>
        </is>
      </c>
      <c r="AC110" t="inlineStr"/>
      <c r="AD110" t="inlineStr"/>
      <c r="AE110" t="inlineStr"/>
      <c r="AF110" t="inlineStr">
        <is>
          <t>unknown</t>
        </is>
      </c>
      <c r="AG110" t="inlineStr"/>
      <c r="AH110" t="inlineStr">
        <is>
          <t>security desk</t>
        </is>
      </c>
      <c r="AI110" t="inlineStr">
        <is>
          <t>candidate</t>
        </is>
      </c>
      <c r="AJ110" t="inlineStr">
        <is>
          <t>occupied</t>
        </is>
      </c>
      <c r="AK110" t="inlineStr"/>
      <c r="AL110" t="inlineStr"/>
      <c r="AM110" s="3" t="inlineStr">
        <is>
          <t>No opened source gives a count: no Built In profile with a total, the company site publishes none, and LinkedIn was off-limits. Founder to confirm at intake.</t>
        </is>
      </c>
      <c r="AN110" t="inlineStr">
        <is>
          <t>company-site</t>
        </is>
      </c>
      <c r="AO110" t="inlineStr">
        <is>
          <t>2022-12-20</t>
        </is>
      </c>
      <c r="AP110" t="inlineStr">
        <is>
          <t>different-floor</t>
        </is>
      </c>
      <c r="AQ110" t="inlineStr">
        <is>
          <t>1008550037</t>
        </is>
      </c>
      <c r="AR110" t="n">
        <v>0</v>
      </c>
      <c r="AS110" t="inlineStr">
        <is>
          <t>13,331 sf</t>
        </is>
      </c>
      <c r="AT110" t="inlineStr">
        <is>
          <t>S4</t>
        </is>
      </c>
    </row>
    <row r="111">
      <c r="A111" t="inlineStr">
        <is>
          <t>B-C-117</t>
        </is>
      </c>
      <c r="B111" t="inlineStr">
        <is>
          <t>Urban Atelier Group</t>
        </is>
      </c>
      <c r="C111" t="inlineStr">
        <is>
          <t>unknown</t>
        </is>
      </c>
      <c r="D111" t="inlineStr">
        <is>
          <t>construction management and design-build</t>
        </is>
      </c>
      <c r="E111" t="inlineStr">
        <is>
          <t>B-B-057</t>
        </is>
      </c>
      <c r="F111" t="inlineStr">
        <is>
          <t>41 Madison Avenue</t>
        </is>
      </c>
      <c r="G111" t="inlineStr">
        <is>
          <t>12-13</t>
        </is>
      </c>
      <c r="H111" t="inlineStr">
        <is>
          <t>10010</t>
        </is>
      </c>
      <c r="I111" t="n">
        <v>40.742477</v>
      </c>
      <c r="J111" t="n">
        <v>-73.986608</v>
      </c>
      <c r="K111" t="inlineStr">
        <is>
          <t>Y</t>
        </is>
      </c>
      <c r="L111" t="inlineStr">
        <is>
          <t>unknown</t>
        </is>
      </c>
      <c r="M111" t="inlineStr">
        <is>
          <t>unknown</t>
        </is>
      </c>
      <c r="N111" t="inlineStr"/>
      <c r="O111" s="2" t="inlineStr">
        <is>
          <t>https://commercialobserver.com/2024/11/urban-atelier-group-lease-41-madison-avenue/</t>
        </is>
      </c>
      <c r="P111" t="inlineStr">
        <is>
          <t>2024-11-04</t>
        </is>
      </c>
      <c r="Q111" t="inlineStr"/>
      <c r="R111" t="inlineStr">
        <is>
          <t>medium</t>
        </is>
      </c>
      <c r="S111" t="inlineStr">
        <is>
          <t>N</t>
        </is>
      </c>
      <c r="T111" t="inlineStr"/>
      <c r="U111" t="inlineStr"/>
      <c r="V111" s="3" t="inlineStr">
        <is>
          <t>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is>
      </c>
      <c r="W111" t="inlineStr">
        <is>
          <t>2026-10-23</t>
        </is>
      </c>
      <c r="X111" t="inlineStr">
        <is>
          <t>unknown</t>
        </is>
      </c>
      <c r="Y111" t="inlineStr">
        <is>
          <t>unknown</t>
        </is>
      </c>
      <c r="Z111" t="inlineStr"/>
      <c r="AA111" t="inlineStr"/>
      <c r="AB111" t="inlineStr">
        <is>
          <t>no-count</t>
        </is>
      </c>
      <c r="AC111" t="inlineStr"/>
      <c r="AD111" t="inlineStr"/>
      <c r="AE111" t="inlineStr"/>
      <c r="AF111" t="inlineStr">
        <is>
          <t>unknown</t>
        </is>
      </c>
      <c r="AG111" t="inlineStr"/>
      <c r="AH111" t="inlineStr">
        <is>
          <t>security desk</t>
        </is>
      </c>
      <c r="AI111" t="inlineStr">
        <is>
          <t>candidate</t>
        </is>
      </c>
      <c r="AJ111" t="inlineStr">
        <is>
          <t>occupancy-unconfirmed</t>
        </is>
      </c>
      <c r="AK111" t="inlineStr"/>
      <c r="AL111" t="inlineStr"/>
      <c r="AM111" s="3" t="inlineStr">
        <is>
          <t>No opened source gives a count: no Built In profile with a total, the company site publishes none, and LinkedIn was off-limits. Founder to confirm at intake.</t>
        </is>
      </c>
      <c r="AN111" t="inlineStr">
        <is>
          <t>leasing-press</t>
        </is>
      </c>
      <c r="AO111" t="inlineStr"/>
      <c r="AP111" t="inlineStr">
        <is>
          <t>different-floor</t>
        </is>
      </c>
      <c r="AQ111" t="inlineStr">
        <is>
          <t>1008550037</t>
        </is>
      </c>
      <c r="AR111" t="n">
        <v>0</v>
      </c>
      <c r="AS111" t="inlineStr">
        <is>
          <t>25,268 sf</t>
        </is>
      </c>
      <c r="AT111" t="inlineStr">
        <is>
          <t>S4</t>
        </is>
      </c>
    </row>
    <row r="112">
      <c r="A112" t="inlineStr">
        <is>
          <t>B-C-118</t>
        </is>
      </c>
      <c r="B112" t="inlineStr">
        <is>
          <t>Zip (digital banking)</t>
        </is>
      </c>
      <c r="C112" t="inlineStr">
        <is>
          <t>unknown</t>
        </is>
      </c>
      <c r="D112" t="inlineStr">
        <is>
          <t>fintech (credit and payments)</t>
        </is>
      </c>
      <c r="E112" t="inlineStr">
        <is>
          <t>B-B-057</t>
        </is>
      </c>
      <c r="F112" t="inlineStr">
        <is>
          <t>41 Madison Avenue</t>
        </is>
      </c>
      <c r="G112" t="inlineStr">
        <is>
          <t>18 (from April 2027)</t>
        </is>
      </c>
      <c r="H112" t="inlineStr">
        <is>
          <t>10010</t>
        </is>
      </c>
      <c r="I112" t="n">
        <v>40.742477</v>
      </c>
      <c r="J112" t="n">
        <v>-73.986608</v>
      </c>
      <c r="K112" t="inlineStr">
        <is>
          <t>Y</t>
        </is>
      </c>
      <c r="L112" t="inlineStr">
        <is>
          <t>unknown</t>
        </is>
      </c>
      <c r="M112" t="inlineStr">
        <is>
          <t>unknown</t>
        </is>
      </c>
      <c r="N112" t="inlineStr"/>
      <c r="O112" s="2" t="inlineStr">
        <is>
          <t>https://commercialobserver.com/2026/09/zip-lease-rudin-41-madison-avenue/</t>
        </is>
      </c>
      <c r="P112" t="inlineStr">
        <is>
          <t>2026-09-17</t>
        </is>
      </c>
      <c r="Q112" t="inlineStr"/>
      <c r="R112" t="inlineStr">
        <is>
          <t>low</t>
        </is>
      </c>
      <c r="S112" t="inlineStr">
        <is>
          <t>N</t>
        </is>
      </c>
      <c r="T112" t="inlineStr"/>
      <c r="U112" t="inlineStr"/>
      <c r="V112" s="3" t="inlineStr">
        <is>
          <t>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is>
      </c>
      <c r="W112" t="inlineStr">
        <is>
          <t>2026-10-23</t>
        </is>
      </c>
      <c r="X112" t="inlineStr">
        <is>
          <t>unknown</t>
        </is>
      </c>
      <c r="Y112" t="inlineStr">
        <is>
          <t>unknown</t>
        </is>
      </c>
      <c r="Z112" t="inlineStr"/>
      <c r="AA112" t="inlineStr"/>
      <c r="AB112" t="inlineStr">
        <is>
          <t>no-count</t>
        </is>
      </c>
      <c r="AC112" t="inlineStr"/>
      <c r="AD112" t="inlineStr"/>
      <c r="AE112" t="inlineStr"/>
      <c r="AF112" t="inlineStr">
        <is>
          <t>unknown</t>
        </is>
      </c>
      <c r="AG112" t="inlineStr"/>
      <c r="AH112" t="inlineStr">
        <is>
          <t>security desk</t>
        </is>
      </c>
      <c r="AI112" t="inlineStr">
        <is>
          <t>candidate</t>
        </is>
      </c>
      <c r="AJ112" t="inlineStr">
        <is>
          <t>signed-not-occupied</t>
        </is>
      </c>
      <c r="AK112" t="inlineStr">
        <is>
          <t>2027-04</t>
        </is>
      </c>
      <c r="AL112" t="inlineStr"/>
      <c r="AM112" s="3" t="inlineStr">
        <is>
          <t>The Built In 'zip' profile is a different company (ZipHQ).</t>
        </is>
      </c>
      <c r="AN112" t="inlineStr">
        <is>
          <t>leasing-press</t>
        </is>
      </c>
      <c r="AO112" t="inlineStr"/>
      <c r="AP112" t="inlineStr">
        <is>
          <t>different-floor</t>
        </is>
      </c>
      <c r="AQ112" t="inlineStr">
        <is>
          <t>1008550037</t>
        </is>
      </c>
      <c r="AR112" t="n">
        <v>0</v>
      </c>
      <c r="AS112" t="inlineStr">
        <is>
          <t>13,394 sf</t>
        </is>
      </c>
      <c r="AT112" t="inlineStr">
        <is>
          <t>S4</t>
        </is>
      </c>
    </row>
    <row r="113">
      <c r="A113" t="inlineStr">
        <is>
          <t>B-C-119</t>
        </is>
      </c>
      <c r="B113" t="inlineStr">
        <is>
          <t>Betches Media</t>
        </is>
      </c>
      <c r="C113" s="2" t="inlineStr">
        <is>
          <t>https://betches.com/</t>
        </is>
      </c>
      <c r="D113" t="inlineStr">
        <is>
          <t>Digital media (women's humor and lifestyle brand)</t>
        </is>
      </c>
      <c r="E113" t="inlineStr">
        <is>
          <t>B-B-059</t>
        </is>
      </c>
      <c r="F113" t="inlineStr">
        <is>
          <t>360 Park Avenue South</t>
        </is>
      </c>
      <c r="G113" t="inlineStr">
        <is>
          <t>6</t>
        </is>
      </c>
      <c r="H113" t="inlineStr">
        <is>
          <t>10010</t>
        </is>
      </c>
      <c r="I113" t="n">
        <v>40.741968</v>
      </c>
      <c r="J113" t="n">
        <v>-73.985327</v>
      </c>
      <c r="K113" t="inlineStr">
        <is>
          <t>Y</t>
        </is>
      </c>
      <c r="L113" t="inlineStr">
        <is>
          <t>unknown</t>
        </is>
      </c>
      <c r="M113" t="inlineStr">
        <is>
          <t>unknown</t>
        </is>
      </c>
      <c r="N113" t="inlineStr"/>
      <c r="O113" s="2" t="inlineStr">
        <is>
          <t>https://commercialobserver.com/2026/01/betches-coming-360-park-avenue-south/</t>
        </is>
      </c>
      <c r="P113" t="inlineStr">
        <is>
          <t>2026-01-22</t>
        </is>
      </c>
      <c r="Q113" s="2" t="inlineStr">
        <is>
          <t>https://www.connectcre.com/stories/bxp-secures-230k-sf-of-leases-at-360-park-ave-south/</t>
        </is>
      </c>
      <c r="R113" t="inlineStr">
        <is>
          <t>high</t>
        </is>
      </c>
      <c r="S113" t="inlineStr">
        <is>
          <t>N</t>
        </is>
      </c>
      <c r="T113" t="inlineStr"/>
      <c r="U113" t="inlineStr"/>
      <c r="V113" s="3" t="inlineStr">
        <is>
          <t>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is>
      </c>
      <c r="W113" t="inlineStr">
        <is>
          <t>2026-10-23</t>
        </is>
      </c>
      <c r="X113" t="inlineStr">
        <is>
          <t>unknown</t>
        </is>
      </c>
      <c r="Y113" t="inlineStr">
        <is>
          <t>unknown</t>
        </is>
      </c>
      <c r="Z113" t="inlineStr"/>
      <c r="AA113" t="inlineStr"/>
      <c r="AB113" t="inlineStr">
        <is>
          <t>no-count</t>
        </is>
      </c>
      <c r="AC113" t="inlineStr"/>
      <c r="AD113" t="inlineStr"/>
      <c r="AE113" t="inlineStr"/>
      <c r="AF113" t="inlineStr">
        <is>
          <t>unknown</t>
        </is>
      </c>
      <c r="AG113" t="inlineStr"/>
      <c r="AH113" t="inlineStr">
        <is>
          <t>unknown</t>
        </is>
      </c>
      <c r="AI113" t="inlineStr">
        <is>
          <t>candidate</t>
        </is>
      </c>
      <c r="AJ113" t="inlineStr">
        <is>
          <t>signed-not-occupied</t>
        </is>
      </c>
      <c r="AK113" t="inlineStr">
        <is>
          <t>unknown</t>
        </is>
      </c>
      <c r="AL113" t="inlineStr"/>
      <c r="AM113" s="3" t="inlineStr">
        <is>
          <t>No opened source gives a count: no Built In profile with a total, the company site publishes none, and LinkedIn was off-limits. Founder to confirm at intake.</t>
        </is>
      </c>
      <c r="AN113" t="inlineStr">
        <is>
          <t>leasing-press</t>
        </is>
      </c>
      <c r="AO113" t="inlineStr">
        <is>
          <t>2026-03-16</t>
        </is>
      </c>
      <c r="AP113" t="inlineStr">
        <is>
          <t>no-coworking-in-building</t>
        </is>
      </c>
      <c r="AQ113" t="inlineStr">
        <is>
          <t>1008550024</t>
        </is>
      </c>
      <c r="AR113" t="n">
        <v>0</v>
      </c>
      <c r="AS113" t="inlineStr">
        <is>
          <t>23,000 sf</t>
        </is>
      </c>
      <c r="AT113" t="inlineStr">
        <is>
          <t>S3</t>
        </is>
      </c>
    </row>
    <row r="114">
      <c r="A114" t="inlineStr">
        <is>
          <t>B-C-120</t>
        </is>
      </c>
      <c r="B114" t="inlineStr">
        <is>
          <t>Hunter Point Capital</t>
        </is>
      </c>
      <c r="C114" s="2" t="inlineStr">
        <is>
          <t>https://www.hunterpointcapital.com/</t>
        </is>
      </c>
      <c r="D114" t="inlineStr">
        <is>
          <t>Investment firm (GP stakes / asset management)</t>
        </is>
      </c>
      <c r="E114" t="inlineStr">
        <is>
          <t>B-B-059</t>
        </is>
      </c>
      <c r="F114" t="inlineStr">
        <is>
          <t>360 Park Avenue South</t>
        </is>
      </c>
      <c r="G114" t="inlineStr">
        <is>
          <t>unknown</t>
        </is>
      </c>
      <c r="H114" t="inlineStr">
        <is>
          <t>10010</t>
        </is>
      </c>
      <c r="I114" t="n">
        <v>40.741968</v>
      </c>
      <c r="J114" t="n">
        <v>-73.985327</v>
      </c>
      <c r="K114" t="inlineStr">
        <is>
          <t>Y</t>
        </is>
      </c>
      <c r="L114" t="inlineStr">
        <is>
          <t>unknown</t>
        </is>
      </c>
      <c r="M114" t="inlineStr">
        <is>
          <t>unknown</t>
        </is>
      </c>
      <c r="N114" t="inlineStr"/>
      <c r="O114" s="2" t="inlineStr">
        <is>
          <t>https://www.connectcre.com/stories/bxp-secures-230k-sf-of-leases-at-360-park-ave-south/</t>
        </is>
      </c>
      <c r="P114" t="inlineStr">
        <is>
          <t>2026-03-16</t>
        </is>
      </c>
      <c r="Q114" s="2" t="inlineStr">
        <is>
          <t>https://commercialobserver.com/?p=563472</t>
        </is>
      </c>
      <c r="R114" t="inlineStr">
        <is>
          <t>medium</t>
        </is>
      </c>
      <c r="S114" t="inlineStr">
        <is>
          <t>N</t>
        </is>
      </c>
      <c r="T114" t="inlineStr"/>
      <c r="U114" t="inlineStr"/>
      <c r="V114" s="3" t="inlineStr">
        <is>
          <t>ConnectCRE and CO Mar 2026: about 46,000 sf at 360 PAS. The firm's website (live, opened 2026-10-24) still gives '610 Broadway 4th Floor, New York, NY 10012', so it has probably not moved yet;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is>
      </c>
      <c r="W114" t="inlineStr">
        <is>
          <t>2026-10-23</t>
        </is>
      </c>
      <c r="X114" t="inlineStr">
        <is>
          <t>unknown</t>
        </is>
      </c>
      <c r="Y114" t="inlineStr">
        <is>
          <t>unknown</t>
        </is>
      </c>
      <c r="Z114" t="inlineStr"/>
      <c r="AA114" t="inlineStr"/>
      <c r="AB114" t="inlineStr">
        <is>
          <t>no-count</t>
        </is>
      </c>
      <c r="AC114" t="inlineStr"/>
      <c r="AD114" t="inlineStr"/>
      <c r="AE114" t="inlineStr"/>
      <c r="AF114" t="inlineStr">
        <is>
          <t>unknown</t>
        </is>
      </c>
      <c r="AG114" t="inlineStr"/>
      <c r="AH114" t="inlineStr">
        <is>
          <t>unknown</t>
        </is>
      </c>
      <c r="AI114" t="inlineStr">
        <is>
          <t>candidate</t>
        </is>
      </c>
      <c r="AJ114" t="inlineStr">
        <is>
          <t>signed-not-occupied</t>
        </is>
      </c>
      <c r="AK114" t="inlineStr">
        <is>
          <t>unknown</t>
        </is>
      </c>
      <c r="AL114" t="inlineStr"/>
      <c r="AM114" s="3" t="inlineStr">
        <is>
          <t>No opened source gives a count: no Built In profile with a total, the company site publishes none, and LinkedIn was off-limits. Founder to confirm at intake.</t>
        </is>
      </c>
      <c r="AN114" t="inlineStr">
        <is>
          <t>leasing-press</t>
        </is>
      </c>
      <c r="AO114" t="inlineStr">
        <is>
          <t>2026-03-16</t>
        </is>
      </c>
      <c r="AP114" t="inlineStr">
        <is>
          <t>no-coworking-in-building</t>
        </is>
      </c>
      <c r="AQ114" t="inlineStr">
        <is>
          <t>1008550024</t>
        </is>
      </c>
      <c r="AR114" t="n">
        <v>0</v>
      </c>
      <c r="AS114" t="inlineStr">
        <is>
          <t>46,000 sf</t>
        </is>
      </c>
      <c r="AT114" t="inlineStr">
        <is>
          <t>S3</t>
        </is>
      </c>
    </row>
    <row r="115">
      <c r="A115" t="inlineStr">
        <is>
          <t>B-C-121</t>
        </is>
      </c>
      <c r="B115" t="inlineStr">
        <is>
          <t>ICONIQ Capital</t>
        </is>
      </c>
      <c r="C115" s="2" t="inlineStr">
        <is>
          <t>https://www.iconiq.com</t>
        </is>
      </c>
      <c r="D115" t="inlineStr">
        <is>
          <t>wealth management and venture capital</t>
        </is>
      </c>
      <c r="E115" t="inlineStr">
        <is>
          <t>B-B-059</t>
        </is>
      </c>
      <c r="F115" t="inlineStr">
        <is>
          <t>360 Park Avenue South</t>
        </is>
      </c>
      <c r="G115" t="inlineStr">
        <is>
          <t>unknown</t>
        </is>
      </c>
      <c r="H115" t="inlineStr">
        <is>
          <t>10010</t>
        </is>
      </c>
      <c r="I115" t="n">
        <v>40.741968</v>
      </c>
      <c r="J115" t="n">
        <v>-73.985327</v>
      </c>
      <c r="K115" t="inlineStr">
        <is>
          <t>Y</t>
        </is>
      </c>
      <c r="L115" t="inlineStr">
        <is>
          <t>unknown</t>
        </is>
      </c>
      <c r="M115" t="inlineStr">
        <is>
          <t>unknown</t>
        </is>
      </c>
      <c r="N115" t="inlineStr"/>
      <c r="O115" s="2" t="inlineStr">
        <is>
          <t>https://commercialobserver.com/2025/05/optiver-lease-360-park-avenue-south/</t>
        </is>
      </c>
      <c r="P115" t="inlineStr">
        <is>
          <t>2025-05-20</t>
        </is>
      </c>
      <c r="Q115" t="inlineStr"/>
      <c r="R115" t="inlineStr">
        <is>
          <t>medium</t>
        </is>
      </c>
      <c r="S115" t="inlineStr">
        <is>
          <t>N</t>
        </is>
      </c>
      <c r="T115" t="inlineStr"/>
      <c r="U115" t="inlineStr"/>
      <c r="V115" s="3" t="inlineStr">
        <is>
          <t>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is>
      </c>
      <c r="W115" t="inlineStr">
        <is>
          <t>2026-10-23</t>
        </is>
      </c>
      <c r="X115" t="inlineStr">
        <is>
          <t>San Francisco</t>
        </is>
      </c>
      <c r="Y115" t="inlineStr">
        <is>
          <t>N</t>
        </is>
      </c>
      <c r="Z115" t="inlineStr">
        <is>
          <t>row notes</t>
        </is>
      </c>
      <c r="AA115" t="inlineStr"/>
      <c r="AB115" t="inlineStr">
        <is>
          <t>no-count</t>
        </is>
      </c>
      <c r="AC115" t="inlineStr"/>
      <c r="AD115" t="inlineStr"/>
      <c r="AE115" t="inlineStr"/>
      <c r="AF115" t="inlineStr">
        <is>
          <t>unknown</t>
        </is>
      </c>
      <c r="AG115" t="inlineStr"/>
      <c r="AH115" t="inlineStr">
        <is>
          <t>unknown</t>
        </is>
      </c>
      <c r="AI115" t="inlineStr">
        <is>
          <t>candidate</t>
        </is>
      </c>
      <c r="AJ115" t="inlineStr">
        <is>
          <t>occupied</t>
        </is>
      </c>
      <c r="AK115" t="inlineStr"/>
      <c r="AL115" t="inlineStr"/>
      <c r="AM115" s="3" t="inlineStr">
        <is>
          <t>No opened source gives a count: no Built In profile with a total, the company site publishes none, and LinkedIn was off-limits. Founder to confirm at intake.</t>
        </is>
      </c>
      <c r="AN115" t="inlineStr">
        <is>
          <t>leasing-press</t>
        </is>
      </c>
      <c r="AO115" t="inlineStr"/>
      <c r="AP115" t="inlineStr">
        <is>
          <t>no-coworking-in-building</t>
        </is>
      </c>
      <c r="AQ115" t="inlineStr">
        <is>
          <t>1008550024</t>
        </is>
      </c>
      <c r="AR115" t="n">
        <v>0</v>
      </c>
      <c r="AS115" t="inlineStr"/>
      <c r="AT115" t="inlineStr">
        <is>
          <t>S4</t>
        </is>
      </c>
    </row>
    <row r="116">
      <c r="A116" t="inlineStr">
        <is>
          <t>B-C-122</t>
        </is>
      </c>
      <c r="B116" t="inlineStr">
        <is>
          <t>Rogo</t>
        </is>
      </c>
      <c r="C116" s="2" t="inlineStr">
        <is>
          <t>https://rogo.com/</t>
        </is>
      </c>
      <c r="D116" t="inlineStr">
        <is>
          <t>Software (AI for financial services)</t>
        </is>
      </c>
      <c r="E116" t="inlineStr">
        <is>
          <t>B-B-059</t>
        </is>
      </c>
      <c r="F116" t="inlineStr">
        <is>
          <t>360 Park Avenue South</t>
        </is>
      </c>
      <c r="G116" t="inlineStr">
        <is>
          <t>7 plus second full floor (46,000 sf)</t>
        </is>
      </c>
      <c r="H116" t="inlineStr">
        <is>
          <t>10010</t>
        </is>
      </c>
      <c r="I116" t="n">
        <v>40.741968</v>
      </c>
      <c r="J116" t="n">
        <v>-73.985327</v>
      </c>
      <c r="K116" t="inlineStr">
        <is>
          <t>Y</t>
        </is>
      </c>
      <c r="L116" t="inlineStr">
        <is>
          <t>unknown</t>
        </is>
      </c>
      <c r="M116" t="inlineStr">
        <is>
          <t>unknown</t>
        </is>
      </c>
      <c r="N116" t="inlineStr"/>
      <c r="O116" s="2" t="inlineStr">
        <is>
          <t>https://rogo.com/legal/privacy-policy</t>
        </is>
      </c>
      <c r="P116" t="inlineStr">
        <is>
          <t>2026-10-23</t>
        </is>
      </c>
      <c r="Q116" s="2" t="inlineStr">
        <is>
          <t>https://commercialobserver.com/2026/09/rogo-technologies-360-park-avenue-south-lease-expansion/</t>
        </is>
      </c>
      <c r="R116" t="inlineStr">
        <is>
          <t>high</t>
        </is>
      </c>
      <c r="S116" t="inlineStr">
        <is>
          <t>N</t>
        </is>
      </c>
      <c r="T116" t="inlineStr"/>
      <c r="U116" t="inlineStr"/>
      <c r="V116" s="3" t="inlineStr">
        <is>
          <t>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is>
      </c>
      <c r="W116" t="inlineStr">
        <is>
          <t>2026-10-23</t>
        </is>
      </c>
      <c r="X116" t="inlineStr">
        <is>
          <t>unknown</t>
        </is>
      </c>
      <c r="Y116" t="inlineStr">
        <is>
          <t>unknown</t>
        </is>
      </c>
      <c r="Z116" t="inlineStr"/>
      <c r="AA116" t="inlineStr"/>
      <c r="AB116" t="inlineStr">
        <is>
          <t>no-count</t>
        </is>
      </c>
      <c r="AC116" t="inlineStr"/>
      <c r="AD116" t="inlineStr"/>
      <c r="AE116" t="inlineStr"/>
      <c r="AF116" t="inlineStr">
        <is>
          <t>unknown</t>
        </is>
      </c>
      <c r="AG116" t="inlineStr"/>
      <c r="AH116" t="inlineStr">
        <is>
          <t>unknown</t>
        </is>
      </c>
      <c r="AI116" t="inlineStr">
        <is>
          <t>candidate</t>
        </is>
      </c>
      <c r="AJ116" t="inlineStr">
        <is>
          <t>occupied</t>
        </is>
      </c>
      <c r="AK116" t="inlineStr"/>
      <c r="AL116" t="inlineStr"/>
      <c r="AM116" s="3" t="inlineStr">
        <is>
          <t>The Built In 'rogo' profile is a different company in Indiana; Empire State Development's 422 jobs is a hiring plan, not a headcount.</t>
        </is>
      </c>
      <c r="AN116" t="inlineStr">
        <is>
          <t>company-site</t>
        </is>
      </c>
      <c r="AO116" t="inlineStr">
        <is>
          <t>2026-09-22</t>
        </is>
      </c>
      <c r="AP116" t="inlineStr">
        <is>
          <t>no-coworking-in-building</t>
        </is>
      </c>
      <c r="AQ116" t="inlineStr">
        <is>
          <t>1008550024</t>
        </is>
      </c>
      <c r="AR116" t="n">
        <v>0</v>
      </c>
      <c r="AS116" t="inlineStr">
        <is>
          <t>46,000 sf</t>
        </is>
      </c>
      <c r="AT116" t="inlineStr">
        <is>
          <t>S3</t>
        </is>
      </c>
    </row>
    <row r="117">
      <c r="A117" t="inlineStr">
        <is>
          <t>B-C-123</t>
        </is>
      </c>
      <c r="B117" t="inlineStr">
        <is>
          <t>Trexquant</t>
        </is>
      </c>
      <c r="C117" s="2" t="inlineStr">
        <is>
          <t>https://www.trexquant.com/</t>
        </is>
      </c>
      <c r="D117" t="inlineStr">
        <is>
          <t>Quantitative investment manager</t>
        </is>
      </c>
      <c r="E117" t="inlineStr">
        <is>
          <t>B-B-059</t>
        </is>
      </c>
      <c r="F117" t="inlineStr">
        <is>
          <t>360 Park Avenue South</t>
        </is>
      </c>
      <c r="G117" t="inlineStr">
        <is>
          <t>unknown</t>
        </is>
      </c>
      <c r="H117" t="inlineStr">
        <is>
          <t>10010</t>
        </is>
      </c>
      <c r="I117" t="n">
        <v>40.741968</v>
      </c>
      <c r="J117" t="n">
        <v>-73.985327</v>
      </c>
      <c r="K117" t="inlineStr">
        <is>
          <t>Y</t>
        </is>
      </c>
      <c r="L117" t="inlineStr">
        <is>
          <t>unknown</t>
        </is>
      </c>
      <c r="M117" t="inlineStr">
        <is>
          <t>unknown</t>
        </is>
      </c>
      <c r="N117" s="2" t="inlineStr">
        <is>
          <t>https://www.builtinnyc.com/company/trexquant-investment/offices</t>
        </is>
      </c>
      <c r="O117" s="2" t="inlineStr">
        <is>
          <t>https://www.connectcre.com/stories/bxp-secures-230k-sf-of-leases-at-360-park-ave-south/</t>
        </is>
      </c>
      <c r="P117" t="inlineStr">
        <is>
          <t>2026-03-16</t>
        </is>
      </c>
      <c r="Q117" s="2" t="inlineStr">
        <is>
          <t>https://commercialobserver.com/?p=563472</t>
        </is>
      </c>
      <c r="R117" t="inlineStr">
        <is>
          <t>high</t>
        </is>
      </c>
      <c r="S117" t="inlineStr">
        <is>
          <t>N</t>
        </is>
      </c>
      <c r="T117" t="inlineStr"/>
      <c r="U117" t="inlineStr"/>
      <c r="V117" s="3" t="inlineStr">
        <is>
          <t>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is>
      </c>
      <c r="W117" t="inlineStr">
        <is>
          <t>2026-10-23</t>
        </is>
      </c>
      <c r="X117" t="inlineStr">
        <is>
          <t>Stamford</t>
        </is>
      </c>
      <c r="Y117" t="inlineStr">
        <is>
          <t>N</t>
        </is>
      </c>
      <c r="Z117" t="inlineStr">
        <is>
          <t>https://www.builtinnyc.com/company/trexquant-investment/offices</t>
        </is>
      </c>
      <c r="AA117" t="inlineStr">
        <is>
          <t>67</t>
        </is>
      </c>
      <c r="AB117" t="inlineStr">
        <is>
          <t>disagree</t>
        </is>
      </c>
      <c r="AC117" t="inlineStr">
        <is>
          <t>340</t>
        </is>
      </c>
      <c r="AD117" t="inlineStr">
        <is>
          <t>https://www.reveliolabs.com/companies/trexquant-management/employees</t>
        </is>
      </c>
      <c r="AE117" t="inlineStr">
        <is>
          <t>2026-08-31</t>
        </is>
      </c>
      <c r="AF117" t="inlineStr">
        <is>
          <t>unknown</t>
        </is>
      </c>
      <c r="AG117" t="inlineStr"/>
      <c r="AH117" t="inlineStr">
        <is>
          <t>unknown</t>
        </is>
      </c>
      <c r="AI117" t="inlineStr">
        <is>
          <t>candidate</t>
        </is>
      </c>
      <c r="AJ117" t="inlineStr">
        <is>
          <t>signed-not-occupied</t>
        </is>
      </c>
      <c r="AK117" t="inlineStr">
        <is>
          <t>unknown</t>
        </is>
      </c>
      <c r="AL117" t="inlineStr">
        <is>
          <t>2026-10-23</t>
        </is>
      </c>
      <c r="AM117" s="3" t="inlineStr">
        <is>
          <t>Sources disagree: Built In shows 67 (40-75) and Revelio Labs (Trexquant Investment LP, HQ Stamford): about 340 employees worldwide as of March 2026 (251-500). Band left unknown; founder to confirm at intake.</t>
        </is>
      </c>
      <c r="AN117" t="inlineStr">
        <is>
          <t>leasing-press</t>
        </is>
      </c>
      <c r="AO117" t="inlineStr">
        <is>
          <t>2026-03-16</t>
        </is>
      </c>
      <c r="AP117" t="inlineStr">
        <is>
          <t>no-coworking-in-building</t>
        </is>
      </c>
      <c r="AQ117" t="inlineStr">
        <is>
          <t>1008550024</t>
        </is>
      </c>
      <c r="AR117" t="n">
        <v>0</v>
      </c>
      <c r="AS117" t="inlineStr">
        <is>
          <t>23,000 sf</t>
        </is>
      </c>
      <c r="AT117" t="inlineStr">
        <is>
          <t>S3</t>
        </is>
      </c>
    </row>
    <row r="118">
      <c r="A118" t="inlineStr">
        <is>
          <t>B-C-125</t>
        </is>
      </c>
      <c r="B118" t="inlineStr">
        <is>
          <t>OTTO Brand Lab</t>
        </is>
      </c>
      <c r="C118" s="2" t="inlineStr">
        <is>
          <t>https://ottobrandlab.com</t>
        </is>
      </c>
      <c r="D118" t="inlineStr">
        <is>
          <t>brand strategy agency</t>
        </is>
      </c>
      <c r="E118" t="inlineStr">
        <is>
          <t>B-B-061</t>
        </is>
      </c>
      <c r="F118" t="inlineStr">
        <is>
          <t>25 West 26th Street</t>
        </is>
      </c>
      <c r="G118" t="inlineStr">
        <is>
          <t>7</t>
        </is>
      </c>
      <c r="H118" t="inlineStr">
        <is>
          <t>10010</t>
        </is>
      </c>
      <c r="I118" t="n">
        <v>40.744387</v>
      </c>
      <c r="J118" t="n">
        <v>-73.98987099999999</v>
      </c>
      <c r="K118" t="inlineStr">
        <is>
          <t>Y</t>
        </is>
      </c>
      <c r="L118" t="inlineStr">
        <is>
          <t>unknown</t>
        </is>
      </c>
      <c r="M118" t="inlineStr">
        <is>
          <t>unknown</t>
        </is>
      </c>
      <c r="N118" t="inlineStr"/>
      <c r="O118" s="2" t="inlineStr">
        <is>
          <t>https://ottobrandlab.com/contact</t>
        </is>
      </c>
      <c r="P118" t="inlineStr">
        <is>
          <t>2026-10-23</t>
        </is>
      </c>
      <c r="Q118" s="2" t="inlineStr">
        <is>
          <t>https://commercialobserver.com/2022/10/otto-brand-labs-takes-5k-sf-at-25-west-26th-street/</t>
        </is>
      </c>
      <c r="R118" t="inlineStr">
        <is>
          <t>high</t>
        </is>
      </c>
      <c r="S118" t="inlineStr">
        <is>
          <t>N</t>
        </is>
      </c>
      <c r="T118" t="inlineStr"/>
      <c r="U118" t="inlineStr"/>
      <c r="V118" s="3" t="inlineStr">
        <is>
          <t>Contact page lists main location 25 W 26th St, 7th Fl. CO 2022: 5,000 SF top floor. Headcount not sourced (no Built In total, no company figure); founder to confirm at intake.</t>
        </is>
      </c>
      <c r="W118" t="inlineStr">
        <is>
          <t>2026-10-23</t>
        </is>
      </c>
      <c r="X118" t="inlineStr">
        <is>
          <t>unknown</t>
        </is>
      </c>
      <c r="Y118" t="inlineStr">
        <is>
          <t>unknown</t>
        </is>
      </c>
      <c r="Z118" t="inlineStr"/>
      <c r="AA118" t="inlineStr"/>
      <c r="AB118" t="inlineStr">
        <is>
          <t>no-count</t>
        </is>
      </c>
      <c r="AC118" t="inlineStr"/>
      <c r="AD118" t="inlineStr"/>
      <c r="AE118" t="inlineStr"/>
      <c r="AF118" t="inlineStr">
        <is>
          <t>unknown</t>
        </is>
      </c>
      <c r="AG118" t="inlineStr"/>
      <c r="AH118" t="inlineStr">
        <is>
          <t>unknown</t>
        </is>
      </c>
      <c r="AI118" t="inlineStr">
        <is>
          <t>candidate</t>
        </is>
      </c>
      <c r="AJ118" t="inlineStr">
        <is>
          <t>occupied</t>
        </is>
      </c>
      <c r="AK118" t="inlineStr"/>
      <c r="AL118" t="inlineStr"/>
      <c r="AM118" s="3" t="inlineStr">
        <is>
          <t>No opened source gives a count: no Built In profile with a total, the company site publishes none, and LinkedIn was off-limits. Founder to confirm at intake.</t>
        </is>
      </c>
      <c r="AN118" t="inlineStr">
        <is>
          <t>company-site</t>
        </is>
      </c>
      <c r="AO118" t="inlineStr">
        <is>
          <t>2022-10-02</t>
        </is>
      </c>
      <c r="AP118" t="inlineStr">
        <is>
          <t>no-coworking-in-building</t>
        </is>
      </c>
      <c r="AQ118" t="inlineStr">
        <is>
          <t>1008280017</t>
        </is>
      </c>
      <c r="AR118" t="n">
        <v>0</v>
      </c>
      <c r="AS118" t="inlineStr">
        <is>
          <t>5,000 sf</t>
        </is>
      </c>
      <c r="AT118" t="inlineStr">
        <is>
          <t>S4</t>
        </is>
      </c>
    </row>
    <row r="119">
      <c r="A119" t="inlineStr">
        <is>
          <t>B-C-126</t>
        </is>
      </c>
      <c r="B119" t="inlineStr">
        <is>
          <t>Idesco</t>
        </is>
      </c>
      <c r="C119" t="inlineStr">
        <is>
          <t>unknown</t>
        </is>
      </c>
      <c r="D119" t="inlineStr">
        <is>
          <t>ID card and security systems</t>
        </is>
      </c>
      <c r="E119" t="inlineStr">
        <is>
          <t>B-B-062</t>
        </is>
      </c>
      <c r="F119" t="inlineStr">
        <is>
          <t>37 West 26th Street</t>
        </is>
      </c>
      <c r="G119" t="inlineStr">
        <is>
          <t>10</t>
        </is>
      </c>
      <c r="H119" t="inlineStr">
        <is>
          <t>10010</t>
        </is>
      </c>
      <c r="I119" t="n">
        <v>40.744624</v>
      </c>
      <c r="J119" t="n">
        <v>-73.99041800000001</v>
      </c>
      <c r="K119" t="inlineStr">
        <is>
          <t>Y</t>
        </is>
      </c>
      <c r="L119" t="inlineStr">
        <is>
          <t>unknown</t>
        </is>
      </c>
      <c r="M119" t="inlineStr">
        <is>
          <t>unknown</t>
        </is>
      </c>
      <c r="N119" t="inlineStr"/>
      <c r="O119" s="2" t="inlineStr">
        <is>
          <t>https://commercialobserver.com/2023/10/idesco-renewal-37-west-26th-street/</t>
        </is>
      </c>
      <c r="P119" t="inlineStr">
        <is>
          <t>2023-10-12</t>
        </is>
      </c>
      <c r="Q119" t="inlineStr"/>
      <c r="R119" t="inlineStr">
        <is>
          <t>low</t>
        </is>
      </c>
      <c r="S119" t="inlineStr">
        <is>
          <t>N</t>
        </is>
      </c>
      <c r="T119" t="inlineStr"/>
      <c r="U119" t="inlineStr"/>
      <c r="V119" s="3" t="inlineStr">
        <is>
          <t>Seven-year renewal of 7,260 SF on floor 10 (at the building since at least 1987). Older source, not reconfirmed; size unknown.</t>
        </is>
      </c>
      <c r="W119" t="inlineStr">
        <is>
          <t>2026-10-23</t>
        </is>
      </c>
      <c r="X119" t="inlineStr">
        <is>
          <t>unknown</t>
        </is>
      </c>
      <c r="Y119" t="inlineStr">
        <is>
          <t>unknown</t>
        </is>
      </c>
      <c r="Z119" t="inlineStr"/>
      <c r="AA119" t="inlineStr"/>
      <c r="AB119" t="inlineStr">
        <is>
          <t>no-count</t>
        </is>
      </c>
      <c r="AC119" t="inlineStr"/>
      <c r="AD119" t="inlineStr"/>
      <c r="AE119" t="inlineStr"/>
      <c r="AF119" t="inlineStr">
        <is>
          <t>unknown</t>
        </is>
      </c>
      <c r="AG119" t="inlineStr"/>
      <c r="AH119" t="inlineStr">
        <is>
          <t>unknown</t>
        </is>
      </c>
      <c r="AI119" t="inlineStr">
        <is>
          <t>candidate</t>
        </is>
      </c>
      <c r="AJ119" t="inlineStr">
        <is>
          <t>occupancy-unconfirmed</t>
        </is>
      </c>
      <c r="AK119" t="inlineStr"/>
      <c r="AL119" t="inlineStr"/>
      <c r="AM119" s="3" t="inlineStr">
        <is>
          <t>No opened source gives a count: no Built In profile with a total, the company site publishes none, and LinkedIn was off-limits. Founder to confirm at intake.</t>
        </is>
      </c>
      <c r="AN119" t="inlineStr">
        <is>
          <t>leasing-press</t>
        </is>
      </c>
      <c r="AO119" t="inlineStr"/>
      <c r="AP119" t="inlineStr">
        <is>
          <t>no-coworking-in-building</t>
        </is>
      </c>
      <c r="AQ119" t="inlineStr">
        <is>
          <t>1008280009</t>
        </is>
      </c>
      <c r="AR119" t="n">
        <v>0</v>
      </c>
      <c r="AS119" t="inlineStr">
        <is>
          <t>7,260 sf</t>
        </is>
      </c>
      <c r="AT119" t="inlineStr">
        <is>
          <t>S4</t>
        </is>
      </c>
    </row>
    <row r="120">
      <c r="A120" t="inlineStr">
        <is>
          <t>B-C-129</t>
        </is>
      </c>
      <c r="B120" t="inlineStr">
        <is>
          <t>Activate Consulting</t>
        </is>
      </c>
      <c r="C120" s="2" t="inlineStr">
        <is>
          <t>https://www.activate.com</t>
        </is>
      </c>
      <c r="D120" t="inlineStr">
        <is>
          <t>management consulting (tech, media, telecom)</t>
        </is>
      </c>
      <c r="E120" t="inlineStr">
        <is>
          <t>B-B-065</t>
        </is>
      </c>
      <c r="F120" t="inlineStr">
        <is>
          <t>11 East 26th Street</t>
        </is>
      </c>
      <c r="G120" t="inlineStr">
        <is>
          <t>17-18</t>
        </is>
      </c>
      <c r="H120" t="inlineStr">
        <is>
          <t>10010</t>
        </is>
      </c>
      <c r="I120" t="n">
        <v>40.743309</v>
      </c>
      <c r="J120" t="n">
        <v>-73.987329</v>
      </c>
      <c r="K120" t="inlineStr">
        <is>
          <t>Y</t>
        </is>
      </c>
      <c r="L120" t="inlineStr">
        <is>
          <t>76-150</t>
        </is>
      </c>
      <c r="M120" t="inlineStr">
        <is>
          <t>whole-company</t>
        </is>
      </c>
      <c r="N120" s="2" t="inlineStr">
        <is>
          <t>https://www.builtinnyc.com/company/activate-consulting/offices</t>
        </is>
      </c>
      <c r="O120" s="2" t="inlineStr">
        <is>
          <t>https://commercialobserver.com/2025/09/activate-consulting-doubles-its-nomad-footprint/</t>
        </is>
      </c>
      <c r="P120" t="inlineStr">
        <is>
          <t>2025-09-30</t>
        </is>
      </c>
      <c r="Q120" s="2" t="inlineStr">
        <is>
          <t>https://www.builtinnyc.com/company/activate-consulting/offices</t>
        </is>
      </c>
      <c r="R120" t="inlineStr">
        <is>
          <t>high</t>
        </is>
      </c>
      <c r="S120" t="inlineStr">
        <is>
          <t>N</t>
        </is>
      </c>
      <c r="T120" t="inlineStr"/>
      <c r="U120" t="inlineStr"/>
      <c r="V120" s="3" t="inlineStr">
        <is>
          <t>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0" t="inlineStr">
        <is>
          <t>2026-10-23</t>
        </is>
      </c>
      <c r="X120" t="inlineStr">
        <is>
          <t>New York</t>
        </is>
      </c>
      <c r="Y120" t="inlineStr">
        <is>
          <t>Y</t>
        </is>
      </c>
      <c r="Z120" t="inlineStr">
        <is>
          <t>https://www.builtinnyc.com/company/activate-consulting/offices</t>
        </is>
      </c>
      <c r="AA120" t="inlineStr">
        <is>
          <t>76</t>
        </is>
      </c>
      <c r="AB120" t="inlineStr">
        <is>
          <t>single-source</t>
        </is>
      </c>
      <c r="AC120" t="inlineStr"/>
      <c r="AD120" t="inlineStr"/>
      <c r="AE120" t="inlineStr"/>
      <c r="AF120" t="inlineStr">
        <is>
          <t>unknown</t>
        </is>
      </c>
      <c r="AG120" t="inlineStr"/>
      <c r="AH120" t="inlineStr">
        <is>
          <t>unknown</t>
        </is>
      </c>
      <c r="AI120" t="inlineStr">
        <is>
          <t>candidate</t>
        </is>
      </c>
      <c r="AJ120" t="inlineStr">
        <is>
          <t>occupied</t>
        </is>
      </c>
      <c r="AK120" t="inlineStr"/>
      <c r="AL120" t="inlineStr">
        <is>
          <t>2026-10-23</t>
        </is>
      </c>
      <c r="AM120" s="3" t="inlineStr"/>
      <c r="AN120" t="inlineStr">
        <is>
          <t>leasing-press</t>
        </is>
      </c>
      <c r="AO120" t="inlineStr">
        <is>
          <t>2026-10-23</t>
        </is>
      </c>
      <c r="AP120" t="inlineStr">
        <is>
          <t>no-coworking-in-building</t>
        </is>
      </c>
      <c r="AQ120" t="inlineStr">
        <is>
          <t>1008560009</t>
        </is>
      </c>
      <c r="AR120" t="n">
        <v>0</v>
      </c>
      <c r="AS120" t="inlineStr">
        <is>
          <t>24,144 sf</t>
        </is>
      </c>
      <c r="AT120" t="inlineStr">
        <is>
          <t>S4</t>
        </is>
      </c>
    </row>
    <row r="121">
      <c r="A121" t="inlineStr">
        <is>
          <t>B-C-130</t>
        </is>
      </c>
      <c r="B121" t="inlineStr">
        <is>
          <t>Butterfly Network</t>
        </is>
      </c>
      <c r="C121" s="2" t="inlineStr">
        <is>
          <t>https://www.butterflynetwork.com</t>
        </is>
      </c>
      <c r="D121" t="inlineStr">
        <is>
          <t>medical devices (handheld ultrasound)</t>
        </is>
      </c>
      <c r="E121" t="inlineStr">
        <is>
          <t>B-B-065</t>
        </is>
      </c>
      <c r="F121" t="inlineStr">
        <is>
          <t>11 East 26th Street</t>
        </is>
      </c>
      <c r="G121" t="inlineStr">
        <is>
          <t>7-8</t>
        </is>
      </c>
      <c r="H121" t="inlineStr">
        <is>
          <t>10010</t>
        </is>
      </c>
      <c r="I121" t="n">
        <v>40.743309</v>
      </c>
      <c r="J121" t="n">
        <v>-73.987329</v>
      </c>
      <c r="K121" t="inlineStr">
        <is>
          <t>Y</t>
        </is>
      </c>
      <c r="L121" t="inlineStr">
        <is>
          <t>unknown</t>
        </is>
      </c>
      <c r="M121" t="inlineStr">
        <is>
          <t>unknown</t>
        </is>
      </c>
      <c r="N121" s="2" t="inlineStr">
        <is>
          <t>https://www.builtinnyc.com/company/butterfly-network-inc/offices</t>
        </is>
      </c>
      <c r="O121" s="2" t="inlineStr">
        <is>
          <t>https://commercialobserver.com/2025/09/activate-consulting-doubles-its-nomad-footprint/</t>
        </is>
      </c>
      <c r="P121" t="inlineStr">
        <is>
          <t>2025-09-30</t>
        </is>
      </c>
      <c r="Q121" s="2" t="inlineStr">
        <is>
          <t>https://www.builtinnyc.com/company/butterfly-network-inc/offices</t>
        </is>
      </c>
      <c r="R121" t="inlineStr">
        <is>
          <t>high</t>
        </is>
      </c>
      <c r="S121" t="inlineStr">
        <is>
          <t>N</t>
        </is>
      </c>
      <c r="T121" t="inlineStr"/>
      <c r="U121" t="inlineStr"/>
      <c r="V121" s="3" t="inlineStr">
        <is>
          <t>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1" t="inlineStr">
        <is>
          <t>2026-10-23</t>
        </is>
      </c>
      <c r="X121" t="inlineStr">
        <is>
          <t>Burlington</t>
        </is>
      </c>
      <c r="Y121" t="inlineStr">
        <is>
          <t>N</t>
        </is>
      </c>
      <c r="Z121" t="inlineStr">
        <is>
          <t>https://www.builtinnyc.com/company/butterfly-network-inc/offices</t>
        </is>
      </c>
      <c r="AA121" t="inlineStr">
        <is>
          <t>443</t>
        </is>
      </c>
      <c r="AB121" t="inlineStr">
        <is>
          <t>disagree</t>
        </is>
      </c>
      <c r="AC121" t="inlineStr">
        <is>
          <t>236</t>
        </is>
      </c>
      <c r="AD121" t="inlineStr">
        <is>
          <t>https://www.reveliolabs.com/companies/butterfly-network/employees</t>
        </is>
      </c>
      <c r="AE121" t="inlineStr">
        <is>
          <t>2026-08-31</t>
        </is>
      </c>
      <c r="AF121" t="inlineStr">
        <is>
          <t>unknown</t>
        </is>
      </c>
      <c r="AG121" t="inlineStr"/>
      <c r="AH121" t="inlineStr">
        <is>
          <t>unknown</t>
        </is>
      </c>
      <c r="AI121" t="inlineStr">
        <is>
          <t>candidate</t>
        </is>
      </c>
      <c r="AJ121" t="inlineStr">
        <is>
          <t>occupied</t>
        </is>
      </c>
      <c r="AK121" t="inlineStr"/>
      <c r="AL121" t="inlineStr">
        <is>
          <t>2026-10-23</t>
        </is>
      </c>
      <c r="AM121" s="3" t="inlineStr">
        <is>
          <t>Sources disagree: Built In shows 443 (251-500) and Revelio Labs (Butterfly Network, Inc., HQ Burlington, Massachusetts): about 236 employees worldwide as of March 2026 (151-250). Band left unknown; founder to confirm at intake.</t>
        </is>
      </c>
      <c r="AN121" t="inlineStr">
        <is>
          <t>leasing-press</t>
        </is>
      </c>
      <c r="AO121" t="inlineStr">
        <is>
          <t>2026-10-23</t>
        </is>
      </c>
      <c r="AP121" t="inlineStr">
        <is>
          <t>no-coworking-in-building</t>
        </is>
      </c>
      <c r="AQ121" t="inlineStr">
        <is>
          <t>1008560009</t>
        </is>
      </c>
      <c r="AR121" t="n">
        <v>0</v>
      </c>
      <c r="AS121" t="inlineStr"/>
      <c r="AT121" t="inlineStr">
        <is>
          <t>S4</t>
        </is>
      </c>
    </row>
    <row r="122">
      <c r="A122" t="inlineStr">
        <is>
          <t>B-C-131</t>
        </is>
      </c>
      <c r="B122" t="inlineStr">
        <is>
          <t>Holocene Advisors</t>
        </is>
      </c>
      <c r="C122" s="2" t="inlineStr">
        <is>
          <t>https://www.holocene.com</t>
        </is>
      </c>
      <c r="D122" t="inlineStr">
        <is>
          <t>investment management</t>
        </is>
      </c>
      <c r="E122" t="inlineStr">
        <is>
          <t>B-B-065</t>
        </is>
      </c>
      <c r="F122" t="inlineStr">
        <is>
          <t>11 East 26th Street</t>
        </is>
      </c>
      <c r="G122" t="inlineStr">
        <is>
          <t>unknown</t>
        </is>
      </c>
      <c r="H122" t="inlineStr">
        <is>
          <t>10010</t>
        </is>
      </c>
      <c r="I122" t="n">
        <v>40.743309</v>
      </c>
      <c r="J122" t="n">
        <v>-73.987329</v>
      </c>
      <c r="K122" t="inlineStr">
        <is>
          <t>Y</t>
        </is>
      </c>
      <c r="L122" t="inlineStr">
        <is>
          <t>unknown</t>
        </is>
      </c>
      <c r="M122" t="inlineStr">
        <is>
          <t>unknown</t>
        </is>
      </c>
      <c r="N122" t="inlineStr"/>
      <c r="O122" s="2" t="inlineStr">
        <is>
          <t>https://commercialobserver.com/2025/10/lutron-electronics-office-lease-11-east-26th-street/</t>
        </is>
      </c>
      <c r="P122" t="inlineStr">
        <is>
          <t>2025-10-22</t>
        </is>
      </c>
      <c r="Q122" s="2" t="inlineStr">
        <is>
          <t>https://commercialobserver.com/2025/03/reckoner-capital-management-lease-11-east-26th-street/</t>
        </is>
      </c>
      <c r="R122" t="inlineStr">
        <is>
          <t>medium</t>
        </is>
      </c>
      <c r="S122" t="inlineStr">
        <is>
          <t>N</t>
        </is>
      </c>
      <c r="T122" t="inlineStr"/>
      <c r="U122" t="inlineStr"/>
      <c r="V122" s="3" t="inlineStr">
        <is>
          <t>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2" t="inlineStr">
        <is>
          <t>2026-10-23</t>
        </is>
      </c>
      <c r="X122" t="inlineStr">
        <is>
          <t>unknown</t>
        </is>
      </c>
      <c r="Y122" t="inlineStr">
        <is>
          <t>unknown</t>
        </is>
      </c>
      <c r="Z122" t="inlineStr"/>
      <c r="AA122" t="inlineStr"/>
      <c r="AB122" t="inlineStr">
        <is>
          <t>no-count</t>
        </is>
      </c>
      <c r="AC122" t="inlineStr"/>
      <c r="AD122" t="inlineStr"/>
      <c r="AE122" t="inlineStr"/>
      <c r="AF122" t="inlineStr">
        <is>
          <t>unknown</t>
        </is>
      </c>
      <c r="AG122" t="inlineStr"/>
      <c r="AH122" t="inlineStr">
        <is>
          <t>unknown</t>
        </is>
      </c>
      <c r="AI122" t="inlineStr">
        <is>
          <t>candidate</t>
        </is>
      </c>
      <c r="AJ122" t="inlineStr">
        <is>
          <t>occupied</t>
        </is>
      </c>
      <c r="AK122" t="inlineStr"/>
      <c r="AL122" t="inlineStr"/>
      <c r="AM122" s="3" t="inlineStr">
        <is>
          <t>No opened source gives a count: no Built In profile with a total, the company site publishes none, and LinkedIn was off-limits. Founder to confirm at intake.</t>
        </is>
      </c>
      <c r="AN122" t="inlineStr">
        <is>
          <t>leasing-press</t>
        </is>
      </c>
      <c r="AO122" t="inlineStr">
        <is>
          <t>2025-03-12</t>
        </is>
      </c>
      <c r="AP122" t="inlineStr">
        <is>
          <t>no-coworking-in-building</t>
        </is>
      </c>
      <c r="AQ122" t="inlineStr">
        <is>
          <t>1008560009</t>
        </is>
      </c>
      <c r="AR122" t="n">
        <v>0</v>
      </c>
      <c r="AS122" t="inlineStr">
        <is>
          <t>31,000 sf</t>
        </is>
      </c>
      <c r="AT122" t="inlineStr">
        <is>
          <t>S4</t>
        </is>
      </c>
    </row>
    <row r="123">
      <c r="A123" t="inlineStr">
        <is>
          <t>B-C-132</t>
        </is>
      </c>
      <c r="B123" t="inlineStr">
        <is>
          <t>Mega 97.9 (radio station)</t>
        </is>
      </c>
      <c r="C123" t="inlineStr">
        <is>
          <t>unknown</t>
        </is>
      </c>
      <c r="D123" t="inlineStr">
        <is>
          <t>media (radio)</t>
        </is>
      </c>
      <c r="E123" t="inlineStr">
        <is>
          <t>B-B-065</t>
        </is>
      </c>
      <c r="F123" t="inlineStr">
        <is>
          <t>11 East 26th Street</t>
        </is>
      </c>
      <c r="G123" t="inlineStr">
        <is>
          <t>unknown</t>
        </is>
      </c>
      <c r="H123" t="inlineStr">
        <is>
          <t>10010</t>
        </is>
      </c>
      <c r="I123" t="n">
        <v>40.743309</v>
      </c>
      <c r="J123" t="n">
        <v>-73.987329</v>
      </c>
      <c r="K123" t="inlineStr">
        <is>
          <t>Y</t>
        </is>
      </c>
      <c r="L123" t="inlineStr">
        <is>
          <t>unknown</t>
        </is>
      </c>
      <c r="M123" t="inlineStr">
        <is>
          <t>unknown</t>
        </is>
      </c>
      <c r="N123" t="inlineStr"/>
      <c r="O123" s="2" t="inlineStr">
        <is>
          <t>https://commercialobserver.com/2025/09/activate-consulting-doubles-its-nomad-footprint/</t>
        </is>
      </c>
      <c r="P123" t="inlineStr">
        <is>
          <t>2025-09-30</t>
        </is>
      </c>
      <c r="Q123" t="inlineStr"/>
      <c r="R123" t="inlineStr">
        <is>
          <t>medium</t>
        </is>
      </c>
      <c r="S123" t="inlineStr">
        <is>
          <t>N</t>
        </is>
      </c>
      <c r="T123" t="inlineStr"/>
      <c r="U123" t="inlineStr"/>
      <c r="V123" s="3" t="inlineStr">
        <is>
          <t>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3" t="inlineStr">
        <is>
          <t>2026-10-23</t>
        </is>
      </c>
      <c r="X123" t="inlineStr">
        <is>
          <t>unknown</t>
        </is>
      </c>
      <c r="Y123" t="inlineStr">
        <is>
          <t>unknown</t>
        </is>
      </c>
      <c r="Z123" t="inlineStr"/>
      <c r="AA123" t="inlineStr"/>
      <c r="AB123" t="inlineStr">
        <is>
          <t>no-count</t>
        </is>
      </c>
      <c r="AC123" t="inlineStr"/>
      <c r="AD123" t="inlineStr"/>
      <c r="AE123" t="inlineStr"/>
      <c r="AF123" t="inlineStr">
        <is>
          <t>unknown</t>
        </is>
      </c>
      <c r="AG123" t="inlineStr"/>
      <c r="AH123" t="inlineStr">
        <is>
          <t>unknown</t>
        </is>
      </c>
      <c r="AI123" t="inlineStr">
        <is>
          <t>candidate</t>
        </is>
      </c>
      <c r="AJ123" t="inlineStr">
        <is>
          <t>occupied</t>
        </is>
      </c>
      <c r="AK123" t="inlineStr"/>
      <c r="AL123" t="inlineStr"/>
      <c r="AM123" s="3" t="inlineStr">
        <is>
          <t>No opened source gives a count: no Built In profile with a total, the company site publishes none, and LinkedIn was off-limits. Founder to confirm at intake.</t>
        </is>
      </c>
      <c r="AN123" t="inlineStr">
        <is>
          <t>leasing-press</t>
        </is>
      </c>
      <c r="AO123" t="inlineStr"/>
      <c r="AP123" t="inlineStr">
        <is>
          <t>no-coworking-in-building</t>
        </is>
      </c>
      <c r="AQ123" t="inlineStr">
        <is>
          <t>1008560009</t>
        </is>
      </c>
      <c r="AR123" t="n">
        <v>0</v>
      </c>
      <c r="AS123" t="inlineStr"/>
      <c r="AT123" t="inlineStr">
        <is>
          <t>S4</t>
        </is>
      </c>
    </row>
    <row r="124">
      <c r="A124" t="inlineStr">
        <is>
          <t>B-C-133</t>
        </is>
      </c>
      <c r="B124" t="inlineStr">
        <is>
          <t>Order.co</t>
        </is>
      </c>
      <c r="C124" s="2" t="inlineStr">
        <is>
          <t>https://www.order.co</t>
        </is>
      </c>
      <c r="D124" t="inlineStr">
        <is>
          <t>software (B2B procurement)</t>
        </is>
      </c>
      <c r="E124" t="inlineStr">
        <is>
          <t>B-B-065</t>
        </is>
      </c>
      <c r="F124" t="inlineStr">
        <is>
          <t>11 East 26th Street</t>
        </is>
      </c>
      <c r="G124" t="inlineStr">
        <is>
          <t>unknown</t>
        </is>
      </c>
      <c r="H124" t="inlineStr">
        <is>
          <t>10010</t>
        </is>
      </c>
      <c r="I124" t="n">
        <v>40.743309</v>
      </c>
      <c r="J124" t="n">
        <v>-73.987329</v>
      </c>
      <c r="K124" t="inlineStr">
        <is>
          <t>Y</t>
        </is>
      </c>
      <c r="L124" t="inlineStr">
        <is>
          <t>151-250</t>
        </is>
      </c>
      <c r="M124" t="inlineStr">
        <is>
          <t>whole-company</t>
        </is>
      </c>
      <c r="N124" s="2" t="inlineStr">
        <is>
          <t>https://www.builtinnyc.com/company/orderco/offices</t>
        </is>
      </c>
      <c r="O124" s="2" t="inlineStr">
        <is>
          <t>https://commercialobserver.com/2026/02/order-co-sublease-11-east-26th-street/</t>
        </is>
      </c>
      <c r="P124" t="inlineStr">
        <is>
          <t>2026-02-05</t>
        </is>
      </c>
      <c r="Q124" t="inlineStr"/>
      <c r="R124" t="inlineStr">
        <is>
          <t>medium</t>
        </is>
      </c>
      <c r="S124" t="inlineStr">
        <is>
          <t>N</t>
        </is>
      </c>
      <c r="T124" t="inlineStr"/>
      <c r="U124" t="inlineStr"/>
      <c r="V124" s="3" t="inlineStr">
        <is>
          <t>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4" t="inlineStr">
        <is>
          <t>2026-10-23</t>
        </is>
      </c>
      <c r="X124" t="inlineStr">
        <is>
          <t>New York</t>
        </is>
      </c>
      <c r="Y124" t="inlineStr">
        <is>
          <t>Y</t>
        </is>
      </c>
      <c r="Z124" t="inlineStr">
        <is>
          <t>https://www.builtinnyc.com/company/orderco/offices</t>
        </is>
      </c>
      <c r="AA124" t="inlineStr">
        <is>
          <t>165</t>
        </is>
      </c>
      <c r="AB124" t="inlineStr">
        <is>
          <t>single-source</t>
        </is>
      </c>
      <c r="AC124" t="inlineStr"/>
      <c r="AD124" t="inlineStr"/>
      <c r="AE124" t="inlineStr"/>
      <c r="AF124" t="inlineStr">
        <is>
          <t>unknown</t>
        </is>
      </c>
      <c r="AG124" t="inlineStr"/>
      <c r="AH124" t="inlineStr">
        <is>
          <t>unknown</t>
        </is>
      </c>
      <c r="AI124" t="inlineStr">
        <is>
          <t>candidate</t>
        </is>
      </c>
      <c r="AJ124" t="inlineStr">
        <is>
          <t>signed-not-occupied</t>
        </is>
      </c>
      <c r="AK124" t="inlineStr">
        <is>
          <t>unknown</t>
        </is>
      </c>
      <c r="AL124" t="inlineStr">
        <is>
          <t>2026-10-23</t>
        </is>
      </c>
      <c r="AM124" s="3" t="inlineStr"/>
      <c r="AN124" t="inlineStr">
        <is>
          <t>leasing-press</t>
        </is>
      </c>
      <c r="AO124" t="inlineStr"/>
      <c r="AP124" t="inlineStr">
        <is>
          <t>no-coworking-in-building</t>
        </is>
      </c>
      <c r="AQ124" t="inlineStr">
        <is>
          <t>1008560009</t>
        </is>
      </c>
      <c r="AR124" t="n">
        <v>0</v>
      </c>
      <c r="AS124" t="inlineStr">
        <is>
          <t>12,134 sf</t>
        </is>
      </c>
      <c r="AT124" t="inlineStr">
        <is>
          <t>S4</t>
        </is>
      </c>
    </row>
    <row r="125">
      <c r="A125" t="inlineStr">
        <is>
          <t>B-C-134</t>
        </is>
      </c>
      <c r="B125" t="inlineStr">
        <is>
          <t>Reckoner Capital Management</t>
        </is>
      </c>
      <c r="C125" s="2" t="inlineStr">
        <is>
          <t>https://reckoner.com</t>
        </is>
      </c>
      <c r="D125" t="inlineStr">
        <is>
          <t>asset management (alternative credit)</t>
        </is>
      </c>
      <c r="E125" t="inlineStr">
        <is>
          <t>B-B-065</t>
        </is>
      </c>
      <c r="F125" t="inlineStr">
        <is>
          <t>11 East 26th Street</t>
        </is>
      </c>
      <c r="G125" t="inlineStr">
        <is>
          <t>10</t>
        </is>
      </c>
      <c r="H125" t="inlineStr">
        <is>
          <t>10010</t>
        </is>
      </c>
      <c r="I125" t="n">
        <v>40.743309</v>
      </c>
      <c r="J125" t="n">
        <v>-73.987329</v>
      </c>
      <c r="K125" t="inlineStr">
        <is>
          <t>Y</t>
        </is>
      </c>
      <c r="L125" t="inlineStr">
        <is>
          <t>unknown</t>
        </is>
      </c>
      <c r="M125" t="inlineStr">
        <is>
          <t>unknown</t>
        </is>
      </c>
      <c r="N125" t="inlineStr"/>
      <c r="O125" s="2" t="inlineStr">
        <is>
          <t>https://commercialobserver.com/2025/03/reckoner-capital-management-lease-11-east-26th-street/</t>
        </is>
      </c>
      <c r="P125" t="inlineStr">
        <is>
          <t>2025-03-12</t>
        </is>
      </c>
      <c r="Q125" s="2" t="inlineStr">
        <is>
          <t>https://commercialobserver.com/2025/10/lutron-electronics-office-lease-11-east-26th-street/</t>
        </is>
      </c>
      <c r="R125" t="inlineStr">
        <is>
          <t>medium</t>
        </is>
      </c>
      <c r="S125" t="inlineStr">
        <is>
          <t>N</t>
        </is>
      </c>
      <c r="T125" t="inlineStr"/>
      <c r="U125" t="inlineStr"/>
      <c r="V125" s="3" t="inlineStr">
        <is>
          <t>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5" t="inlineStr">
        <is>
          <t>2026-10-23</t>
        </is>
      </c>
      <c r="X125" t="inlineStr">
        <is>
          <t>unknown</t>
        </is>
      </c>
      <c r="Y125" t="inlineStr">
        <is>
          <t>unknown</t>
        </is>
      </c>
      <c r="Z125" t="inlineStr"/>
      <c r="AA125" t="inlineStr"/>
      <c r="AB125" t="inlineStr">
        <is>
          <t>no-count</t>
        </is>
      </c>
      <c r="AC125" t="inlineStr"/>
      <c r="AD125" t="inlineStr"/>
      <c r="AE125" t="inlineStr"/>
      <c r="AF125" t="inlineStr">
        <is>
          <t>unknown</t>
        </is>
      </c>
      <c r="AG125" t="inlineStr"/>
      <c r="AH125" t="inlineStr">
        <is>
          <t>unknown</t>
        </is>
      </c>
      <c r="AI125" t="inlineStr">
        <is>
          <t>candidate</t>
        </is>
      </c>
      <c r="AJ125" t="inlineStr">
        <is>
          <t>occupancy-unconfirmed</t>
        </is>
      </c>
      <c r="AK125" t="inlineStr"/>
      <c r="AL125" t="inlineStr"/>
      <c r="AM125" s="3" t="inlineStr">
        <is>
          <t>No opened source gives a count: no Built In profile with a total, the company site publishes none, and LinkedIn was off-limits. Founder to confirm at intake.</t>
        </is>
      </c>
      <c r="AN125" t="inlineStr">
        <is>
          <t>leasing-press</t>
        </is>
      </c>
      <c r="AO125" t="inlineStr">
        <is>
          <t>2025-10-22</t>
        </is>
      </c>
      <c r="AP125" t="inlineStr">
        <is>
          <t>no-coworking-in-building</t>
        </is>
      </c>
      <c r="AQ125" t="inlineStr">
        <is>
          <t>1008560009</t>
        </is>
      </c>
      <c r="AR125" t="n">
        <v>0</v>
      </c>
      <c r="AS125" t="inlineStr">
        <is>
          <t>12,124 sf</t>
        </is>
      </c>
      <c r="AT125" t="inlineStr">
        <is>
          <t>S4</t>
        </is>
      </c>
    </row>
    <row r="126">
      <c r="A126" t="inlineStr">
        <is>
          <t>B-C-136</t>
        </is>
      </c>
      <c r="B126" t="inlineStr">
        <is>
          <t>Suvretta Capital Management</t>
        </is>
      </c>
      <c r="C126" s="2" t="inlineStr">
        <is>
          <t>https://www.suvcap.com</t>
        </is>
      </c>
      <c r="D126" t="inlineStr">
        <is>
          <t>hedge fund</t>
        </is>
      </c>
      <c r="E126" t="inlineStr">
        <is>
          <t>B-B-065</t>
        </is>
      </c>
      <c r="F126" t="inlineStr">
        <is>
          <t>11 East 26th Street</t>
        </is>
      </c>
      <c r="G126" t="inlineStr">
        <is>
          <t>16</t>
        </is>
      </c>
      <c r="H126" t="inlineStr">
        <is>
          <t>10010</t>
        </is>
      </c>
      <c r="I126" t="n">
        <v>40.743309</v>
      </c>
      <c r="J126" t="n">
        <v>-73.987329</v>
      </c>
      <c r="K126" t="inlineStr">
        <is>
          <t>Y</t>
        </is>
      </c>
      <c r="L126" t="inlineStr">
        <is>
          <t>unknown</t>
        </is>
      </c>
      <c r="M126" t="inlineStr">
        <is>
          <t>unknown</t>
        </is>
      </c>
      <c r="N126" t="inlineStr"/>
      <c r="O126" s="2" t="inlineStr">
        <is>
          <t>https://commercialobserver.com/2025/05/suvretta-capital-managment-lease-11-east-26th-street/</t>
        </is>
      </c>
      <c r="P126" t="inlineStr">
        <is>
          <t>2025-05-27</t>
        </is>
      </c>
      <c r="Q126" t="inlineStr"/>
      <c r="R126" t="inlineStr">
        <is>
          <t>low</t>
        </is>
      </c>
      <c r="S126" t="inlineStr">
        <is>
          <t>N</t>
        </is>
      </c>
      <c r="T126" t="inlineStr"/>
      <c r="U126" t="inlineStr"/>
      <c r="V126" s="3" t="inlineStr">
        <is>
          <t>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6" t="inlineStr">
        <is>
          <t>2026-10-23</t>
        </is>
      </c>
      <c r="X126" t="inlineStr">
        <is>
          <t>unknown</t>
        </is>
      </c>
      <c r="Y126" t="inlineStr">
        <is>
          <t>unknown</t>
        </is>
      </c>
      <c r="Z126" t="inlineStr"/>
      <c r="AA126" t="inlineStr"/>
      <c r="AB126" t="inlineStr">
        <is>
          <t>no-count</t>
        </is>
      </c>
      <c r="AC126" t="inlineStr"/>
      <c r="AD126" t="inlineStr"/>
      <c r="AE126" t="inlineStr"/>
      <c r="AF126" t="inlineStr">
        <is>
          <t>unknown</t>
        </is>
      </c>
      <c r="AG126" t="inlineStr"/>
      <c r="AH126" t="inlineStr">
        <is>
          <t>unknown</t>
        </is>
      </c>
      <c r="AI126" t="inlineStr">
        <is>
          <t>candidate</t>
        </is>
      </c>
      <c r="AJ126" t="inlineStr">
        <is>
          <t>signed-not-occupied</t>
        </is>
      </c>
      <c r="AK126" t="inlineStr">
        <is>
          <t>unknown</t>
        </is>
      </c>
      <c r="AL126" t="inlineStr"/>
      <c r="AM126" s="3" t="inlineStr">
        <is>
          <t>No opened source gives a count: no Built In profile with a total, the company site publishes none, and LinkedIn was off-limits. Founder to confirm at intake.</t>
        </is>
      </c>
      <c r="AN126" t="inlineStr">
        <is>
          <t>leasing-press</t>
        </is>
      </c>
      <c r="AO126" t="inlineStr"/>
      <c r="AP126" t="inlineStr">
        <is>
          <t>no-coworking-in-building</t>
        </is>
      </c>
      <c r="AQ126" t="inlineStr">
        <is>
          <t>1008560009</t>
        </is>
      </c>
      <c r="AR126" t="n">
        <v>0</v>
      </c>
      <c r="AS126" t="inlineStr">
        <is>
          <t>12,134 sf</t>
        </is>
      </c>
      <c r="AT126" t="inlineStr">
        <is>
          <t>S4</t>
        </is>
      </c>
    </row>
    <row r="127">
      <c r="A127" t="inlineStr">
        <is>
          <t>B-C-137</t>
        </is>
      </c>
      <c r="B127" t="inlineStr">
        <is>
          <t>Vestal Point Capital</t>
        </is>
      </c>
      <c r="C127" t="inlineStr">
        <is>
          <t>unknown</t>
        </is>
      </c>
      <c r="D127" t="inlineStr">
        <is>
          <t>hedge fund</t>
        </is>
      </c>
      <c r="E127" t="inlineStr">
        <is>
          <t>B-B-065</t>
        </is>
      </c>
      <c r="F127" t="inlineStr">
        <is>
          <t>11 East 26th Street</t>
        </is>
      </c>
      <c r="G127" t="inlineStr">
        <is>
          <t>12</t>
        </is>
      </c>
      <c r="H127" t="inlineStr">
        <is>
          <t>10010</t>
        </is>
      </c>
      <c r="I127" t="n">
        <v>40.743309</v>
      </c>
      <c r="J127" t="n">
        <v>-73.987329</v>
      </c>
      <c r="K127" t="inlineStr">
        <is>
          <t>Y</t>
        </is>
      </c>
      <c r="L127" t="inlineStr">
        <is>
          <t>unknown</t>
        </is>
      </c>
      <c r="M127" t="inlineStr">
        <is>
          <t>unknown</t>
        </is>
      </c>
      <c r="N127" t="inlineStr"/>
      <c r="O127" s="2" t="inlineStr">
        <is>
          <t>https://commercialobserver.com/2026/09/vestal-point-capital-lease-rockrose-development-11-east-26th-street/</t>
        </is>
      </c>
      <c r="P127" t="inlineStr">
        <is>
          <t>2026-09-02</t>
        </is>
      </c>
      <c r="Q127" t="inlineStr"/>
      <c r="R127" t="inlineStr">
        <is>
          <t>low</t>
        </is>
      </c>
      <c r="S127" t="inlineStr">
        <is>
          <t>N</t>
        </is>
      </c>
      <c r="T127" t="inlineStr"/>
      <c r="U127" t="inlineStr"/>
      <c r="V127" s="3" t="inlineStr">
        <is>
          <t>Long-term 12,139 SF lease on full 12th floor signed 2026-09; CO says current office is 632 Broadway and move date is unclear. Downgraded to low because it is probably not in the building yet.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7" t="inlineStr">
        <is>
          <t>2026-10-23</t>
        </is>
      </c>
      <c r="X127" t="inlineStr">
        <is>
          <t>unknown</t>
        </is>
      </c>
      <c r="Y127" t="inlineStr">
        <is>
          <t>unknown</t>
        </is>
      </c>
      <c r="Z127" t="inlineStr"/>
      <c r="AA127" t="inlineStr"/>
      <c r="AB127" t="inlineStr">
        <is>
          <t>no-count</t>
        </is>
      </c>
      <c r="AC127" t="inlineStr"/>
      <c r="AD127" t="inlineStr"/>
      <c r="AE127" t="inlineStr"/>
      <c r="AF127" t="inlineStr">
        <is>
          <t>unknown</t>
        </is>
      </c>
      <c r="AG127" t="inlineStr"/>
      <c r="AH127" t="inlineStr">
        <is>
          <t>unknown</t>
        </is>
      </c>
      <c r="AI127" t="inlineStr">
        <is>
          <t>candidate</t>
        </is>
      </c>
      <c r="AJ127" t="inlineStr">
        <is>
          <t>signed-not-occupied</t>
        </is>
      </c>
      <c r="AK127" t="inlineStr">
        <is>
          <t>unknown</t>
        </is>
      </c>
      <c r="AL127" t="inlineStr"/>
      <c r="AM127" s="3" t="inlineStr">
        <is>
          <t>No opened source gives a count: no Built In profile with a total, the company site publishes none, and LinkedIn was off-limits. Founder to confirm at intake.</t>
        </is>
      </c>
      <c r="AN127" t="inlineStr">
        <is>
          <t>leasing-press</t>
        </is>
      </c>
      <c r="AO127" t="inlineStr"/>
      <c r="AP127" t="inlineStr">
        <is>
          <t>no-coworking-in-building</t>
        </is>
      </c>
      <c r="AQ127" t="inlineStr">
        <is>
          <t>1008560009</t>
        </is>
      </c>
      <c r="AR127" t="n">
        <v>0</v>
      </c>
      <c r="AS127" t="inlineStr">
        <is>
          <t>12,139 sf</t>
        </is>
      </c>
      <c r="AT127" t="inlineStr">
        <is>
          <t>S4</t>
        </is>
      </c>
    </row>
    <row r="128">
      <c r="A128" t="inlineStr">
        <is>
          <t>B-C-138</t>
        </is>
      </c>
      <c r="B128" t="inlineStr">
        <is>
          <t>Warren Equity Partners</t>
        </is>
      </c>
      <c r="C128" s="2" t="inlineStr">
        <is>
          <t>https://warrenequity.com</t>
        </is>
      </c>
      <c r="D128" t="inlineStr">
        <is>
          <t>private equity</t>
        </is>
      </c>
      <c r="E128" t="inlineStr">
        <is>
          <t>B-B-065</t>
        </is>
      </c>
      <c r="F128" t="inlineStr">
        <is>
          <t>11 East 26th Street</t>
        </is>
      </c>
      <c r="G128" t="inlineStr">
        <is>
          <t>19-20</t>
        </is>
      </c>
      <c r="H128" t="inlineStr">
        <is>
          <t>10010</t>
        </is>
      </c>
      <c r="I128" t="n">
        <v>40.743309</v>
      </c>
      <c r="J128" t="n">
        <v>-73.987329</v>
      </c>
      <c r="K128" t="inlineStr">
        <is>
          <t>Y</t>
        </is>
      </c>
      <c r="L128" t="inlineStr">
        <is>
          <t>unknown</t>
        </is>
      </c>
      <c r="M128" t="inlineStr">
        <is>
          <t>unknown</t>
        </is>
      </c>
      <c r="N128" t="inlineStr"/>
      <c r="O128" s="2" t="inlineStr">
        <is>
          <t>https://commercialobserver.com/2025/06/warren-equity-partners-moving-nyc-hq-to-11-east-26th-street-in-24k-sf-lease/</t>
        </is>
      </c>
      <c r="P128" t="inlineStr">
        <is>
          <t>2025-06-25</t>
        </is>
      </c>
      <c r="Q128" s="2" t="inlineStr">
        <is>
          <t>https://warrenequity.com/contact-us/</t>
        </is>
      </c>
      <c r="R128" t="inlineStr">
        <is>
          <t>high</t>
        </is>
      </c>
      <c r="S128" t="inlineStr">
        <is>
          <t>N</t>
        </is>
      </c>
      <c r="T128" t="inlineStr"/>
      <c r="U128" t="inlineStr"/>
      <c r="V128" s="3" t="inlineStr">
        <is>
          <t>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128" t="inlineStr">
        <is>
          <t>2026-10-23</t>
        </is>
      </c>
      <c r="X128" t="inlineStr">
        <is>
          <t>Jacksonville Beach, FL</t>
        </is>
      </c>
      <c r="Y128" t="inlineStr">
        <is>
          <t>N</t>
        </is>
      </c>
      <c r="Z128" t="inlineStr">
        <is>
          <t>https://warrenequity.com/contact-us/</t>
        </is>
      </c>
      <c r="AA128" t="inlineStr"/>
      <c r="AB128" t="inlineStr">
        <is>
          <t>no-count</t>
        </is>
      </c>
      <c r="AC128" t="inlineStr"/>
      <c r="AD128" t="inlineStr"/>
      <c r="AE128" t="inlineStr"/>
      <c r="AF128" t="inlineStr">
        <is>
          <t>unknown</t>
        </is>
      </c>
      <c r="AG128" t="inlineStr"/>
      <c r="AH128" t="inlineStr">
        <is>
          <t>unknown</t>
        </is>
      </c>
      <c r="AI128" t="inlineStr">
        <is>
          <t>candidate</t>
        </is>
      </c>
      <c r="AJ128" t="inlineStr">
        <is>
          <t>occupied</t>
        </is>
      </c>
      <c r="AK128" t="inlineStr"/>
      <c r="AL128" t="inlineStr"/>
      <c r="AM128" s="3" t="inlineStr">
        <is>
          <t>No opened source gives a count: no Built In profile with a total, the company site publishes none, and LinkedIn was off-limits. Founder to confirm at intake.</t>
        </is>
      </c>
      <c r="AN128" t="inlineStr">
        <is>
          <t>leasing-press</t>
        </is>
      </c>
      <c r="AO128" t="inlineStr">
        <is>
          <t>2026-10-23</t>
        </is>
      </c>
      <c r="AP128" t="inlineStr">
        <is>
          <t>no-coworking-in-building</t>
        </is>
      </c>
      <c r="AQ128" t="inlineStr">
        <is>
          <t>1008560009</t>
        </is>
      </c>
      <c r="AR128" t="n">
        <v>0</v>
      </c>
      <c r="AS128" t="inlineStr">
        <is>
          <t>24,199 sf</t>
        </is>
      </c>
      <c r="AT128" t="inlineStr">
        <is>
          <t>S4</t>
        </is>
      </c>
    </row>
    <row r="129">
      <c r="A129" t="inlineStr">
        <is>
          <t>B-C-124</t>
        </is>
      </c>
      <c r="B129" t="inlineStr">
        <is>
          <t>At-Bay</t>
        </is>
      </c>
      <c r="C129" s="2" t="inlineStr">
        <is>
          <t>https://www.at-bay.com/</t>
        </is>
      </c>
      <c r="D129" t="inlineStr">
        <is>
          <t>Cyber insurance / insurtech</t>
        </is>
      </c>
      <c r="E129" t="inlineStr">
        <is>
          <t>B-B-060</t>
        </is>
      </c>
      <c r="F129" t="inlineStr">
        <is>
          <t>220 Fifth Avenue</t>
        </is>
      </c>
      <c r="G129" t="inlineStr">
        <is>
          <t>8</t>
        </is>
      </c>
      <c r="H129" t="inlineStr">
        <is>
          <t>10001</t>
        </is>
      </c>
      <c r="I129" t="n">
        <v>40.743738</v>
      </c>
      <c r="J129" t="n">
        <v>-73.98822</v>
      </c>
      <c r="K129" t="inlineStr">
        <is>
          <t>Y</t>
        </is>
      </c>
      <c r="L129" t="inlineStr">
        <is>
          <t>unknown</t>
        </is>
      </c>
      <c r="M129" t="inlineStr">
        <is>
          <t>unknown</t>
        </is>
      </c>
      <c r="N129" s="2" t="inlineStr">
        <is>
          <t>https://www.builtinnyc.com/company/at-bay/offices</t>
        </is>
      </c>
      <c r="O129" s="2" t="inlineStr">
        <is>
          <t>https://www.at-bay.com/about/</t>
        </is>
      </c>
      <c r="P129" t="inlineStr">
        <is>
          <t>2026-10-24</t>
        </is>
      </c>
      <c r="Q129" t="inlineStr"/>
      <c r="R129" t="inlineStr">
        <is>
          <t>medium</t>
        </is>
      </c>
      <c r="S129" t="inlineStr">
        <is>
          <t>N</t>
        </is>
      </c>
      <c r="T129" t="inlineStr"/>
      <c r="U129" t="inlineStr"/>
      <c r="V129" s="3" t="inlineStr">
        <is>
          <t>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t>
        </is>
      </c>
      <c r="W129" t="inlineStr">
        <is>
          <t>2026-10-23</t>
        </is>
      </c>
      <c r="X129" t="inlineStr">
        <is>
          <t>Mountain View</t>
        </is>
      </c>
      <c r="Y129" t="inlineStr">
        <is>
          <t>N</t>
        </is>
      </c>
      <c r="Z129" t="inlineStr">
        <is>
          <t>https://www.builtinnyc.com/company/at-bay/offices</t>
        </is>
      </c>
      <c r="AA129" t="inlineStr">
        <is>
          <t>230</t>
        </is>
      </c>
      <c r="AB129" t="inlineStr">
        <is>
          <t>disagree</t>
        </is>
      </c>
      <c r="AC129" t="inlineStr">
        <is>
          <t>335</t>
        </is>
      </c>
      <c r="AD129" t="inlineStr">
        <is>
          <t>https://www.reveliolabs.com/companies/at-bay/employees</t>
        </is>
      </c>
      <c r="AE129" t="inlineStr">
        <is>
          <t>2026-08-31</t>
        </is>
      </c>
      <c r="AF129" t="inlineStr">
        <is>
          <t>unknown</t>
        </is>
      </c>
      <c r="AG129" t="inlineStr"/>
      <c r="AH129" t="inlineStr">
        <is>
          <t>unknown</t>
        </is>
      </c>
      <c r="AI129" t="inlineStr">
        <is>
          <t>candidate</t>
        </is>
      </c>
      <c r="AJ129" t="inlineStr">
        <is>
          <t>occupied</t>
        </is>
      </c>
      <c r="AK129" t="inlineStr"/>
      <c r="AL129" t="inlineStr">
        <is>
          <t>2026-10-24</t>
        </is>
      </c>
      <c r="AM129" s="3" t="inlineStr">
        <is>
          <t>Sources disagree: Built In shows 230 (151-250) and Revelio Labs (At-Bay, Inc., HQ San Francisco): about 335 employees worldwide as of March 2026 (251-500). Band left unknown; founder to confirm at intake.</t>
        </is>
      </c>
      <c r="AN129" t="inlineStr">
        <is>
          <t>company-site</t>
        </is>
      </c>
      <c r="AO129" t="inlineStr"/>
      <c r="AP129" t="inlineStr">
        <is>
          <t>no-coworking-in-building</t>
        </is>
      </c>
      <c r="AQ129" t="inlineStr">
        <is>
          <t>1008280035</t>
        </is>
      </c>
      <c r="AR129" t="n">
        <v>0</v>
      </c>
      <c r="AS129" t="inlineStr"/>
      <c r="AT129" t="inlineStr">
        <is>
          <t>S3</t>
        </is>
      </c>
    </row>
    <row r="130">
      <c r="A130" t="inlineStr">
        <is>
          <t>B-C-127</t>
        </is>
      </c>
      <c r="B130" t="inlineStr">
        <is>
          <t>accessiBe</t>
        </is>
      </c>
      <c r="C130" s="2" t="inlineStr">
        <is>
          <t>https://accessibe.com</t>
        </is>
      </c>
      <c r="D130" t="inlineStr">
        <is>
          <t>software (web accessibility)</t>
        </is>
      </c>
      <c r="E130" t="inlineStr">
        <is>
          <t>B-B-063</t>
        </is>
      </c>
      <c r="F130" t="inlineStr">
        <is>
          <t>1140 Broadway</t>
        </is>
      </c>
      <c r="G130" t="inlineStr">
        <is>
          <t>unknown</t>
        </is>
      </c>
      <c r="H130" t="inlineStr">
        <is>
          <t>10001</t>
        </is>
      </c>
      <c r="I130" t="n">
        <v>40.743939</v>
      </c>
      <c r="J130" t="n">
        <v>-73.988677</v>
      </c>
      <c r="K130" t="inlineStr">
        <is>
          <t>Y</t>
        </is>
      </c>
      <c r="L130" t="inlineStr">
        <is>
          <t>unknown</t>
        </is>
      </c>
      <c r="M130" t="inlineStr">
        <is>
          <t>unknown</t>
        </is>
      </c>
      <c r="N130" s="2" t="inlineStr">
        <is>
          <t>https://www.builtinnyc.com/company/accessibe/offices</t>
        </is>
      </c>
      <c r="O130" s="2" t="inlineStr">
        <is>
          <t>https://www.builtinnyc.com/company/accessibe/offices</t>
        </is>
      </c>
      <c r="P130" t="inlineStr">
        <is>
          <t>2026-10-23</t>
        </is>
      </c>
      <c r="Q130" s="2" t="inlineStr">
        <is>
          <t>https://commercialobserver.com/2022/07/acessibe-1140-broadway/</t>
        </is>
      </c>
      <c r="R130" t="inlineStr">
        <is>
          <t>low</t>
        </is>
      </c>
      <c r="S130" t="inlineStr">
        <is>
          <t>N</t>
        </is>
      </c>
      <c r="T130" t="inlineStr"/>
      <c r="U130" t="inlineStr"/>
      <c r="V130" s="3" t="inlineStr">
        <is>
          <t>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2: band changed from 151-250 to unknown. Sources disagree: Built In shows 210 (151-250) and Revelio Labs (accessiBe Ltd., HQ Tel Aviv): about 268 employees worldwide as of March 2026 (251-500). Band left unknown; founder to confirm at intake.</t>
        </is>
      </c>
      <c r="W130" t="inlineStr">
        <is>
          <t>2026-10-23</t>
        </is>
      </c>
      <c r="X130" t="inlineStr">
        <is>
          <t>New York</t>
        </is>
      </c>
      <c r="Y130" t="inlineStr">
        <is>
          <t>Y</t>
        </is>
      </c>
      <c r="Z130" t="inlineStr">
        <is>
          <t>https://www.builtinnyc.com/company/accessibe/offices</t>
        </is>
      </c>
      <c r="AA130" t="inlineStr">
        <is>
          <t>210</t>
        </is>
      </c>
      <c r="AB130" t="inlineStr">
        <is>
          <t>disagree</t>
        </is>
      </c>
      <c r="AC130" t="inlineStr">
        <is>
          <t>268</t>
        </is>
      </c>
      <c r="AD130" t="inlineStr">
        <is>
          <t>https://www.reveliolabs.com/companies/accessibe/employees</t>
        </is>
      </c>
      <c r="AE130" t="inlineStr">
        <is>
          <t>2026-08-31</t>
        </is>
      </c>
      <c r="AF130" t="inlineStr">
        <is>
          <t>unknown</t>
        </is>
      </c>
      <c r="AG130" t="inlineStr"/>
      <c r="AH130" t="inlineStr">
        <is>
          <t>security desk</t>
        </is>
      </c>
      <c r="AI130" t="inlineStr">
        <is>
          <t>candidate</t>
        </is>
      </c>
      <c r="AJ130" t="inlineStr">
        <is>
          <t>occupied</t>
        </is>
      </c>
      <c r="AK130" t="inlineStr"/>
      <c r="AL130" t="inlineStr">
        <is>
          <t>2026-10-23</t>
        </is>
      </c>
      <c r="AM130" s="3" t="inlineStr">
        <is>
          <t>Sources disagree: Built In shows 210 (151-250) and Revelio Labs (accessiBe Ltd., HQ Tel Aviv): about 268 employees worldwide as of March 2026 (251-500). Band left unknown; founder to confirm at intake.</t>
        </is>
      </c>
      <c r="AN130" t="inlineStr">
        <is>
          <t>builtin</t>
        </is>
      </c>
      <c r="AO130" t="inlineStr">
        <is>
          <t>2022-07-07</t>
        </is>
      </c>
      <c r="AP130" t="inlineStr">
        <is>
          <t>no-coworking-in-building</t>
        </is>
      </c>
      <c r="AQ130" t="inlineStr">
        <is>
          <t>1008280033</t>
        </is>
      </c>
      <c r="AR130" t="n">
        <v>0</v>
      </c>
      <c r="AS130" t="inlineStr">
        <is>
          <t>8,700 sf</t>
        </is>
      </c>
      <c r="AT130" t="inlineStr">
        <is>
          <t>S4</t>
        </is>
      </c>
    </row>
    <row r="131">
      <c r="A131" t="inlineStr">
        <is>
          <t>B-C-128</t>
        </is>
      </c>
      <c r="B131" t="inlineStr">
        <is>
          <t>Simplebet</t>
        </is>
      </c>
      <c r="C131" s="2" t="inlineStr">
        <is>
          <t>https://simplebet.io</t>
        </is>
      </c>
      <c r="D131" t="inlineStr">
        <is>
          <t>sports betting technology</t>
        </is>
      </c>
      <c r="E131" t="inlineStr">
        <is>
          <t>B-B-064</t>
        </is>
      </c>
      <c r="F131" t="inlineStr">
        <is>
          <t>373 Park Avenue South</t>
        </is>
      </c>
      <c r="G131" t="inlineStr">
        <is>
          <t>9</t>
        </is>
      </c>
      <c r="H131" t="inlineStr">
        <is>
          <t>10016</t>
        </is>
      </c>
      <c r="I131" t="n">
        <v>40.742242</v>
      </c>
      <c r="J131" t="n">
        <v>-73.984606</v>
      </c>
      <c r="K131" t="inlineStr">
        <is>
          <t>Y</t>
        </is>
      </c>
      <c r="L131" t="inlineStr">
        <is>
          <t>76-150</t>
        </is>
      </c>
      <c r="M131" t="inlineStr">
        <is>
          <t>whole-company</t>
        </is>
      </c>
      <c r="N131" s="2" t="inlineStr">
        <is>
          <t>https://www.builtinnyc.com/company/simplebet/offices</t>
        </is>
      </c>
      <c r="O131" s="2" t="inlineStr">
        <is>
          <t>https://commercialobserver.com/2025/05/empire-capital-buys-373-381-park-avenue-south/</t>
        </is>
      </c>
      <c r="P131" t="inlineStr">
        <is>
          <t>2025-05-22</t>
        </is>
      </c>
      <c r="Q131" s="2" t="inlineStr">
        <is>
          <t>https://www.builtinnyc.com/company/simplebet/offices</t>
        </is>
      </c>
      <c r="R131" t="inlineStr">
        <is>
          <t>high</t>
        </is>
      </c>
      <c r="S131" t="inlineStr">
        <is>
          <t>N</t>
        </is>
      </c>
      <c r="T131" t="inlineStr"/>
      <c r="U131" t="inlineStr"/>
      <c r="V131" s="3" t="inlineStr">
        <is>
          <t>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is>
      </c>
      <c r="W131" t="inlineStr">
        <is>
          <t>2026-10-23</t>
        </is>
      </c>
      <c r="X131" t="inlineStr">
        <is>
          <t>New York</t>
        </is>
      </c>
      <c r="Y131" t="inlineStr">
        <is>
          <t>Y</t>
        </is>
      </c>
      <c r="Z131" t="inlineStr">
        <is>
          <t>https://www.builtinnyc.com/company/simplebet/offices</t>
        </is>
      </c>
      <c r="AA131" t="inlineStr">
        <is>
          <t>95</t>
        </is>
      </c>
      <c r="AB131" t="inlineStr">
        <is>
          <t>single-source</t>
        </is>
      </c>
      <c r="AC131" t="inlineStr"/>
      <c r="AD131" t="inlineStr"/>
      <c r="AE131" t="inlineStr"/>
      <c r="AF131" t="inlineStr">
        <is>
          <t>unknown</t>
        </is>
      </c>
      <c r="AG131" t="inlineStr"/>
      <c r="AH131" t="inlineStr">
        <is>
          <t>unknown</t>
        </is>
      </c>
      <c r="AI131" t="inlineStr">
        <is>
          <t>candidate</t>
        </is>
      </c>
      <c r="AJ131" t="inlineStr">
        <is>
          <t>occupied</t>
        </is>
      </c>
      <c r="AK131" t="inlineStr"/>
      <c r="AL131" t="inlineStr">
        <is>
          <t>2026-10-23</t>
        </is>
      </c>
      <c r="AM131" s="3" t="inlineStr"/>
      <c r="AN131" t="inlineStr">
        <is>
          <t>leasing-press</t>
        </is>
      </c>
      <c r="AO131" t="inlineStr">
        <is>
          <t>2026-10-23</t>
        </is>
      </c>
      <c r="AP131" t="inlineStr">
        <is>
          <t>no-coworking-in-building</t>
        </is>
      </c>
      <c r="AQ131" t="inlineStr">
        <is>
          <t>1008820003</t>
        </is>
      </c>
      <c r="AR131" t="n">
        <v>0</v>
      </c>
      <c r="AS131" t="inlineStr">
        <is>
          <t>8,732 sf</t>
        </is>
      </c>
      <c r="AT131" t="inlineStr">
        <is>
          <t>S4</t>
        </is>
      </c>
    </row>
    <row r="132">
      <c r="A132" t="inlineStr">
        <is>
          <t>B-C-139</t>
        </is>
      </c>
      <c r="B132" t="inlineStr">
        <is>
          <t>Arca Financial Group</t>
        </is>
      </c>
      <c r="C132" t="inlineStr">
        <is>
          <t>unknown</t>
        </is>
      </c>
      <c r="D132" t="inlineStr">
        <is>
          <t>wealth management</t>
        </is>
      </c>
      <c r="E132" t="inlineStr">
        <is>
          <t>B-B-066</t>
        </is>
      </c>
      <c r="F132" t="inlineStr">
        <is>
          <t>60 Madison Avenue</t>
        </is>
      </c>
      <c r="G132" t="inlineStr">
        <is>
          <t>10</t>
        </is>
      </c>
      <c r="H132" t="inlineStr">
        <is>
          <t>10010</t>
        </is>
      </c>
      <c r="I132" t="n">
        <v>40.743288</v>
      </c>
      <c r="J132" t="n">
        <v>-73.986627</v>
      </c>
      <c r="K132" t="inlineStr">
        <is>
          <t>Y</t>
        </is>
      </c>
      <c r="L132" t="inlineStr">
        <is>
          <t>unknown</t>
        </is>
      </c>
      <c r="M132" t="inlineStr">
        <is>
          <t>unknown</t>
        </is>
      </c>
      <c r="N132" t="inlineStr"/>
      <c r="O132" s="2" t="inlineStr">
        <is>
          <t>https://commercialobserver.com/2026/08/arca-financial-lease-60-madison-avenue-moinian/</t>
        </is>
      </c>
      <c r="P132" t="inlineStr">
        <is>
          <t>2026-08-27</t>
        </is>
      </c>
      <c r="Q132" t="inlineStr"/>
      <c r="R132" t="inlineStr">
        <is>
          <t>medium</t>
        </is>
      </c>
      <c r="S132" t="inlineStr">
        <is>
          <t>N</t>
        </is>
      </c>
      <c r="T132" t="inlineStr"/>
      <c r="U132" t="inlineStr"/>
      <c r="V132" s="3" t="inlineStr">
        <is>
          <t>Five-year 7,500 SF prebuilt on floor 10, signed Aug 2026; 'moving into a new office'. Headcount not sourced; founder to confirm at intake.</t>
        </is>
      </c>
      <c r="W132" t="inlineStr">
        <is>
          <t>2026-10-23</t>
        </is>
      </c>
      <c r="X132" t="inlineStr">
        <is>
          <t>unknown</t>
        </is>
      </c>
      <c r="Y132" t="inlineStr">
        <is>
          <t>unknown</t>
        </is>
      </c>
      <c r="Z132" t="inlineStr"/>
      <c r="AA132" t="inlineStr"/>
      <c r="AB132" t="inlineStr">
        <is>
          <t>no-count</t>
        </is>
      </c>
      <c r="AC132" t="inlineStr"/>
      <c r="AD132" t="inlineStr"/>
      <c r="AE132" t="inlineStr"/>
      <c r="AF132" t="inlineStr">
        <is>
          <t>unknown</t>
        </is>
      </c>
      <c r="AG132" t="inlineStr"/>
      <c r="AH132" t="inlineStr">
        <is>
          <t>unknown</t>
        </is>
      </c>
      <c r="AI132" t="inlineStr">
        <is>
          <t>candidate</t>
        </is>
      </c>
      <c r="AJ132" t="inlineStr">
        <is>
          <t>signed-not-occupied</t>
        </is>
      </c>
      <c r="AK132" t="inlineStr">
        <is>
          <t>unknown</t>
        </is>
      </c>
      <c r="AL132" t="inlineStr"/>
      <c r="AM132" s="3" t="inlineStr">
        <is>
          <t>No opened source gives a count: no Built In profile with a total, the company site publishes none, and LinkedIn was off-limits. Founder to confirm at intake.</t>
        </is>
      </c>
      <c r="AN132" t="inlineStr">
        <is>
          <t>leasing-press</t>
        </is>
      </c>
      <c r="AO132" t="inlineStr"/>
      <c r="AP132" t="inlineStr">
        <is>
          <t>no-coworking-in-building</t>
        </is>
      </c>
      <c r="AQ132" t="inlineStr">
        <is>
          <t>1008560058</t>
        </is>
      </c>
      <c r="AR132" t="n">
        <v>0</v>
      </c>
      <c r="AS132" t="inlineStr">
        <is>
          <t>7,500 sf</t>
        </is>
      </c>
      <c r="AT132" t="inlineStr">
        <is>
          <t>S4</t>
        </is>
      </c>
    </row>
    <row r="133">
      <c r="A133" t="inlineStr">
        <is>
          <t>B-C-140</t>
        </is>
      </c>
      <c r="B133" t="inlineStr">
        <is>
          <t>Collected Strategies</t>
        </is>
      </c>
      <c r="C133" s="2" t="inlineStr">
        <is>
          <t>https://www.collectedstrategies.com</t>
        </is>
      </c>
      <c r="D133" t="inlineStr">
        <is>
          <t>strategic communications</t>
        </is>
      </c>
      <c r="E133" t="inlineStr">
        <is>
          <t>B-B-066</t>
        </is>
      </c>
      <c r="F133" t="inlineStr">
        <is>
          <t>60 Madison Avenue</t>
        </is>
      </c>
      <c r="G133" t="inlineStr">
        <is>
          <t>10</t>
        </is>
      </c>
      <c r="H133" t="inlineStr">
        <is>
          <t>10010</t>
        </is>
      </c>
      <c r="I133" t="n">
        <v>40.743288</v>
      </c>
      <c r="J133" t="n">
        <v>-73.986627</v>
      </c>
      <c r="K133" t="inlineStr">
        <is>
          <t>Y</t>
        </is>
      </c>
      <c r="L133" t="inlineStr">
        <is>
          <t>unknown</t>
        </is>
      </c>
      <c r="M133" t="inlineStr">
        <is>
          <t>unknown</t>
        </is>
      </c>
      <c r="N133" t="inlineStr"/>
      <c r="O133" s="2" t="inlineStr">
        <is>
          <t>https://commercialobserver.com/2025/08/comms-firm-collected-strategies-takes-10k-sf-moinians-60-madison/</t>
        </is>
      </c>
      <c r="P133" t="inlineStr">
        <is>
          <t>2025-08-07</t>
        </is>
      </c>
      <c r="Q133" s="2" t="inlineStr">
        <is>
          <t>https://www.collectedstrategies.com/</t>
        </is>
      </c>
      <c r="R133" t="inlineStr">
        <is>
          <t>high</t>
        </is>
      </c>
      <c r="S133" t="inlineStr">
        <is>
          <t>N</t>
        </is>
      </c>
      <c r="T133" t="inlineStr"/>
      <c r="U133" t="inlineStr"/>
      <c r="V133" s="3" t="inlineStr">
        <is>
          <t>CO 2025-08: 10,000 SF partial 10th floor, doubling its footprint, moving from 121 East 24th Street. Homepage lists 60 Madison Ave, 10th Floor. Headcount not found.</t>
        </is>
      </c>
      <c r="W133" t="inlineStr">
        <is>
          <t>2026-10-23</t>
        </is>
      </c>
      <c r="X133" t="inlineStr">
        <is>
          <t>unknown</t>
        </is>
      </c>
      <c r="Y133" t="inlineStr">
        <is>
          <t>unknown</t>
        </is>
      </c>
      <c r="Z133" t="inlineStr"/>
      <c r="AA133" t="inlineStr"/>
      <c r="AB133" t="inlineStr">
        <is>
          <t>no-count</t>
        </is>
      </c>
      <c r="AC133" t="inlineStr"/>
      <c r="AD133" t="inlineStr"/>
      <c r="AE133" t="inlineStr"/>
      <c r="AF133" t="inlineStr">
        <is>
          <t>unknown</t>
        </is>
      </c>
      <c r="AG133" t="inlineStr"/>
      <c r="AH133" t="inlineStr">
        <is>
          <t>unknown</t>
        </is>
      </c>
      <c r="AI133" t="inlineStr">
        <is>
          <t>candidate</t>
        </is>
      </c>
      <c r="AJ133" t="inlineStr">
        <is>
          <t>occupied</t>
        </is>
      </c>
      <c r="AK133" t="inlineStr"/>
      <c r="AL133" t="inlineStr"/>
      <c r="AM133" s="3" t="inlineStr">
        <is>
          <t>No opened source gives a count: no Built In profile with a total, the company site publishes none, and LinkedIn was off-limits. Founder to confirm at intake.</t>
        </is>
      </c>
      <c r="AN133" t="inlineStr">
        <is>
          <t>leasing-press</t>
        </is>
      </c>
      <c r="AO133" t="inlineStr">
        <is>
          <t>2026-10-23</t>
        </is>
      </c>
      <c r="AP133" t="inlineStr">
        <is>
          <t>no-coworking-in-building</t>
        </is>
      </c>
      <c r="AQ133" t="inlineStr">
        <is>
          <t>1008560058</t>
        </is>
      </c>
      <c r="AR133" t="n">
        <v>0</v>
      </c>
      <c r="AS133" t="inlineStr">
        <is>
          <t>10,000 sf</t>
        </is>
      </c>
      <c r="AT133" t="inlineStr">
        <is>
          <t>S4</t>
        </is>
      </c>
    </row>
    <row r="134">
      <c r="A134" t="inlineStr">
        <is>
          <t>B-C-141</t>
        </is>
      </c>
      <c r="B134" t="inlineStr">
        <is>
          <t>Full Picture</t>
        </is>
      </c>
      <c r="C134" s="2" t="inlineStr">
        <is>
          <t>https://www.fullpicture.com</t>
        </is>
      </c>
      <c r="D134" t="inlineStr">
        <is>
          <t>communications and brand strategy agency</t>
        </is>
      </c>
      <c r="E134" t="inlineStr">
        <is>
          <t>B-B-066</t>
        </is>
      </c>
      <c r="F134" t="inlineStr">
        <is>
          <t>60 Madison Avenue</t>
        </is>
      </c>
      <c r="G134" t="inlineStr">
        <is>
          <t>6 per site (CO: part of 11)</t>
        </is>
      </c>
      <c r="H134" t="inlineStr">
        <is>
          <t>10010</t>
        </is>
      </c>
      <c r="I134" t="n">
        <v>40.743288</v>
      </c>
      <c r="J134" t="n">
        <v>-73.986627</v>
      </c>
      <c r="K134" t="inlineStr">
        <is>
          <t>Y</t>
        </is>
      </c>
      <c r="L134" t="inlineStr">
        <is>
          <t>unknown</t>
        </is>
      </c>
      <c r="M134" t="inlineStr">
        <is>
          <t>unknown</t>
        </is>
      </c>
      <c r="N134" t="inlineStr"/>
      <c r="O134" s="2" t="inlineStr">
        <is>
          <t>https://commercialobserver.com/2026/06/moinian-group-tenex-labs-lease-60-madison-avenue/</t>
        </is>
      </c>
      <c r="P134" t="inlineStr">
        <is>
          <t>2026-06-22</t>
        </is>
      </c>
      <c r="Q134" s="2" t="inlineStr">
        <is>
          <t>https://www.fullpicture.com/</t>
        </is>
      </c>
      <c r="R134" t="inlineStr">
        <is>
          <t>high</t>
        </is>
      </c>
      <c r="S134" t="inlineStr">
        <is>
          <t>N</t>
        </is>
      </c>
      <c r="T134" t="inlineStr"/>
      <c r="U134" t="inlineStr"/>
      <c r="V134" s="3" t="inlineStr">
        <is>
          <t>CO 2026-06-22: 8,000 SF on part of floor 11, relocating from its NYC HQ at 79 Madison Ave. Homepage now lists NEW YORK HQ 60 Madison Ave, 6th Fl, so the move appears done (floor differs from CO; founder to confirm). Also has an LA HQ. Headcount not found.</t>
        </is>
      </c>
      <c r="W134" t="inlineStr">
        <is>
          <t>2026-10-23</t>
        </is>
      </c>
      <c r="X134" t="inlineStr">
        <is>
          <t>unknown</t>
        </is>
      </c>
      <c r="Y134" t="inlineStr">
        <is>
          <t>unknown</t>
        </is>
      </c>
      <c r="Z134" t="inlineStr"/>
      <c r="AA134" t="inlineStr"/>
      <c r="AB134" t="inlineStr">
        <is>
          <t>no-count</t>
        </is>
      </c>
      <c r="AC134" t="inlineStr"/>
      <c r="AD134" t="inlineStr"/>
      <c r="AE134" t="inlineStr"/>
      <c r="AF134" t="inlineStr">
        <is>
          <t>unknown</t>
        </is>
      </c>
      <c r="AG134" t="inlineStr"/>
      <c r="AH134" t="inlineStr">
        <is>
          <t>unknown</t>
        </is>
      </c>
      <c r="AI134" t="inlineStr">
        <is>
          <t>candidate</t>
        </is>
      </c>
      <c r="AJ134" t="inlineStr">
        <is>
          <t>occupied</t>
        </is>
      </c>
      <c r="AK134" t="inlineStr"/>
      <c r="AL134" t="inlineStr"/>
      <c r="AM134" s="3" t="inlineStr">
        <is>
          <t>No opened source gives a count: no Built In profile with a total, the company site publishes none, and LinkedIn was off-limits. Founder to confirm at intake.</t>
        </is>
      </c>
      <c r="AN134" t="inlineStr">
        <is>
          <t>leasing-press</t>
        </is>
      </c>
      <c r="AO134" t="inlineStr">
        <is>
          <t>2026-10-23</t>
        </is>
      </c>
      <c r="AP134" t="inlineStr">
        <is>
          <t>no-coworking-in-building</t>
        </is>
      </c>
      <c r="AQ134" t="inlineStr">
        <is>
          <t>1008560058</t>
        </is>
      </c>
      <c r="AR134" t="n">
        <v>0</v>
      </c>
      <c r="AS134" t="inlineStr">
        <is>
          <t>8,000 sf</t>
        </is>
      </c>
      <c r="AT134" t="inlineStr">
        <is>
          <t>S4</t>
        </is>
      </c>
    </row>
    <row r="135">
      <c r="A135" t="inlineStr">
        <is>
          <t>B-C-142</t>
        </is>
      </c>
      <c r="B135" t="inlineStr">
        <is>
          <t>GovWell Technologies</t>
        </is>
      </c>
      <c r="C135" t="inlineStr">
        <is>
          <t>unknown</t>
        </is>
      </c>
      <c r="D135" t="inlineStr">
        <is>
          <t>software (AI for government)</t>
        </is>
      </c>
      <c r="E135" t="inlineStr">
        <is>
          <t>B-B-066</t>
        </is>
      </c>
      <c r="F135" t="inlineStr">
        <is>
          <t>60 Madison Avenue</t>
        </is>
      </c>
      <c r="G135" t="inlineStr">
        <is>
          <t>8</t>
        </is>
      </c>
      <c r="H135" t="inlineStr">
        <is>
          <t>10010</t>
        </is>
      </c>
      <c r="I135" t="n">
        <v>40.743288</v>
      </c>
      <c r="J135" t="n">
        <v>-73.986627</v>
      </c>
      <c r="K135" t="inlineStr">
        <is>
          <t>Y</t>
        </is>
      </c>
      <c r="L135" t="inlineStr">
        <is>
          <t>unknown</t>
        </is>
      </c>
      <c r="M135" t="inlineStr">
        <is>
          <t>unknown</t>
        </is>
      </c>
      <c r="N135" t="inlineStr"/>
      <c r="O135" s="2" t="inlineStr">
        <is>
          <t>https://commercialobserver.com/2026/06/moinian-group-tenex-labs-lease-60-madison-avenue/</t>
        </is>
      </c>
      <c r="P135" t="inlineStr">
        <is>
          <t>2026-06-22</t>
        </is>
      </c>
      <c r="Q135" t="inlineStr"/>
      <c r="R135" t="inlineStr">
        <is>
          <t>medium</t>
        </is>
      </c>
      <c r="S135" t="inlineStr">
        <is>
          <t>N</t>
        </is>
      </c>
      <c r="T135" t="inlineStr"/>
      <c r="U135" t="inlineStr"/>
      <c r="V135" s="3" t="inlineStr">
        <is>
          <t>17,500 SF full 8th floor, apparent relocation from 25 West 36th Street. Built In profile (govwell) shows HQ New York, no street or headcount.</t>
        </is>
      </c>
      <c r="W135" t="inlineStr">
        <is>
          <t>2026-10-23</t>
        </is>
      </c>
      <c r="X135" t="inlineStr">
        <is>
          <t>New York</t>
        </is>
      </c>
      <c r="Y135" t="inlineStr">
        <is>
          <t>Y</t>
        </is>
      </c>
      <c r="Z135" t="inlineStr">
        <is>
          <t>row notes (Built In profile)</t>
        </is>
      </c>
      <c r="AA135" t="inlineStr"/>
      <c r="AB135" t="inlineStr">
        <is>
          <t>no-count</t>
        </is>
      </c>
      <c r="AC135" t="inlineStr"/>
      <c r="AD135" t="inlineStr"/>
      <c r="AE135" t="inlineStr"/>
      <c r="AF135" t="inlineStr">
        <is>
          <t>unknown</t>
        </is>
      </c>
      <c r="AG135" t="inlineStr"/>
      <c r="AH135" t="inlineStr">
        <is>
          <t>unknown</t>
        </is>
      </c>
      <c r="AI135" t="inlineStr">
        <is>
          <t>candidate</t>
        </is>
      </c>
      <c r="AJ135" t="inlineStr">
        <is>
          <t>signed-not-occupied</t>
        </is>
      </c>
      <c r="AK135" t="inlineStr">
        <is>
          <t>unknown</t>
        </is>
      </c>
      <c r="AL135" t="inlineStr"/>
      <c r="AM135" s="3" t="inlineStr">
        <is>
          <t>No opened source gives a count: no Built In profile with a total, the company site publishes none, and LinkedIn was off-limits. Founder to confirm at intake.</t>
        </is>
      </c>
      <c r="AN135" t="inlineStr">
        <is>
          <t>leasing-press</t>
        </is>
      </c>
      <c r="AO135" t="inlineStr"/>
      <c r="AP135" t="inlineStr">
        <is>
          <t>no-coworking-in-building</t>
        </is>
      </c>
      <c r="AQ135" t="inlineStr">
        <is>
          <t>1008560058</t>
        </is>
      </c>
      <c r="AR135" t="n">
        <v>0</v>
      </c>
      <c r="AS135" t="inlineStr">
        <is>
          <t>17,500 sf</t>
        </is>
      </c>
      <c r="AT135" t="inlineStr">
        <is>
          <t>S4</t>
        </is>
      </c>
    </row>
    <row r="136">
      <c r="A136" t="inlineStr">
        <is>
          <t>B-C-143</t>
        </is>
      </c>
      <c r="B136" t="inlineStr">
        <is>
          <t>Tenex Labs</t>
        </is>
      </c>
      <c r="C136" t="inlineStr">
        <is>
          <t>unknown</t>
        </is>
      </c>
      <c r="D136" t="inlineStr">
        <is>
          <t>software (web development)</t>
        </is>
      </c>
      <c r="E136" t="inlineStr">
        <is>
          <t>B-B-066</t>
        </is>
      </c>
      <c r="F136" t="inlineStr">
        <is>
          <t>60 Madison Avenue</t>
        </is>
      </c>
      <c r="G136" t="inlineStr">
        <is>
          <t>12 and penthouse</t>
        </is>
      </c>
      <c r="H136" t="inlineStr">
        <is>
          <t>10010</t>
        </is>
      </c>
      <c r="I136" t="n">
        <v>40.743288</v>
      </c>
      <c r="J136" t="n">
        <v>-73.986627</v>
      </c>
      <c r="K136" t="inlineStr">
        <is>
          <t>Y</t>
        </is>
      </c>
      <c r="L136" t="inlineStr">
        <is>
          <t>unknown</t>
        </is>
      </c>
      <c r="M136" t="inlineStr">
        <is>
          <t>unknown</t>
        </is>
      </c>
      <c r="N136" t="inlineStr"/>
      <c r="O136" s="2" t="inlineStr">
        <is>
          <t>https://commercialobserver.com/2026/06/moinian-group-tenex-labs-lease-60-madison-avenue/</t>
        </is>
      </c>
      <c r="P136" t="inlineStr">
        <is>
          <t>2026-06-22</t>
        </is>
      </c>
      <c r="Q136" t="inlineStr"/>
      <c r="R136" t="inlineStr">
        <is>
          <t>medium</t>
        </is>
      </c>
      <c r="S136" t="inlineStr">
        <is>
          <t>N</t>
        </is>
      </c>
      <c r="T136" t="inlineStr"/>
      <c r="U136" t="inlineStr"/>
      <c r="V136" s="3" t="inlineStr">
        <is>
          <t>25,000 SF on the full 12th floor and penthouse; prior location unclear; move-in date not stated. Headcount not found.</t>
        </is>
      </c>
      <c r="W136" t="inlineStr">
        <is>
          <t>2026-10-23</t>
        </is>
      </c>
      <c r="X136" t="inlineStr">
        <is>
          <t>unknown</t>
        </is>
      </c>
      <c r="Y136" t="inlineStr">
        <is>
          <t>unknown</t>
        </is>
      </c>
      <c r="Z136" t="inlineStr"/>
      <c r="AA136" t="inlineStr"/>
      <c r="AB136" t="inlineStr">
        <is>
          <t>no-count</t>
        </is>
      </c>
      <c r="AC136" t="inlineStr"/>
      <c r="AD136" t="inlineStr"/>
      <c r="AE136" t="inlineStr"/>
      <c r="AF136" t="inlineStr">
        <is>
          <t>unknown</t>
        </is>
      </c>
      <c r="AG136" t="inlineStr"/>
      <c r="AH136" t="inlineStr">
        <is>
          <t>unknown</t>
        </is>
      </c>
      <c r="AI136" t="inlineStr">
        <is>
          <t>candidate</t>
        </is>
      </c>
      <c r="AJ136" t="inlineStr">
        <is>
          <t>signed-not-occupied</t>
        </is>
      </c>
      <c r="AK136" t="inlineStr">
        <is>
          <t>unknown</t>
        </is>
      </c>
      <c r="AL136" t="inlineStr"/>
      <c r="AM136" s="3" t="inlineStr">
        <is>
          <t>No opened source gives a count: no Built In profile with a total, the company site publishes none, and LinkedIn was off-limits. Founder to confirm at intake.</t>
        </is>
      </c>
      <c r="AN136" t="inlineStr">
        <is>
          <t>leasing-press</t>
        </is>
      </c>
      <c r="AO136" t="inlineStr"/>
      <c r="AP136" t="inlineStr">
        <is>
          <t>no-coworking-in-building</t>
        </is>
      </c>
      <c r="AQ136" t="inlineStr">
        <is>
          <t>1008560058</t>
        </is>
      </c>
      <c r="AR136" t="n">
        <v>0</v>
      </c>
      <c r="AS136" t="inlineStr">
        <is>
          <t>25,000 sf</t>
        </is>
      </c>
      <c r="AT136" t="inlineStr">
        <is>
          <t>S4</t>
        </is>
      </c>
    </row>
    <row r="137">
      <c r="A137" t="inlineStr">
        <is>
          <t>B-C-144</t>
        </is>
      </c>
      <c r="B137" t="inlineStr">
        <is>
          <t>EnVogue International</t>
        </is>
      </c>
      <c r="C137" t="inlineStr">
        <is>
          <t>unknown</t>
        </is>
      </c>
      <c r="D137" t="inlineStr">
        <is>
          <t>home goods (office and showroom)</t>
        </is>
      </c>
      <c r="E137" t="inlineStr">
        <is>
          <t>B-B-067</t>
        </is>
      </c>
      <c r="F137" t="inlineStr">
        <is>
          <t>230 Fifth Avenue</t>
        </is>
      </c>
      <c r="G137" t="inlineStr">
        <is>
          <t>unknown</t>
        </is>
      </c>
      <c r="H137" t="inlineStr">
        <is>
          <t>10001</t>
        </is>
      </c>
      <c r="I137" t="n">
        <v>40.743942</v>
      </c>
      <c r="J137" t="n">
        <v>-73.988072</v>
      </c>
      <c r="K137" t="inlineStr">
        <is>
          <t>Y</t>
        </is>
      </c>
      <c r="L137" t="inlineStr">
        <is>
          <t>unknown</t>
        </is>
      </c>
      <c r="M137" t="inlineStr">
        <is>
          <t>unknown</t>
        </is>
      </c>
      <c r="N137" t="inlineStr"/>
      <c r="O137" s="2" t="inlineStr">
        <is>
          <t>https://commercialobserver.com/2025/04/envogue-international-lease-230-fifth-avenue/</t>
        </is>
      </c>
      <c r="P137" t="inlineStr">
        <is>
          <t>2025-04-08</t>
        </is>
      </c>
      <c r="Q137" t="inlineStr"/>
      <c r="R137" t="inlineStr">
        <is>
          <t>medium</t>
        </is>
      </c>
      <c r="S137" t="inlineStr">
        <is>
          <t>N</t>
        </is>
      </c>
      <c r="T137" t="inlineStr"/>
      <c r="U137" t="inlineStr"/>
      <c r="V137" s="3" t="inlineStr">
        <is>
          <t>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7" t="inlineStr">
        <is>
          <t>2026-10-23</t>
        </is>
      </c>
      <c r="X137" t="inlineStr">
        <is>
          <t>unknown</t>
        </is>
      </c>
      <c r="Y137" t="inlineStr">
        <is>
          <t>unknown</t>
        </is>
      </c>
      <c r="Z137" t="inlineStr"/>
      <c r="AA137" t="inlineStr"/>
      <c r="AB137" t="inlineStr">
        <is>
          <t>no-count</t>
        </is>
      </c>
      <c r="AC137" t="inlineStr"/>
      <c r="AD137" t="inlineStr"/>
      <c r="AE137" t="inlineStr"/>
      <c r="AF137" t="inlineStr">
        <is>
          <t>unknown</t>
        </is>
      </c>
      <c r="AG137" t="inlineStr"/>
      <c r="AH137" t="inlineStr">
        <is>
          <t>unknown</t>
        </is>
      </c>
      <c r="AI137" t="inlineStr">
        <is>
          <t>candidate</t>
        </is>
      </c>
      <c r="AJ137" t="inlineStr">
        <is>
          <t>occupied</t>
        </is>
      </c>
      <c r="AK137" t="inlineStr"/>
      <c r="AL137" t="inlineStr"/>
      <c r="AM137" s="3" t="inlineStr">
        <is>
          <t>No opened source gives a count: no Built In profile with a total, the company site publishes none, and LinkedIn was off-limits. Founder to confirm at intake.</t>
        </is>
      </c>
      <c r="AN137" t="inlineStr">
        <is>
          <t>leasing-press</t>
        </is>
      </c>
      <c r="AO137" t="inlineStr"/>
      <c r="AP137" t="inlineStr">
        <is>
          <t>no-coworking-in-building</t>
        </is>
      </c>
      <c r="AQ137" t="inlineStr">
        <is>
          <t>1008280041</t>
        </is>
      </c>
      <c r="AR137" t="n">
        <v>0</v>
      </c>
      <c r="AS137" t="inlineStr">
        <is>
          <t>30,000 sf</t>
        </is>
      </c>
      <c r="AT137" t="inlineStr">
        <is>
          <t>S4</t>
        </is>
      </c>
    </row>
    <row r="138">
      <c r="A138" t="inlineStr">
        <is>
          <t>B-C-145</t>
        </is>
      </c>
      <c r="B138" t="inlineStr">
        <is>
          <t>SL Home Fashions</t>
        </is>
      </c>
      <c r="C138" s="2" t="inlineStr">
        <is>
          <t>https://slhomefashions.com</t>
        </is>
      </c>
      <c r="D138" t="inlineStr">
        <is>
          <t>home textiles (office and showroom)</t>
        </is>
      </c>
      <c r="E138" t="inlineStr">
        <is>
          <t>B-B-067</t>
        </is>
      </c>
      <c r="F138" t="inlineStr">
        <is>
          <t>230 Fifth Avenue</t>
        </is>
      </c>
      <c r="G138" t="inlineStr">
        <is>
          <t>14 (Suite 1411)</t>
        </is>
      </c>
      <c r="H138" t="inlineStr">
        <is>
          <t>10001</t>
        </is>
      </c>
      <c r="I138" t="n">
        <v>40.743942</v>
      </c>
      <c r="J138" t="n">
        <v>-73.988072</v>
      </c>
      <c r="K138" t="inlineStr">
        <is>
          <t>Y</t>
        </is>
      </c>
      <c r="L138" t="inlineStr">
        <is>
          <t>unknown</t>
        </is>
      </c>
      <c r="M138" t="inlineStr">
        <is>
          <t>unknown</t>
        </is>
      </c>
      <c r="N138" t="inlineStr"/>
      <c r="O138" s="2" t="inlineStr">
        <is>
          <t>https://commercialobserver.com/2024/10/sl-home-fashions-lease-230-fifth-avenue/</t>
        </is>
      </c>
      <c r="P138" t="inlineStr">
        <is>
          <t>2024-10-09</t>
        </is>
      </c>
      <c r="Q138" s="2" t="inlineStr">
        <is>
          <t>https://slhomefashions.com/contact/</t>
        </is>
      </c>
      <c r="R138" t="inlineStr">
        <is>
          <t>high</t>
        </is>
      </c>
      <c r="S138" t="inlineStr">
        <is>
          <t>N</t>
        </is>
      </c>
      <c r="T138" t="inlineStr"/>
      <c r="U138" t="inlineStr"/>
      <c r="V138" s="3" t="inlineStr">
        <is>
          <t>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W138" t="inlineStr">
        <is>
          <t>2026-10-23</t>
        </is>
      </c>
      <c r="X138" t="inlineStr">
        <is>
          <t>Vernon, CA</t>
        </is>
      </c>
      <c r="Y138" t="inlineStr">
        <is>
          <t>N</t>
        </is>
      </c>
      <c r="Z138" t="inlineStr">
        <is>
          <t>row notes</t>
        </is>
      </c>
      <c r="AA138" t="inlineStr"/>
      <c r="AB138" t="inlineStr">
        <is>
          <t>no-count</t>
        </is>
      </c>
      <c r="AC138" t="inlineStr"/>
      <c r="AD138" t="inlineStr"/>
      <c r="AE138" t="inlineStr"/>
      <c r="AF138" t="inlineStr">
        <is>
          <t>unknown</t>
        </is>
      </c>
      <c r="AG138" t="inlineStr"/>
      <c r="AH138" t="inlineStr">
        <is>
          <t>unknown</t>
        </is>
      </c>
      <c r="AI138" t="inlineStr">
        <is>
          <t>candidate</t>
        </is>
      </c>
      <c r="AJ138" t="inlineStr">
        <is>
          <t>occupied</t>
        </is>
      </c>
      <c r="AK138" t="inlineStr"/>
      <c r="AL138" t="inlineStr"/>
      <c r="AM138" s="3" t="inlineStr">
        <is>
          <t>No opened source gives a count: no Built In profile with a total, the company site publishes none, and LinkedIn was off-limits. Founder to confirm at intake.</t>
        </is>
      </c>
      <c r="AN138" t="inlineStr">
        <is>
          <t>leasing-press</t>
        </is>
      </c>
      <c r="AO138" t="inlineStr">
        <is>
          <t>2026-10-23</t>
        </is>
      </c>
      <c r="AP138" t="inlineStr">
        <is>
          <t>no-coworking-in-building</t>
        </is>
      </c>
      <c r="AQ138" t="inlineStr">
        <is>
          <t>1008280041</t>
        </is>
      </c>
      <c r="AR138" t="n">
        <v>0</v>
      </c>
      <c r="AS138" t="inlineStr">
        <is>
          <t>10,176 sf</t>
        </is>
      </c>
      <c r="AT138" t="inlineStr">
        <is>
          <t>S4</t>
        </is>
      </c>
    </row>
    <row r="139">
      <c r="A139" t="inlineStr">
        <is>
          <t>B-C-146</t>
        </is>
      </c>
      <c r="B139" t="inlineStr">
        <is>
          <t>Caudalie (US headquarters)</t>
        </is>
      </c>
      <c r="C139" s="2" t="inlineStr">
        <is>
          <t>https://us.caudalie.com</t>
        </is>
      </c>
      <c r="D139" t="inlineStr">
        <is>
          <t>skin care brand</t>
        </is>
      </c>
      <c r="E139" t="inlineStr">
        <is>
          <t>B-B-068</t>
        </is>
      </c>
      <c r="F139" t="inlineStr">
        <is>
          <t>381 Park Avenue South</t>
        </is>
      </c>
      <c r="G139" t="inlineStr">
        <is>
          <t>unknown</t>
        </is>
      </c>
      <c r="H139" t="inlineStr">
        <is>
          <t>10016</t>
        </is>
      </c>
      <c r="I139" t="n">
        <v>40.742417</v>
      </c>
      <c r="J139" t="n">
        <v>-73.984477</v>
      </c>
      <c r="K139" t="inlineStr">
        <is>
          <t>Y</t>
        </is>
      </c>
      <c r="L139" t="inlineStr">
        <is>
          <t>unknown</t>
        </is>
      </c>
      <c r="M139" t="inlineStr">
        <is>
          <t>unknown</t>
        </is>
      </c>
      <c r="N139" t="inlineStr"/>
      <c r="O139" s="2" t="inlineStr">
        <is>
          <t>https://commercialobserver.com/2024/01/skin-care-brand-caudalie-signs-14k-sf-lease-at-381-park-avenue-south/</t>
        </is>
      </c>
      <c r="P139" t="inlineStr">
        <is>
          <t>2024-01-11</t>
        </is>
      </c>
      <c r="Q139" t="inlineStr"/>
      <c r="R139" t="inlineStr">
        <is>
          <t>low</t>
        </is>
      </c>
      <c r="S139" t="inlineStr">
        <is>
          <t>N</t>
        </is>
      </c>
      <c r="T139" t="inlineStr"/>
      <c r="U139" t="inlineStr"/>
      <c r="V139" s="3" t="inlineStr">
        <is>
          <t>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t>
        </is>
      </c>
      <c r="W139" t="inlineStr">
        <is>
          <t>2026-10-23</t>
        </is>
      </c>
      <c r="X139" t="inlineStr">
        <is>
          <t>unknown</t>
        </is>
      </c>
      <c r="Y139" t="inlineStr">
        <is>
          <t>unknown</t>
        </is>
      </c>
      <c r="Z139" t="inlineStr"/>
      <c r="AA139" t="inlineStr"/>
      <c r="AB139" t="inlineStr">
        <is>
          <t>no-count</t>
        </is>
      </c>
      <c r="AC139" t="inlineStr"/>
      <c r="AD139" t="inlineStr"/>
      <c r="AE139" t="inlineStr"/>
      <c r="AF139" t="inlineStr">
        <is>
          <t>unknown</t>
        </is>
      </c>
      <c r="AG139" t="inlineStr"/>
      <c r="AH139" t="inlineStr">
        <is>
          <t>unknown</t>
        </is>
      </c>
      <c r="AI139" t="inlineStr">
        <is>
          <t>candidate</t>
        </is>
      </c>
      <c r="AJ139" t="inlineStr">
        <is>
          <t>occupancy-unconfirmed</t>
        </is>
      </c>
      <c r="AK139" t="inlineStr"/>
      <c r="AL139" t="inlineStr"/>
      <c r="AM139" s="3" t="inlineStr">
        <is>
          <t>No opened source gives a count: no Built In profile with a total, the company site publishes none, and LinkedIn was off-limits. Founder to confirm at intake.</t>
        </is>
      </c>
      <c r="AN139" t="inlineStr">
        <is>
          <t>leasing-press</t>
        </is>
      </c>
      <c r="AO139" t="inlineStr"/>
      <c r="AP139" t="inlineStr">
        <is>
          <t>no-coworking-in-building</t>
        </is>
      </c>
      <c r="AQ139" t="inlineStr">
        <is>
          <t>1008820085</t>
        </is>
      </c>
      <c r="AR139" t="n">
        <v>0</v>
      </c>
      <c r="AS139" t="inlineStr">
        <is>
          <t>14,000 sf</t>
        </is>
      </c>
      <c r="AT139" t="inlineStr">
        <is>
          <t>S4</t>
        </is>
      </c>
    </row>
    <row r="140">
      <c r="A140" t="inlineStr">
        <is>
          <t>B-C-147</t>
        </is>
      </c>
      <c r="B140" t="inlineStr">
        <is>
          <t>Eton (US office and showroom)</t>
        </is>
      </c>
      <c r="C140" s="2" t="inlineStr">
        <is>
          <t>https://www.etonshirts.com</t>
        </is>
      </c>
      <c r="D140" t="inlineStr">
        <is>
          <t>menswear brand</t>
        </is>
      </c>
      <c r="E140" t="inlineStr">
        <is>
          <t>B-B-068</t>
        </is>
      </c>
      <c r="F140" t="inlineStr">
        <is>
          <t>381 Park Avenue South</t>
        </is>
      </c>
      <c r="G140" t="inlineStr">
        <is>
          <t>unknown</t>
        </is>
      </c>
      <c r="H140" t="inlineStr">
        <is>
          <t>10016</t>
        </is>
      </c>
      <c r="I140" t="n">
        <v>40.742417</v>
      </c>
      <c r="J140" t="n">
        <v>-73.984477</v>
      </c>
      <c r="K140" t="inlineStr">
        <is>
          <t>Y</t>
        </is>
      </c>
      <c r="L140" t="inlineStr">
        <is>
          <t>unknown</t>
        </is>
      </c>
      <c r="M140" t="inlineStr">
        <is>
          <t>unknown</t>
        </is>
      </c>
      <c r="N140" t="inlineStr"/>
      <c r="O140" s="2" t="inlineStr">
        <is>
          <t>https://commercialobserver.com/2024/03/mens-clothing-company-eton-signs-5k-sf-lease-at-381-park-avenue-south/</t>
        </is>
      </c>
      <c r="P140" t="inlineStr">
        <is>
          <t>2024-03-20</t>
        </is>
      </c>
      <c r="Q140" t="inlineStr"/>
      <c r="R140" t="inlineStr">
        <is>
          <t>low</t>
        </is>
      </c>
      <c r="S140" t="inlineStr">
        <is>
          <t>N</t>
        </is>
      </c>
      <c r="T140" t="inlineStr"/>
      <c r="U140" t="inlineStr"/>
      <c r="V140" s="3" t="inlineStr">
        <is>
          <t>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t>
        </is>
      </c>
      <c r="W140" t="inlineStr">
        <is>
          <t>2026-10-23</t>
        </is>
      </c>
      <c r="X140" t="inlineStr">
        <is>
          <t>unknown</t>
        </is>
      </c>
      <c r="Y140" t="inlineStr">
        <is>
          <t>unknown</t>
        </is>
      </c>
      <c r="Z140" t="inlineStr"/>
      <c r="AA140" t="inlineStr"/>
      <c r="AB140" t="inlineStr">
        <is>
          <t>no-count</t>
        </is>
      </c>
      <c r="AC140" t="inlineStr"/>
      <c r="AD140" t="inlineStr"/>
      <c r="AE140" t="inlineStr"/>
      <c r="AF140" t="inlineStr">
        <is>
          <t>unknown</t>
        </is>
      </c>
      <c r="AG140" t="inlineStr"/>
      <c r="AH140" t="inlineStr">
        <is>
          <t>unknown</t>
        </is>
      </c>
      <c r="AI140" t="inlineStr">
        <is>
          <t>candidate</t>
        </is>
      </c>
      <c r="AJ140" t="inlineStr">
        <is>
          <t>occupancy-unconfirmed</t>
        </is>
      </c>
      <c r="AK140" t="inlineStr"/>
      <c r="AL140" t="inlineStr"/>
      <c r="AM140" s="3" t="inlineStr">
        <is>
          <t>No opened source gives a count: no Built In profile with a total, the company site publishes none, and LinkedIn was off-limits. Founder to confirm at intake.</t>
        </is>
      </c>
      <c r="AN140" t="inlineStr">
        <is>
          <t>leasing-press</t>
        </is>
      </c>
      <c r="AO140" t="inlineStr"/>
      <c r="AP140" t="inlineStr">
        <is>
          <t>no-coworking-in-building</t>
        </is>
      </c>
      <c r="AQ140" t="inlineStr">
        <is>
          <t>1008820085</t>
        </is>
      </c>
      <c r="AR140" t="n">
        <v>0</v>
      </c>
      <c r="AS140" t="inlineStr">
        <is>
          <t>5,000 sf</t>
        </is>
      </c>
      <c r="AT140" t="inlineStr">
        <is>
          <t>S4</t>
        </is>
      </c>
    </row>
    <row r="141">
      <c r="A141" t="inlineStr">
        <is>
          <t>B-C-148</t>
        </is>
      </c>
      <c r="B141" t="inlineStr">
        <is>
          <t>Lee &amp; Low Books</t>
        </is>
      </c>
      <c r="C141" s="2" t="inlineStr">
        <is>
          <t>https://www.leeandlow.com</t>
        </is>
      </c>
      <c r="D141" t="inlineStr">
        <is>
          <t>book publishing (children's)</t>
        </is>
      </c>
      <c r="E141" t="inlineStr">
        <is>
          <t>B-B-068</t>
        </is>
      </c>
      <c r="F141" t="inlineStr">
        <is>
          <t>381 Park Avenue South</t>
        </is>
      </c>
      <c r="G141" t="inlineStr">
        <is>
          <t>14 (Room 1401)</t>
        </is>
      </c>
      <c r="H141" t="inlineStr">
        <is>
          <t>10016</t>
        </is>
      </c>
      <c r="I141" t="n">
        <v>40.742417</v>
      </c>
      <c r="J141" t="n">
        <v>-73.984477</v>
      </c>
      <c r="K141" t="inlineStr">
        <is>
          <t>Y</t>
        </is>
      </c>
      <c r="L141" t="inlineStr">
        <is>
          <t>unknown</t>
        </is>
      </c>
      <c r="M141" t="inlineStr">
        <is>
          <t>unknown</t>
        </is>
      </c>
      <c r="N141" t="inlineStr"/>
      <c r="O141" s="2" t="inlineStr">
        <is>
          <t>https://www.leeandlow.com/about/</t>
        </is>
      </c>
      <c r="P141" t="inlineStr">
        <is>
          <t>2026-10-23</t>
        </is>
      </c>
      <c r="Q141" s="2" t="inlineStr">
        <is>
          <t>https://commercialobserver.com/2024/04/publisher-lee-low-moving-offices-to-6k-sf-at-381-park-avenue-south/</t>
        </is>
      </c>
      <c r="R141" t="inlineStr">
        <is>
          <t>high</t>
        </is>
      </c>
      <c r="S141" t="inlineStr">
        <is>
          <t>N</t>
        </is>
      </c>
      <c r="T141" t="inlineStr"/>
      <c r="U141" t="inlineStr"/>
      <c r="V141" s="3" t="inlineStr">
        <is>
          <t>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t>
        </is>
      </c>
      <c r="W141" t="inlineStr">
        <is>
          <t>2026-10-23</t>
        </is>
      </c>
      <c r="X141" t="inlineStr">
        <is>
          <t>unknown</t>
        </is>
      </c>
      <c r="Y141" t="inlineStr">
        <is>
          <t>unknown</t>
        </is>
      </c>
      <c r="Z141" t="inlineStr"/>
      <c r="AA141" t="inlineStr"/>
      <c r="AB141" t="inlineStr">
        <is>
          <t>no-count</t>
        </is>
      </c>
      <c r="AC141" t="inlineStr"/>
      <c r="AD141" t="inlineStr"/>
      <c r="AE141" t="inlineStr"/>
      <c r="AF141" t="inlineStr">
        <is>
          <t>unknown</t>
        </is>
      </c>
      <c r="AG141" t="inlineStr"/>
      <c r="AH141" t="inlineStr">
        <is>
          <t>unknown</t>
        </is>
      </c>
      <c r="AI141" t="inlineStr">
        <is>
          <t>candidate</t>
        </is>
      </c>
      <c r="AJ141" t="inlineStr">
        <is>
          <t>occupied</t>
        </is>
      </c>
      <c r="AK141" t="inlineStr"/>
      <c r="AL141" t="inlineStr"/>
      <c r="AM141" s="3" t="inlineStr">
        <is>
          <t>No opened source gives a count: no Built In profile with a total, the company site publishes none, and LinkedIn was off-limits. Founder to confirm at intake.</t>
        </is>
      </c>
      <c r="AN141" t="inlineStr">
        <is>
          <t>company-site</t>
        </is>
      </c>
      <c r="AO141" t="inlineStr">
        <is>
          <t>2024-04-25</t>
        </is>
      </c>
      <c r="AP141" t="inlineStr">
        <is>
          <t>no-coworking-in-building</t>
        </is>
      </c>
      <c r="AQ141" t="inlineStr">
        <is>
          <t>1008820085</t>
        </is>
      </c>
      <c r="AR141" t="n">
        <v>0</v>
      </c>
      <c r="AS141" t="inlineStr">
        <is>
          <t>5,844 sf</t>
        </is>
      </c>
      <c r="AT141" t="inlineStr">
        <is>
          <t>S4</t>
        </is>
      </c>
    </row>
    <row r="142">
      <c r="A142" t="inlineStr">
        <is>
          <t>B-C-149</t>
        </is>
      </c>
      <c r="B142" t="inlineStr">
        <is>
          <t>SWA Group</t>
        </is>
      </c>
      <c r="C142" t="inlineStr">
        <is>
          <t>unknown</t>
        </is>
      </c>
      <c r="D142" t="inlineStr">
        <is>
          <t>landscape architecture and urban design</t>
        </is>
      </c>
      <c r="E142" t="inlineStr">
        <is>
          <t>B-B-068</t>
        </is>
      </c>
      <c r="F142" t="inlineStr">
        <is>
          <t>381 Park Avenue South</t>
        </is>
      </c>
      <c r="G142" t="inlineStr">
        <is>
          <t>12 (part)</t>
        </is>
      </c>
      <c r="H142" t="inlineStr">
        <is>
          <t>10016</t>
        </is>
      </c>
      <c r="I142" t="n">
        <v>40.742417</v>
      </c>
      <c r="J142" t="n">
        <v>-73.984477</v>
      </c>
      <c r="K142" t="inlineStr">
        <is>
          <t>Y</t>
        </is>
      </c>
      <c r="L142" t="inlineStr">
        <is>
          <t>unknown</t>
        </is>
      </c>
      <c r="M142" t="inlineStr">
        <is>
          <t>unknown</t>
        </is>
      </c>
      <c r="N142" t="inlineStr"/>
      <c r="O142" s="2" t="inlineStr">
        <is>
          <t>https://commercialobserver.com/2026/08/swa-group-lease-381-park-avenue-south/</t>
        </is>
      </c>
      <c r="P142" t="inlineStr">
        <is>
          <t>2026-08-11</t>
        </is>
      </c>
      <c r="Q142" t="inlineStr"/>
      <c r="R142" t="inlineStr">
        <is>
          <t>medium</t>
        </is>
      </c>
      <c r="S142" t="inlineStr">
        <is>
          <t>N</t>
        </is>
      </c>
      <c r="T142" t="inlineStr"/>
      <c r="U142" t="inlineStr"/>
      <c r="V142" s="3" t="inlineStr">
        <is>
          <t>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t>
        </is>
      </c>
      <c r="W142" t="inlineStr">
        <is>
          <t>2026-10-23</t>
        </is>
      </c>
      <c r="X142" t="inlineStr">
        <is>
          <t>unknown</t>
        </is>
      </c>
      <c r="Y142" t="inlineStr">
        <is>
          <t>unknown</t>
        </is>
      </c>
      <c r="Z142" t="inlineStr"/>
      <c r="AA142" t="inlineStr"/>
      <c r="AB142" t="inlineStr">
        <is>
          <t>no-count</t>
        </is>
      </c>
      <c r="AC142" t="inlineStr"/>
      <c r="AD142" t="inlineStr"/>
      <c r="AE142" t="inlineStr"/>
      <c r="AF142" t="inlineStr">
        <is>
          <t>unknown</t>
        </is>
      </c>
      <c r="AG142" t="inlineStr"/>
      <c r="AH142" t="inlineStr">
        <is>
          <t>unknown</t>
        </is>
      </c>
      <c r="AI142" t="inlineStr">
        <is>
          <t>candidate</t>
        </is>
      </c>
      <c r="AJ142" t="inlineStr">
        <is>
          <t>occupancy-unconfirmed</t>
        </is>
      </c>
      <c r="AK142" t="inlineStr"/>
      <c r="AL142" t="inlineStr"/>
      <c r="AM142" s="3" t="inlineStr">
        <is>
          <t>No opened source gives a count: no Built In profile with a total, the company site publishes none, and LinkedIn was off-limits. Founder to confirm at intake.</t>
        </is>
      </c>
      <c r="AN142" t="inlineStr">
        <is>
          <t>leasing-press</t>
        </is>
      </c>
      <c r="AO142" t="inlineStr"/>
      <c r="AP142" t="inlineStr">
        <is>
          <t>no-coworking-in-building</t>
        </is>
      </c>
      <c r="AQ142" t="inlineStr">
        <is>
          <t>1008820085</t>
        </is>
      </c>
      <c r="AR142" t="n">
        <v>0</v>
      </c>
      <c r="AS142" t="inlineStr">
        <is>
          <t>5,789 sf</t>
        </is>
      </c>
      <c r="AT142" t="inlineStr">
        <is>
          <t>S4</t>
        </is>
      </c>
    </row>
    <row r="143">
      <c r="A143" t="inlineStr">
        <is>
          <t>B-C-150</t>
        </is>
      </c>
      <c r="B143" t="inlineStr">
        <is>
          <t>The Corcoran Group</t>
        </is>
      </c>
      <c r="C143" s="2" t="inlineStr">
        <is>
          <t>https://www.corcoran.com</t>
        </is>
      </c>
      <c r="D143" t="inlineStr">
        <is>
          <t>residential real estate brokerage</t>
        </is>
      </c>
      <c r="E143" t="inlineStr">
        <is>
          <t>B-B-068</t>
        </is>
      </c>
      <c r="F143" t="inlineStr">
        <is>
          <t>381 Park Avenue South</t>
        </is>
      </c>
      <c r="G143" t="inlineStr">
        <is>
          <t>full floor (number not stated)</t>
        </is>
      </c>
      <c r="H143" t="inlineStr">
        <is>
          <t>10016</t>
        </is>
      </c>
      <c r="I143" t="n">
        <v>40.742417</v>
      </c>
      <c r="J143" t="n">
        <v>-73.984477</v>
      </c>
      <c r="K143" t="inlineStr">
        <is>
          <t>Y</t>
        </is>
      </c>
      <c r="L143" t="inlineStr">
        <is>
          <t>unknown</t>
        </is>
      </c>
      <c r="M143" t="inlineStr">
        <is>
          <t>unknown</t>
        </is>
      </c>
      <c r="N143" t="inlineStr"/>
      <c r="O143" s="2" t="inlineStr">
        <is>
          <t>https://commercialobserver.com/2026/04/corcoran-group-lease-381-park-avenue-south/</t>
        </is>
      </c>
      <c r="P143" t="inlineStr">
        <is>
          <t>2026-04-01</t>
        </is>
      </c>
      <c r="Q143" t="inlineStr"/>
      <c r="R143" t="inlineStr">
        <is>
          <t>medium</t>
        </is>
      </c>
      <c r="S143" t="inlineStr">
        <is>
          <t>N</t>
        </is>
      </c>
      <c r="T143" t="inlineStr"/>
      <c r="U143" t="inlineStr"/>
      <c r="V143" s="3" t="inlineStr">
        <is>
          <t>14,710 SF full floor; relocating one block from 387 Park Avenue South, move planned for summer 2026. A residential brokerage sales office; whether agents work fixed hours here is not sourced. Headcount not sourced; a large brokerage, check for over-500 before use.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2: corner lot: the lot-centroid pin sat 19 m from E 27 ST but 43 m from PARK AVE S, so it was moved to the PARK AVE S frontage near the corner (13 m from the PARK AVE S centreline, 27 m from E 27 ST; 30 m from the old pin). Tax lot unchanged.</t>
        </is>
      </c>
      <c r="W143" t="inlineStr">
        <is>
          <t>2026-10-23</t>
        </is>
      </c>
      <c r="X143" t="inlineStr">
        <is>
          <t>unknown</t>
        </is>
      </c>
      <c r="Y143" t="inlineStr">
        <is>
          <t>unknown</t>
        </is>
      </c>
      <c r="Z143" t="inlineStr"/>
      <c r="AA143" t="inlineStr"/>
      <c r="AB143" t="inlineStr">
        <is>
          <t>no-count</t>
        </is>
      </c>
      <c r="AC143" t="inlineStr"/>
      <c r="AD143" t="inlineStr"/>
      <c r="AE143" t="inlineStr"/>
      <c r="AF143" t="inlineStr">
        <is>
          <t>unknown</t>
        </is>
      </c>
      <c r="AG143" t="inlineStr"/>
      <c r="AH143" t="inlineStr">
        <is>
          <t>unknown</t>
        </is>
      </c>
      <c r="AI143" t="inlineStr">
        <is>
          <t>candidate</t>
        </is>
      </c>
      <c r="AJ143" t="inlineStr">
        <is>
          <t>occupancy-unconfirmed</t>
        </is>
      </c>
      <c r="AK143" t="inlineStr"/>
      <c r="AL143" t="inlineStr"/>
      <c r="AM143" s="3" t="inlineStr">
        <is>
          <t>No opened source gives a count: no Built In profile with a total, the company site publishes none, and LinkedIn was off-limits. Founder to confirm at intake.</t>
        </is>
      </c>
      <c r="AN143" t="inlineStr">
        <is>
          <t>leasing-press</t>
        </is>
      </c>
      <c r="AO143" t="inlineStr"/>
      <c r="AP143" t="inlineStr">
        <is>
          <t>no-coworking-in-building</t>
        </is>
      </c>
      <c r="AQ143" t="inlineStr">
        <is>
          <t>1008820085</t>
        </is>
      </c>
      <c r="AR143" t="n">
        <v>0</v>
      </c>
      <c r="AS143" t="inlineStr">
        <is>
          <t>14,710 sf</t>
        </is>
      </c>
      <c r="AT143" t="inlineStr">
        <is>
          <t>S4</t>
        </is>
      </c>
    </row>
    <row r="144">
      <c r="A144" t="inlineStr">
        <is>
          <t>B-C-151</t>
        </is>
      </c>
      <c r="B144" t="inlineStr">
        <is>
          <t>Carbyne</t>
        </is>
      </c>
      <c r="C144" s="2" t="inlineStr">
        <is>
          <t>https://carbyne.com</t>
        </is>
      </c>
      <c r="D144" t="inlineStr">
        <is>
          <t>public safety software (emergency communications)</t>
        </is>
      </c>
      <c r="E144" t="inlineStr">
        <is>
          <t>B-B-069</t>
        </is>
      </c>
      <c r="F144" t="inlineStr">
        <is>
          <t>45 West 27th Street</t>
        </is>
      </c>
      <c r="G144" t="inlineStr">
        <is>
          <t>2</t>
        </is>
      </c>
      <c r="H144" t="inlineStr">
        <is>
          <t>10001</t>
        </is>
      </c>
      <c r="I144" t="n">
        <v>40.745243</v>
      </c>
      <c r="J144" t="n">
        <v>-73.989968</v>
      </c>
      <c r="K144" t="inlineStr">
        <is>
          <t>Y</t>
        </is>
      </c>
      <c r="L144" t="inlineStr">
        <is>
          <t>unknown</t>
        </is>
      </c>
      <c r="M144" t="inlineStr">
        <is>
          <t>unknown</t>
        </is>
      </c>
      <c r="N144" s="2" t="inlineStr">
        <is>
          <t>https://www.builtinnyc.com/company/carbyne/offices</t>
        </is>
      </c>
      <c r="O144" s="2" t="inlineStr">
        <is>
          <t>https://carbyne.com/company/about-us/</t>
        </is>
      </c>
      <c r="P144" t="inlineStr">
        <is>
          <t>2026-10-23</t>
        </is>
      </c>
      <c r="Q144" s="2" t="inlineStr">
        <is>
          <t>https://www.builtinnyc.com/company/carbyne/offices</t>
        </is>
      </c>
      <c r="R144" t="inlineStr">
        <is>
          <t>high</t>
        </is>
      </c>
      <c r="S144" t="inlineStr">
        <is>
          <t>N</t>
        </is>
      </c>
      <c r="T144" t="inlineStr"/>
      <c r="U144" t="inlineStr"/>
      <c r="V144" s="3" t="inlineStr">
        <is>
          <t>Company page lists USA office at 45 W 27th Street, 2nd Floor; Built In lists 45 W 27th St and 180 total employees. NYC HQ lease of 5,700 SF reported Aug 2023 (FNP roundup 2023-09-06). | Assembly 2026-10-24: Review round 2: band changed from 151-250 to unknown. Sources disagree: Built In shows 180 (151-250) and Revelio Labs (Carbyne Ltd., HQ Tel Aviv): about 146 employees worldwide as of March 2026 (76-150). Band left unknown; founder to confirm at intake.</t>
        </is>
      </c>
      <c r="W144" t="inlineStr">
        <is>
          <t>2026-10-23</t>
        </is>
      </c>
      <c r="X144" t="inlineStr">
        <is>
          <t>New York</t>
        </is>
      </c>
      <c r="Y144" t="inlineStr">
        <is>
          <t>Y</t>
        </is>
      </c>
      <c r="Z144" t="inlineStr">
        <is>
          <t>https://www.builtinnyc.com/company/carbyne/offices</t>
        </is>
      </c>
      <c r="AA144" t="inlineStr">
        <is>
          <t>180</t>
        </is>
      </c>
      <c r="AB144" t="inlineStr">
        <is>
          <t>disagree</t>
        </is>
      </c>
      <c r="AC144" t="inlineStr">
        <is>
          <t>146</t>
        </is>
      </c>
      <c r="AD144" t="inlineStr">
        <is>
          <t>https://www.reveliolabs.com/companies/carbyne/employees</t>
        </is>
      </c>
      <c r="AE144" t="inlineStr">
        <is>
          <t>2026-08-31</t>
        </is>
      </c>
      <c r="AF144" t="inlineStr">
        <is>
          <t>unknown</t>
        </is>
      </c>
      <c r="AG144" t="inlineStr"/>
      <c r="AH144" t="inlineStr">
        <is>
          <t>unknown</t>
        </is>
      </c>
      <c r="AI144" t="inlineStr">
        <is>
          <t>candidate</t>
        </is>
      </c>
      <c r="AJ144" t="inlineStr">
        <is>
          <t>occupied</t>
        </is>
      </c>
      <c r="AK144" t="inlineStr"/>
      <c r="AL144" t="inlineStr">
        <is>
          <t>2026-10-23</t>
        </is>
      </c>
      <c r="AM144" s="3" t="inlineStr">
        <is>
          <t>Sources disagree: Built In shows 180 (151-250) and Revelio Labs (Carbyne Ltd., HQ Tel Aviv): about 146 employees worldwide as of March 2026 (76-150). Band left unknown; founder to confirm at intake.</t>
        </is>
      </c>
      <c r="AN144" t="inlineStr">
        <is>
          <t>company-site</t>
        </is>
      </c>
      <c r="AO144" t="inlineStr">
        <is>
          <t>2026-10-23</t>
        </is>
      </c>
      <c r="AP144" t="inlineStr">
        <is>
          <t>no-coworking-in-building</t>
        </is>
      </c>
      <c r="AQ144" t="inlineStr">
        <is>
          <t>1008290011</t>
        </is>
      </c>
      <c r="AR144" t="n">
        <v>0</v>
      </c>
      <c r="AS144" t="inlineStr">
        <is>
          <t>5,700 sf</t>
        </is>
      </c>
      <c r="AT144" t="inlineStr">
        <is>
          <t>S4</t>
        </is>
      </c>
    </row>
    <row r="145">
      <c r="A145" t="inlineStr">
        <is>
          <t>B-C-152</t>
        </is>
      </c>
      <c r="B145" t="inlineStr">
        <is>
          <t>Everlast Worldwide (US headquarters)</t>
        </is>
      </c>
      <c r="C145" s="2" t="inlineStr">
        <is>
          <t>https://www.everlast.com</t>
        </is>
      </c>
      <c r="D145" t="inlineStr">
        <is>
          <t>sporting goods brand</t>
        </is>
      </c>
      <c r="E145" t="inlineStr">
        <is>
          <t>B-B-070</t>
        </is>
      </c>
      <c r="F145" t="inlineStr">
        <is>
          <t>15 West 27th Street</t>
        </is>
      </c>
      <c r="G145" t="inlineStr">
        <is>
          <t>2</t>
        </is>
      </c>
      <c r="H145" t="inlineStr">
        <is>
          <t>10001</t>
        </is>
      </c>
      <c r="I145" t="n">
        <v>40.744515</v>
      </c>
      <c r="J145" t="n">
        <v>-73.988255</v>
      </c>
      <c r="K145" t="inlineStr">
        <is>
          <t>Y</t>
        </is>
      </c>
      <c r="L145" t="inlineStr">
        <is>
          <t>unknown</t>
        </is>
      </c>
      <c r="M145" t="inlineStr">
        <is>
          <t>unknown</t>
        </is>
      </c>
      <c r="N145" t="inlineStr"/>
      <c r="O145" s="2" t="inlineStr">
        <is>
          <t>https://commercialobserver.com/2023/12/boxing-equipment-maker-everlast-signs-office-lease-15-west-27th-street/</t>
        </is>
      </c>
      <c r="P145" t="inlineStr">
        <is>
          <t>2023-12-14</t>
        </is>
      </c>
      <c r="Q145" t="inlineStr"/>
      <c r="R145" t="inlineStr">
        <is>
          <t>low</t>
        </is>
      </c>
      <c r="S145" t="inlineStr">
        <is>
          <t>N</t>
        </is>
      </c>
      <c r="T145" t="inlineStr"/>
      <c r="U145" t="inlineStr"/>
      <c r="V145" s="3" t="inlineStr">
        <is>
          <t>CO 2023: one-year deal for 5,900 SF on full 2nd floor for its US HQ. Term was one year, so likely stale; not reconfirmed.</t>
        </is>
      </c>
      <c r="W145" t="inlineStr">
        <is>
          <t>2026-10-23</t>
        </is>
      </c>
      <c r="X145" t="inlineStr">
        <is>
          <t>unknown</t>
        </is>
      </c>
      <c r="Y145" t="inlineStr">
        <is>
          <t>unknown</t>
        </is>
      </c>
      <c r="Z145" t="inlineStr"/>
      <c r="AA145" t="inlineStr"/>
      <c r="AB145" t="inlineStr">
        <is>
          <t>no-count</t>
        </is>
      </c>
      <c r="AC145" t="inlineStr"/>
      <c r="AD145" t="inlineStr"/>
      <c r="AE145" t="inlineStr"/>
      <c r="AF145" t="inlineStr">
        <is>
          <t>unknown</t>
        </is>
      </c>
      <c r="AG145" t="inlineStr"/>
      <c r="AH145" t="inlineStr">
        <is>
          <t>unknown</t>
        </is>
      </c>
      <c r="AI145" t="inlineStr">
        <is>
          <t>candidate</t>
        </is>
      </c>
      <c r="AJ145" t="inlineStr">
        <is>
          <t>occupancy-unconfirmed</t>
        </is>
      </c>
      <c r="AK145" t="inlineStr"/>
      <c r="AL145" t="inlineStr"/>
      <c r="AM145" s="3" t="inlineStr">
        <is>
          <t>No opened source gives a count: no Built In profile with a total, the company site publishes none, and LinkedIn was off-limits. Founder to confirm at intake.</t>
        </is>
      </c>
      <c r="AN145" t="inlineStr">
        <is>
          <t>leasing-press</t>
        </is>
      </c>
      <c r="AO145" t="inlineStr"/>
      <c r="AP145" t="inlineStr">
        <is>
          <t>no-coworking-in-building</t>
        </is>
      </c>
      <c r="AQ145" t="inlineStr">
        <is>
          <t>1008290032</t>
        </is>
      </c>
      <c r="AR145" t="n">
        <v>0</v>
      </c>
      <c r="AS145" t="inlineStr">
        <is>
          <t>5,900 sf</t>
        </is>
      </c>
      <c r="AT145" t="inlineStr">
        <is>
          <t>S4</t>
        </is>
      </c>
    </row>
    <row r="146">
      <c r="A146" t="inlineStr">
        <is>
          <t>B-C-154</t>
        </is>
      </c>
      <c r="B146" t="inlineStr">
        <is>
          <t>Christian Louboutin</t>
        </is>
      </c>
      <c r="C146" s="2" t="inlineStr">
        <is>
          <t>https://us.christianlouboutin.com</t>
        </is>
      </c>
      <c r="D146" t="inlineStr">
        <is>
          <t>luxury footwear brand (office)</t>
        </is>
      </c>
      <c r="E146" t="inlineStr">
        <is>
          <t>B-B-071</t>
        </is>
      </c>
      <c r="F146" t="inlineStr">
        <is>
          <t>1165 Broadway</t>
        </is>
      </c>
      <c r="G146" t="inlineStr">
        <is>
          <t>unknown</t>
        </is>
      </c>
      <c r="H146" t="inlineStr">
        <is>
          <t>10001</t>
        </is>
      </c>
      <c r="I146" t="n">
        <v>40.744899</v>
      </c>
      <c r="J146" t="n">
        <v>-73.989082</v>
      </c>
      <c r="K146" t="inlineStr">
        <is>
          <t>Y</t>
        </is>
      </c>
      <c r="L146" t="inlineStr">
        <is>
          <t>unknown</t>
        </is>
      </c>
      <c r="M146" t="inlineStr">
        <is>
          <t>unknown</t>
        </is>
      </c>
      <c r="N146" t="inlineStr"/>
      <c r="O146" s="2" t="inlineStr">
        <is>
          <t>https://commercialobserver.com/2026/03/thor-equities-buys-1165-broadway/</t>
        </is>
      </c>
      <c r="P146" t="inlineStr">
        <is>
          <t>2026-03-25</t>
        </is>
      </c>
      <c r="Q146" t="inlineStr"/>
      <c r="R146" t="inlineStr">
        <is>
          <t>medium</t>
        </is>
      </c>
      <c r="S146" t="inlineStr">
        <is>
          <t>N</t>
        </is>
      </c>
      <c r="T146" t="inlineStr"/>
      <c r="U146" t="inlineStr"/>
      <c r="V146" s="3" t="inlineStr">
        <is>
          <t>CO names it a current tenant of the 58,000 SF office and retail building at Broadway and 27th St. Use (office or showroom) and headcount not sourced.</t>
        </is>
      </c>
      <c r="W146" t="inlineStr">
        <is>
          <t>2026-10-23</t>
        </is>
      </c>
      <c r="X146" t="inlineStr">
        <is>
          <t>unknown</t>
        </is>
      </c>
      <c r="Y146" t="inlineStr">
        <is>
          <t>unknown</t>
        </is>
      </c>
      <c r="Z146" t="inlineStr"/>
      <c r="AA146" t="inlineStr"/>
      <c r="AB146" t="inlineStr">
        <is>
          <t>no-count</t>
        </is>
      </c>
      <c r="AC146" t="inlineStr"/>
      <c r="AD146" t="inlineStr"/>
      <c r="AE146" t="inlineStr"/>
      <c r="AF146" t="inlineStr">
        <is>
          <t>unknown</t>
        </is>
      </c>
      <c r="AG146" t="inlineStr"/>
      <c r="AH146" t="inlineStr">
        <is>
          <t>unknown</t>
        </is>
      </c>
      <c r="AI146" t="inlineStr">
        <is>
          <t>candidate</t>
        </is>
      </c>
      <c r="AJ146" t="inlineStr">
        <is>
          <t>occupied</t>
        </is>
      </c>
      <c r="AK146" t="inlineStr"/>
      <c r="AL146" t="inlineStr"/>
      <c r="AM146" s="3" t="inlineStr">
        <is>
          <t>No opened source gives a count: no Built In profile with a total, the company site publishes none, and LinkedIn was off-limits. Founder to confirm at intake.</t>
        </is>
      </c>
      <c r="AN146" t="inlineStr">
        <is>
          <t>leasing-press</t>
        </is>
      </c>
      <c r="AO146" t="inlineStr"/>
      <c r="AP146" t="inlineStr">
        <is>
          <t>no-coworking-in-building</t>
        </is>
      </c>
      <c r="AQ146" t="inlineStr">
        <is>
          <t>1008290022</t>
        </is>
      </c>
      <c r="AR146" t="n">
        <v>0</v>
      </c>
      <c r="AS146" t="inlineStr">
        <is>
          <t>58,000 sf</t>
        </is>
      </c>
      <c r="AT146" t="inlineStr">
        <is>
          <t>S4</t>
        </is>
      </c>
    </row>
    <row r="147">
      <c r="A147" t="inlineStr">
        <is>
          <t>B-C-155</t>
        </is>
      </c>
      <c r="B147" t="inlineStr">
        <is>
          <t>Primary Wave</t>
        </is>
      </c>
      <c r="C147" s="2" t="inlineStr">
        <is>
          <t>https://www.primarywave.com</t>
        </is>
      </c>
      <c r="D147" t="inlineStr">
        <is>
          <t>music publishing and marketing</t>
        </is>
      </c>
      <c r="E147" t="inlineStr">
        <is>
          <t>B-B-071</t>
        </is>
      </c>
      <c r="F147" t="inlineStr">
        <is>
          <t>1165 Broadway</t>
        </is>
      </c>
      <c r="G147" t="inlineStr">
        <is>
          <t>5 (per site; CO 2024: top two floors)</t>
        </is>
      </c>
      <c r="H147" t="inlineStr">
        <is>
          <t>10001</t>
        </is>
      </c>
      <c r="I147" t="n">
        <v>40.744899</v>
      </c>
      <c r="J147" t="n">
        <v>-73.989082</v>
      </c>
      <c r="K147" t="inlineStr">
        <is>
          <t>Y</t>
        </is>
      </c>
      <c r="L147" t="inlineStr">
        <is>
          <t>76-150</t>
        </is>
      </c>
      <c r="M147" t="inlineStr">
        <is>
          <t>whole-company</t>
        </is>
      </c>
      <c r="N147" s="2" t="inlineStr">
        <is>
          <t>https://www.builtinnyc.com/company/primary-wave/offices</t>
        </is>
      </c>
      <c r="O147" s="2" t="inlineStr">
        <is>
          <t>https://commercialobserver.com/2026/03/thor-equities-buys-1165-broadway/</t>
        </is>
      </c>
      <c r="P147" t="inlineStr">
        <is>
          <t>2026-03-25</t>
        </is>
      </c>
      <c r="Q147" s="2" t="inlineStr">
        <is>
          <t>https://primarywave.com/contact/</t>
        </is>
      </c>
      <c r="R147" t="inlineStr">
        <is>
          <t>high</t>
        </is>
      </c>
      <c r="S147" t="inlineStr">
        <is>
          <t>N</t>
        </is>
      </c>
      <c r="T147" t="inlineStr"/>
      <c r="U147" t="inlineStr"/>
      <c r="V147" s="3" t="inlineStr">
        <is>
          <t>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is>
      </c>
      <c r="W147" t="inlineStr">
        <is>
          <t>2026-10-23</t>
        </is>
      </c>
      <c r="X147" t="inlineStr">
        <is>
          <t>New York</t>
        </is>
      </c>
      <c r="Y147" t="inlineStr">
        <is>
          <t>Y</t>
        </is>
      </c>
      <c r="Z147" t="inlineStr">
        <is>
          <t>https://www.reveliolabs.com/companies/primary-wave-entmt/employees</t>
        </is>
      </c>
      <c r="AA147" t="inlineStr">
        <is>
          <t>109</t>
        </is>
      </c>
      <c r="AB147" t="inlineStr">
        <is>
          <t>agree</t>
        </is>
      </c>
      <c r="AC147" t="inlineStr">
        <is>
          <t>134</t>
        </is>
      </c>
      <c r="AD147" t="inlineStr">
        <is>
          <t>https://www.reveliolabs.com/companies/primary-wave-entmt/employees</t>
        </is>
      </c>
      <c r="AE147" t="inlineStr">
        <is>
          <t>2026-08-31</t>
        </is>
      </c>
      <c r="AF147" t="inlineStr">
        <is>
          <t>unknown</t>
        </is>
      </c>
      <c r="AG147" t="inlineStr"/>
      <c r="AH147" t="inlineStr">
        <is>
          <t>unknown</t>
        </is>
      </c>
      <c r="AI147" t="inlineStr">
        <is>
          <t>candidate</t>
        </is>
      </c>
      <c r="AJ147" t="inlineStr">
        <is>
          <t>occupied</t>
        </is>
      </c>
      <c r="AK147" t="inlineStr"/>
      <c r="AL147" t="inlineStr">
        <is>
          <t>2026-10-23</t>
        </is>
      </c>
      <c r="AM147" s="3" t="inlineStr"/>
      <c r="AN147" t="inlineStr">
        <is>
          <t>leasing-press</t>
        </is>
      </c>
      <c r="AO147" t="inlineStr">
        <is>
          <t>2026-10-23</t>
        </is>
      </c>
      <c r="AP147" t="inlineStr">
        <is>
          <t>no-coworking-in-building</t>
        </is>
      </c>
      <c r="AQ147" t="inlineStr">
        <is>
          <t>1008290022</t>
        </is>
      </c>
      <c r="AR147" t="n">
        <v>0</v>
      </c>
      <c r="AS147" t="inlineStr">
        <is>
          <t>12,884 sf</t>
        </is>
      </c>
      <c r="AT147" t="inlineStr">
        <is>
          <t>S4</t>
        </is>
      </c>
    </row>
    <row r="148">
      <c r="A148" t="inlineStr">
        <is>
          <t>B-C-159</t>
        </is>
      </c>
      <c r="B148" t="inlineStr">
        <is>
          <t>Hanover Park</t>
        </is>
      </c>
      <c r="C148" s="2" t="inlineStr">
        <is>
          <t>https://www.hanoverpark.com</t>
        </is>
      </c>
      <c r="D148" t="inlineStr">
        <is>
          <t>fintech (AI fund administration)</t>
        </is>
      </c>
      <c r="E148" t="inlineStr">
        <is>
          <t>B-B-073</t>
        </is>
      </c>
      <c r="F148" t="inlineStr">
        <is>
          <t>387 Park Avenue South</t>
        </is>
      </c>
      <c r="G148" t="inlineStr">
        <is>
          <t>10</t>
        </is>
      </c>
      <c r="H148" t="inlineStr">
        <is>
          <t>10016</t>
        </is>
      </c>
      <c r="I148" t="n">
        <v>40.742833</v>
      </c>
      <c r="J148" t="n">
        <v>-73.984174</v>
      </c>
      <c r="K148" t="inlineStr">
        <is>
          <t>Y</t>
        </is>
      </c>
      <c r="L148" t="inlineStr">
        <is>
          <t>40-75</t>
        </is>
      </c>
      <c r="M148" t="inlineStr">
        <is>
          <t>whole-company</t>
        </is>
      </c>
      <c r="N148" s="2" t="inlineStr">
        <is>
          <t>https://www.builtinnyc.com/company/hanover-park/offices</t>
        </is>
      </c>
      <c r="O148" s="2" t="inlineStr">
        <is>
          <t>https://commercialobserver.com/2026/08/hanover-park-lease-tf-cornerstone-387-park-avenue-south/</t>
        </is>
      </c>
      <c r="P148" t="inlineStr">
        <is>
          <t>2026-08-12</t>
        </is>
      </c>
      <c r="Q148" s="2" t="inlineStr">
        <is>
          <t>https://www.connectcre.com/stories/ai-native-hanover-park-leases-full-floor-at-387-park-ave-south/</t>
        </is>
      </c>
      <c r="R148" t="inlineStr">
        <is>
          <t>medium</t>
        </is>
      </c>
      <c r="S148" t="inlineStr">
        <is>
          <t>N</t>
        </is>
      </c>
      <c r="T148" t="inlineStr"/>
      <c r="U148" t="inlineStr"/>
      <c r="V148" s="3" t="inlineStr">
        <is>
          <t>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is>
      </c>
      <c r="W148" t="inlineStr">
        <is>
          <t>2026-10-23</t>
        </is>
      </c>
      <c r="X148" t="inlineStr">
        <is>
          <t>New York</t>
        </is>
      </c>
      <c r="Y148" t="inlineStr">
        <is>
          <t>Y</t>
        </is>
      </c>
      <c r="Z148" t="inlineStr">
        <is>
          <t>https://www.builtinnyc.com/company/hanover-park/offices</t>
        </is>
      </c>
      <c r="AA148" t="inlineStr">
        <is>
          <t>42</t>
        </is>
      </c>
      <c r="AB148" t="inlineStr">
        <is>
          <t>single-source</t>
        </is>
      </c>
      <c r="AC148" t="inlineStr"/>
      <c r="AD148" t="inlineStr"/>
      <c r="AE148" t="inlineStr"/>
      <c r="AF148" t="inlineStr">
        <is>
          <t>unknown</t>
        </is>
      </c>
      <c r="AG148" t="inlineStr"/>
      <c r="AH148" t="inlineStr">
        <is>
          <t>unknown</t>
        </is>
      </c>
      <c r="AI148" t="inlineStr">
        <is>
          <t>candidate</t>
        </is>
      </c>
      <c r="AJ148" t="inlineStr">
        <is>
          <t>signed-not-occupied</t>
        </is>
      </c>
      <c r="AK148" t="inlineStr">
        <is>
          <t>unknown</t>
        </is>
      </c>
      <c r="AL148" t="inlineStr">
        <is>
          <t>2026-10-23</t>
        </is>
      </c>
      <c r="AM148" s="3" t="inlineStr"/>
      <c r="AN148" t="inlineStr">
        <is>
          <t>leasing-press</t>
        </is>
      </c>
      <c r="AO148" t="inlineStr">
        <is>
          <t>2026-08-14</t>
        </is>
      </c>
      <c r="AP148" t="inlineStr">
        <is>
          <t>different-floor</t>
        </is>
      </c>
      <c r="AQ148" t="inlineStr">
        <is>
          <t>1008830001</t>
        </is>
      </c>
      <c r="AR148" t="n">
        <v>0</v>
      </c>
      <c r="AS148" t="inlineStr">
        <is>
          <t>19,269 sf</t>
        </is>
      </c>
      <c r="AT148" t="inlineStr">
        <is>
          <t>S4</t>
        </is>
      </c>
    </row>
    <row r="149">
      <c r="A149" t="inlineStr">
        <is>
          <t>B-C-160</t>
        </is>
      </c>
      <c r="B149" t="inlineStr">
        <is>
          <t>K Health</t>
        </is>
      </c>
      <c r="C149" s="2" t="inlineStr">
        <is>
          <t>https://khealth.com</t>
        </is>
      </c>
      <c r="D149" t="inlineStr">
        <is>
          <t>healthtech (AI primary care)</t>
        </is>
      </c>
      <c r="E149" t="inlineStr">
        <is>
          <t>B-B-073</t>
        </is>
      </c>
      <c r="F149" t="inlineStr">
        <is>
          <t>387 Park Avenue South</t>
        </is>
      </c>
      <c r="G149" t="inlineStr">
        <is>
          <t>9</t>
        </is>
      </c>
      <c r="H149" t="inlineStr">
        <is>
          <t>10016</t>
        </is>
      </c>
      <c r="I149" t="n">
        <v>40.742833</v>
      </c>
      <c r="J149" t="n">
        <v>-73.984174</v>
      </c>
      <c r="K149" t="inlineStr">
        <is>
          <t>Y</t>
        </is>
      </c>
      <c r="L149" t="inlineStr">
        <is>
          <t>251-500</t>
        </is>
      </c>
      <c r="M149" t="inlineStr">
        <is>
          <t>whole-company</t>
        </is>
      </c>
      <c r="N149" s="2" t="inlineStr">
        <is>
          <t>https://www.builtinnyc.com/company/k-health/offices</t>
        </is>
      </c>
      <c r="O149" s="2" t="inlineStr">
        <is>
          <t>https://www.connectcre.com/stories/ai-native-hanover-park-leases-full-floor-at-387-park-ave-south/</t>
        </is>
      </c>
      <c r="P149" t="inlineStr">
        <is>
          <t>2026-08-14</t>
        </is>
      </c>
      <c r="Q149" s="2" t="inlineStr">
        <is>
          <t>https://khealth.com/terms-of-use/</t>
        </is>
      </c>
      <c r="R149" t="inlineStr">
        <is>
          <t>high</t>
        </is>
      </c>
      <c r="S149" t="inlineStr">
        <is>
          <t>N</t>
        </is>
      </c>
      <c r="T149" t="inlineStr"/>
      <c r="U149" t="inlineStr"/>
      <c r="V149" s="3" t="inlineStr">
        <is>
          <t>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is>
      </c>
      <c r="W149" t="inlineStr">
        <is>
          <t>2026-10-23</t>
        </is>
      </c>
      <c r="X149" t="inlineStr">
        <is>
          <t>New York</t>
        </is>
      </c>
      <c r="Y149" t="inlineStr">
        <is>
          <t>Y</t>
        </is>
      </c>
      <c r="Z149" t="inlineStr">
        <is>
          <t>https://www.builtinnyc.com/company/k-health/offices</t>
        </is>
      </c>
      <c r="AA149" t="inlineStr">
        <is>
          <t>363</t>
        </is>
      </c>
      <c r="AB149" t="inlineStr">
        <is>
          <t>agree</t>
        </is>
      </c>
      <c r="AC149" t="inlineStr">
        <is>
          <t>419</t>
        </is>
      </c>
      <c r="AD149" t="inlineStr">
        <is>
          <t>https://www.reveliolabs.com/companies/k-health/employees</t>
        </is>
      </c>
      <c r="AE149" t="inlineStr">
        <is>
          <t>2026-08-31</t>
        </is>
      </c>
      <c r="AF149" t="inlineStr">
        <is>
          <t>unknown</t>
        </is>
      </c>
      <c r="AG149" t="inlineStr"/>
      <c r="AH149" t="inlineStr">
        <is>
          <t>unknown</t>
        </is>
      </c>
      <c r="AI149" t="inlineStr">
        <is>
          <t>candidate</t>
        </is>
      </c>
      <c r="AJ149" t="inlineStr">
        <is>
          <t>occupied</t>
        </is>
      </c>
      <c r="AK149" t="inlineStr"/>
      <c r="AL149" t="inlineStr">
        <is>
          <t>2026-10-23</t>
        </is>
      </c>
      <c r="AM149" s="3" t="inlineStr"/>
      <c r="AN149" t="inlineStr">
        <is>
          <t>leasing-press</t>
        </is>
      </c>
      <c r="AO149" t="inlineStr">
        <is>
          <t>2026-10-24</t>
        </is>
      </c>
      <c r="AP149" t="inlineStr">
        <is>
          <t>different-floor</t>
        </is>
      </c>
      <c r="AQ149" t="inlineStr">
        <is>
          <t>1008830001</t>
        </is>
      </c>
      <c r="AR149" t="n">
        <v>0</v>
      </c>
      <c r="AS149" t="inlineStr"/>
      <c r="AT149" t="inlineStr">
        <is>
          <t>S4</t>
        </is>
      </c>
    </row>
    <row r="150">
      <c r="A150" t="inlineStr">
        <is>
          <t>B-C-156</t>
        </is>
      </c>
      <c r="B150" t="inlineStr">
        <is>
          <t>Modern FL</t>
        </is>
      </c>
      <c r="C150" t="inlineStr">
        <is>
          <t>unknown</t>
        </is>
      </c>
      <c r="D150" t="inlineStr">
        <is>
          <t>furniture and lighting</t>
        </is>
      </c>
      <c r="E150" t="inlineStr">
        <is>
          <t>B-B-072</t>
        </is>
      </c>
      <c r="F150" t="inlineStr">
        <is>
          <t>386 Park Avenue South</t>
        </is>
      </c>
      <c r="G150" t="inlineStr">
        <is>
          <t>9</t>
        </is>
      </c>
      <c r="H150" t="inlineStr">
        <is>
          <t>10016</t>
        </is>
      </c>
      <c r="I150" t="n">
        <v>40.743003</v>
      </c>
      <c r="J150" t="n">
        <v>-73.98456899999999</v>
      </c>
      <c r="K150" t="inlineStr">
        <is>
          <t>Y</t>
        </is>
      </c>
      <c r="L150" t="inlineStr">
        <is>
          <t>unknown</t>
        </is>
      </c>
      <c r="M150" t="inlineStr">
        <is>
          <t>unknown</t>
        </is>
      </c>
      <c r="N150" t="inlineStr"/>
      <c r="O150" s="2" t="inlineStr">
        <is>
          <t>https://commercialobserver.com/2026/02/primary-ventures-sigma-computing-leases-386-park-avenue-south/</t>
        </is>
      </c>
      <c r="P150" t="inlineStr">
        <is>
          <t>2026-02-27</t>
        </is>
      </c>
      <c r="Q150" t="inlineStr"/>
      <c r="R150" t="inlineStr">
        <is>
          <t>medium</t>
        </is>
      </c>
      <c r="S150" t="inlineStr">
        <is>
          <t>N</t>
        </is>
      </c>
      <c r="T150" t="inlineStr"/>
      <c r="U150" t="inlineStr"/>
      <c r="V150" s="3" t="inlineStr">
        <is>
          <t>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t>
        </is>
      </c>
      <c r="W150" t="inlineStr">
        <is>
          <t>2026-10-23</t>
        </is>
      </c>
      <c r="X150" t="inlineStr">
        <is>
          <t>unknown</t>
        </is>
      </c>
      <c r="Y150" t="inlineStr">
        <is>
          <t>unknown</t>
        </is>
      </c>
      <c r="Z150" t="inlineStr"/>
      <c r="AA150" t="inlineStr"/>
      <c r="AB150" t="inlineStr">
        <is>
          <t>no-count</t>
        </is>
      </c>
      <c r="AC150" t="inlineStr"/>
      <c r="AD150" t="inlineStr"/>
      <c r="AE150" t="inlineStr"/>
      <c r="AF150" t="inlineStr">
        <is>
          <t>unknown</t>
        </is>
      </c>
      <c r="AG150" t="inlineStr"/>
      <c r="AH150" t="inlineStr">
        <is>
          <t>unknown</t>
        </is>
      </c>
      <c r="AI150" t="inlineStr">
        <is>
          <t>candidate</t>
        </is>
      </c>
      <c r="AJ150" t="inlineStr">
        <is>
          <t>occupancy-unconfirmed</t>
        </is>
      </c>
      <c r="AK150" t="inlineStr"/>
      <c r="AL150" t="inlineStr"/>
      <c r="AM150" s="3" t="inlineStr">
        <is>
          <t>No opened source gives a count: no Built In profile with a total, the company site publishes none, and LinkedIn was off-limits. Founder to confirm at intake.</t>
        </is>
      </c>
      <c r="AN150" t="inlineStr">
        <is>
          <t>leasing-press</t>
        </is>
      </c>
      <c r="AO150" t="inlineStr"/>
      <c r="AP150" t="inlineStr">
        <is>
          <t>different-floor</t>
        </is>
      </c>
      <c r="AQ150" t="inlineStr">
        <is>
          <t>1008570038</t>
        </is>
      </c>
      <c r="AR150" t="n">
        <v>0</v>
      </c>
      <c r="AS150" t="inlineStr">
        <is>
          <t>13,121 sf</t>
        </is>
      </c>
      <c r="AT150" t="inlineStr">
        <is>
          <t>S4</t>
        </is>
      </c>
    </row>
    <row r="151">
      <c r="A151" t="inlineStr">
        <is>
          <t>B-C-157</t>
        </is>
      </c>
      <c r="B151" t="inlineStr">
        <is>
          <t>Primary Venture Partners</t>
        </is>
      </c>
      <c r="C151" s="2" t="inlineStr">
        <is>
          <t>https://www.primary.vc</t>
        </is>
      </c>
      <c r="D151" t="inlineStr">
        <is>
          <t>venture capital</t>
        </is>
      </c>
      <c r="E151" t="inlineStr">
        <is>
          <t>B-B-072</t>
        </is>
      </c>
      <c r="F151" t="inlineStr">
        <is>
          <t>386 Park Avenue South</t>
        </is>
      </c>
      <c r="G151" t="inlineStr">
        <is>
          <t>13-14</t>
        </is>
      </c>
      <c r="H151" t="inlineStr">
        <is>
          <t>10016</t>
        </is>
      </c>
      <c r="I151" t="n">
        <v>40.743003</v>
      </c>
      <c r="J151" t="n">
        <v>-73.98456899999999</v>
      </c>
      <c r="K151" t="inlineStr">
        <is>
          <t>Y</t>
        </is>
      </c>
      <c r="L151" t="inlineStr">
        <is>
          <t>unknown</t>
        </is>
      </c>
      <c r="M151" t="inlineStr">
        <is>
          <t>unknown</t>
        </is>
      </c>
      <c r="N151" s="2" t="inlineStr">
        <is>
          <t>https://commercialobserver.com/2023/07/primary-vc-sublease-386-park-avenue-south/</t>
        </is>
      </c>
      <c r="O151" s="2" t="inlineStr">
        <is>
          <t>https://commercialobserver.com/2026/02/primary-ventures-sigma-computing-leases-386-park-avenue-south/</t>
        </is>
      </c>
      <c r="P151" t="inlineStr">
        <is>
          <t>2026-02-27</t>
        </is>
      </c>
      <c r="Q151" s="2" t="inlineStr">
        <is>
          <t>https://commercialobserver.com/2023/07/primary-vc-sublease-386-park-avenue-south/</t>
        </is>
      </c>
      <c r="R151" t="inlineStr">
        <is>
          <t>medium</t>
        </is>
      </c>
      <c r="S151" t="inlineStr">
        <is>
          <t>N</t>
        </is>
      </c>
      <c r="T151" t="inlineStr"/>
      <c r="U151" t="inlineStr"/>
      <c r="V151" s="3" t="inlineStr">
        <is>
          <t>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t>
        </is>
      </c>
      <c r="W151" t="inlineStr">
        <is>
          <t>2026-10-23</t>
        </is>
      </c>
      <c r="X151" t="inlineStr">
        <is>
          <t>New York</t>
        </is>
      </c>
      <c r="Y151" t="inlineStr">
        <is>
          <t>Y</t>
        </is>
      </c>
      <c r="Z151" t="inlineStr">
        <is>
          <t>https://www.reveliolabs.com/companies/primary-venture-partners/employees</t>
        </is>
      </c>
      <c r="AA151" t="inlineStr">
        <is>
          <t>40</t>
        </is>
      </c>
      <c r="AB151" t="inlineStr">
        <is>
          <t>disagree</t>
        </is>
      </c>
      <c r="AC151" t="inlineStr">
        <is>
          <t>304</t>
        </is>
      </c>
      <c r="AD151" t="inlineStr">
        <is>
          <t>https://www.reveliolabs.com/companies/primary-venture-partners/employees</t>
        </is>
      </c>
      <c r="AE151" t="inlineStr">
        <is>
          <t>2026-08-31</t>
        </is>
      </c>
      <c r="AF151" t="inlineStr">
        <is>
          <t>unknown</t>
        </is>
      </c>
      <c r="AG151" t="inlineStr"/>
      <c r="AH151" t="inlineStr">
        <is>
          <t>unknown</t>
        </is>
      </c>
      <c r="AI151" t="inlineStr">
        <is>
          <t>candidate</t>
        </is>
      </c>
      <c r="AJ151" t="inlineStr">
        <is>
          <t>occupied</t>
        </is>
      </c>
      <c r="AK151" t="inlineStr"/>
      <c r="AL151" t="inlineStr">
        <is>
          <t>2023-07-10</t>
        </is>
      </c>
      <c r="AM151" s="3" t="inlineStr">
        <is>
          <t>Sources disagree: Commercial Observer shows 40 (40-75) and Revelio Labs (Primary Venture Management LLC, HQ New York City): about 304 employees worldwide as of March 2026 (251-500). Band left unknown; founder to confirm at intake.</t>
        </is>
      </c>
      <c r="AN151" t="inlineStr">
        <is>
          <t>leasing-press</t>
        </is>
      </c>
      <c r="AO151" t="inlineStr">
        <is>
          <t>2023-07-10</t>
        </is>
      </c>
      <c r="AP151" t="inlineStr">
        <is>
          <t>different-floor</t>
        </is>
      </c>
      <c r="AQ151" t="inlineStr">
        <is>
          <t>1008570038</t>
        </is>
      </c>
      <c r="AR151" t="n">
        <v>0</v>
      </c>
      <c r="AS151" t="inlineStr">
        <is>
          <t>26,252 sf</t>
        </is>
      </c>
      <c r="AT151" t="inlineStr">
        <is>
          <t>S4</t>
        </is>
      </c>
    </row>
    <row r="152">
      <c r="A152" t="inlineStr">
        <is>
          <t>B-C-161</t>
        </is>
      </c>
      <c r="B152" t="inlineStr">
        <is>
          <t>Institute for Integrative Nutrition</t>
        </is>
      </c>
      <c r="C152" t="inlineStr">
        <is>
          <t>unknown</t>
        </is>
      </c>
      <c r="D152" t="inlineStr">
        <is>
          <t>online education (health coaching)</t>
        </is>
      </c>
      <c r="E152" t="inlineStr">
        <is>
          <t>B-B-074</t>
        </is>
      </c>
      <c r="F152" t="inlineStr">
        <is>
          <t>245 Fifth Avenue</t>
        </is>
      </c>
      <c r="G152" t="inlineStr">
        <is>
          <t>7</t>
        </is>
      </c>
      <c r="H152" t="inlineStr">
        <is>
          <t>10016</t>
        </is>
      </c>
      <c r="I152" t="n">
        <v>40.74441</v>
      </c>
      <c r="J152" t="n">
        <v>-73.987275</v>
      </c>
      <c r="K152" t="inlineStr">
        <is>
          <t>Y</t>
        </is>
      </c>
      <c r="L152" t="inlineStr">
        <is>
          <t>unknown</t>
        </is>
      </c>
      <c r="M152" t="inlineStr">
        <is>
          <t>unknown</t>
        </is>
      </c>
      <c r="N152" t="inlineStr"/>
      <c r="O152" s="2" t="inlineStr">
        <is>
          <t>https://commercialobserver.com/2025/03/institute-of-integrative-nutrition-moinian-group-245-fifth-avenue/</t>
        </is>
      </c>
      <c r="P152" t="inlineStr">
        <is>
          <t>2025-03-03</t>
        </is>
      </c>
      <c r="Q152" t="inlineStr"/>
      <c r="R152" t="inlineStr">
        <is>
          <t>medium</t>
        </is>
      </c>
      <c r="S152" t="inlineStr">
        <is>
          <t>N</t>
        </is>
      </c>
      <c r="T152" t="inlineStr"/>
      <c r="U152" t="inlineStr"/>
      <c r="V152" s="3" t="inlineStr">
        <is>
          <t>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is>
      </c>
      <c r="W152" t="inlineStr">
        <is>
          <t>2026-10-23</t>
        </is>
      </c>
      <c r="X152" t="inlineStr">
        <is>
          <t>unknown</t>
        </is>
      </c>
      <c r="Y152" t="inlineStr">
        <is>
          <t>unknown</t>
        </is>
      </c>
      <c r="Z152" t="inlineStr"/>
      <c r="AA152" t="inlineStr"/>
      <c r="AB152" t="inlineStr">
        <is>
          <t>no-count</t>
        </is>
      </c>
      <c r="AC152" t="inlineStr"/>
      <c r="AD152" t="inlineStr"/>
      <c r="AE152" t="inlineStr"/>
      <c r="AF152" t="inlineStr">
        <is>
          <t>unknown</t>
        </is>
      </c>
      <c r="AG152" t="inlineStr"/>
      <c r="AH152" t="inlineStr">
        <is>
          <t>security desk</t>
        </is>
      </c>
      <c r="AI152" t="inlineStr">
        <is>
          <t>candidate</t>
        </is>
      </c>
      <c r="AJ152" t="inlineStr">
        <is>
          <t>occupied</t>
        </is>
      </c>
      <c r="AK152" t="inlineStr"/>
      <c r="AL152" t="inlineStr"/>
      <c r="AM152" s="3" t="inlineStr">
        <is>
          <t>No opened source gives a count: no Built In profile with a total, the company site publishes none, and LinkedIn was off-limits. Founder to confirm at intake.</t>
        </is>
      </c>
      <c r="AN152" t="inlineStr">
        <is>
          <t>leasing-press</t>
        </is>
      </c>
      <c r="AO152" t="inlineStr"/>
      <c r="AP152" t="inlineStr">
        <is>
          <t>different-floor</t>
        </is>
      </c>
      <c r="AQ152" t="inlineStr">
        <is>
          <t>1008570076</t>
        </is>
      </c>
      <c r="AR152" t="n">
        <v>0</v>
      </c>
      <c r="AS152" t="inlineStr">
        <is>
          <t>14,000 sf</t>
        </is>
      </c>
      <c r="AT152" t="inlineStr">
        <is>
          <t>S4</t>
        </is>
      </c>
    </row>
    <row r="153">
      <c r="A153" t="inlineStr">
        <is>
          <t>B-C-162</t>
        </is>
      </c>
      <c r="B153" t="inlineStr">
        <is>
          <t>MCM Worldwide</t>
        </is>
      </c>
      <c r="C153" s="2" t="inlineStr">
        <is>
          <t>https://us.mcmworldwide.com</t>
        </is>
      </c>
      <c r="D153" t="inlineStr">
        <is>
          <t>luxury leather goods (brand HQ office)</t>
        </is>
      </c>
      <c r="E153" t="inlineStr">
        <is>
          <t>B-B-074</t>
        </is>
      </c>
      <c r="F153" t="inlineStr">
        <is>
          <t>245 Fifth Avenue</t>
        </is>
      </c>
      <c r="G153" t="inlineStr">
        <is>
          <t>25</t>
        </is>
      </c>
      <c r="H153" t="inlineStr">
        <is>
          <t>10016</t>
        </is>
      </c>
      <c r="I153" t="n">
        <v>40.74441</v>
      </c>
      <c r="J153" t="n">
        <v>-73.987275</v>
      </c>
      <c r="K153" t="inlineStr">
        <is>
          <t>Y</t>
        </is>
      </c>
      <c r="L153" t="inlineStr">
        <is>
          <t>unknown</t>
        </is>
      </c>
      <c r="M153" t="inlineStr">
        <is>
          <t>unknown</t>
        </is>
      </c>
      <c r="N153" t="inlineStr"/>
      <c r="O153" s="2" t="inlineStr">
        <is>
          <t>https://commercialobserver.com/2025/11/mcm-lease-245-fifth-avenue/</t>
        </is>
      </c>
      <c r="P153" t="inlineStr">
        <is>
          <t>2025-11-10</t>
        </is>
      </c>
      <c r="Q153" t="inlineStr"/>
      <c r="R153" t="inlineStr">
        <is>
          <t>medium</t>
        </is>
      </c>
      <c r="S153" t="inlineStr">
        <is>
          <t>N</t>
        </is>
      </c>
      <c r="T153" t="inlineStr"/>
      <c r="U153" t="inlineStr"/>
      <c r="V153" s="3" t="inlineStr">
        <is>
          <t>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is>
      </c>
      <c r="W153" t="inlineStr">
        <is>
          <t>2026-10-23</t>
        </is>
      </c>
      <c r="X153" t="inlineStr">
        <is>
          <t>unknown</t>
        </is>
      </c>
      <c r="Y153" t="inlineStr">
        <is>
          <t>unknown</t>
        </is>
      </c>
      <c r="Z153" t="inlineStr"/>
      <c r="AA153" t="inlineStr"/>
      <c r="AB153" t="inlineStr">
        <is>
          <t>no-count</t>
        </is>
      </c>
      <c r="AC153" t="inlineStr"/>
      <c r="AD153" t="inlineStr"/>
      <c r="AE153" t="inlineStr"/>
      <c r="AF153" t="inlineStr">
        <is>
          <t>unknown</t>
        </is>
      </c>
      <c r="AG153" t="inlineStr"/>
      <c r="AH153" t="inlineStr">
        <is>
          <t>security desk</t>
        </is>
      </c>
      <c r="AI153" t="inlineStr">
        <is>
          <t>candidate</t>
        </is>
      </c>
      <c r="AJ153" t="inlineStr">
        <is>
          <t>signed-not-occupied</t>
        </is>
      </c>
      <c r="AK153" t="inlineStr">
        <is>
          <t>unknown</t>
        </is>
      </c>
      <c r="AL153" t="inlineStr"/>
      <c r="AM153" s="3" t="inlineStr">
        <is>
          <t>No opened source gives a count: no Built In profile with a total, the company site publishes none, and LinkedIn was off-limits. Founder to confirm at intake.</t>
        </is>
      </c>
      <c r="AN153" t="inlineStr">
        <is>
          <t>leasing-press</t>
        </is>
      </c>
      <c r="AO153" t="inlineStr"/>
      <c r="AP153" t="inlineStr">
        <is>
          <t>different-floor</t>
        </is>
      </c>
      <c r="AQ153" t="inlineStr">
        <is>
          <t>1008570076</t>
        </is>
      </c>
      <c r="AR153" t="n">
        <v>0</v>
      </c>
      <c r="AS153" t="inlineStr">
        <is>
          <t>9,000 sf</t>
        </is>
      </c>
      <c r="AT153" t="inlineStr">
        <is>
          <t>S4</t>
        </is>
      </c>
    </row>
    <row r="154">
      <c r="A154" t="inlineStr">
        <is>
          <t>B-C-163</t>
        </is>
      </c>
      <c r="B154" t="inlineStr">
        <is>
          <t>Community Healthcare Network (administrative offices)</t>
        </is>
      </c>
      <c r="C154" s="2" t="inlineStr">
        <is>
          <t>https://www.chnnyc.org</t>
        </is>
      </c>
      <c r="D154" t="inlineStr">
        <is>
          <t>nonprofit health services (administration)</t>
        </is>
      </c>
      <c r="E154" t="inlineStr">
        <is>
          <t>B-B-075</t>
        </is>
      </c>
      <c r="F154" t="inlineStr">
        <is>
          <t>44 West 28th Street</t>
        </is>
      </c>
      <c r="G154" t="inlineStr">
        <is>
          <t>5</t>
        </is>
      </c>
      <c r="H154" t="inlineStr">
        <is>
          <t>10001</t>
        </is>
      </c>
      <c r="I154" t="n">
        <v>40.745609</v>
      </c>
      <c r="J154" t="n">
        <v>-73.990014</v>
      </c>
      <c r="K154" t="inlineStr">
        <is>
          <t>Y</t>
        </is>
      </c>
      <c r="L154" t="inlineStr">
        <is>
          <t>unknown</t>
        </is>
      </c>
      <c r="M154" t="inlineStr">
        <is>
          <t>unknown</t>
        </is>
      </c>
      <c r="N154" t="inlineStr"/>
      <c r="O154" s="2" t="inlineStr">
        <is>
          <t>https://commercialobserver.com/2025/02/community-healthcare-network-lease-44-west-28th-street/</t>
        </is>
      </c>
      <c r="P154" t="inlineStr">
        <is>
          <t>2025-02-04</t>
        </is>
      </c>
      <c r="Q154" s="2" t="inlineStr">
        <is>
          <t>https://www.chnnyc.org/contact/</t>
        </is>
      </c>
      <c r="R154" t="inlineStr">
        <is>
          <t>high</t>
        </is>
      </c>
      <c r="S154" t="inlineStr">
        <is>
          <t>N</t>
        </is>
      </c>
      <c r="T154" t="inlineStr"/>
      <c r="U154" t="inlineStr"/>
      <c r="V154" s="3" t="inlineStr">
        <is>
          <t>10-year 12,083 SF lease on full 5th floor for administrative offices (not a clinic), per CO 2025-02-04. CHN contact page lists Admin Office Address 44 W 28th Street, 5th Floor. Headcount not found.</t>
        </is>
      </c>
      <c r="W154" t="inlineStr">
        <is>
          <t>2026-10-23</t>
        </is>
      </c>
      <c r="X154" t="inlineStr">
        <is>
          <t>unknown</t>
        </is>
      </c>
      <c r="Y154" t="inlineStr">
        <is>
          <t>unknown</t>
        </is>
      </c>
      <c r="Z154" t="inlineStr"/>
      <c r="AA154" t="inlineStr"/>
      <c r="AB154" t="inlineStr">
        <is>
          <t>no-count</t>
        </is>
      </c>
      <c r="AC154" t="inlineStr"/>
      <c r="AD154" t="inlineStr"/>
      <c r="AE154" t="inlineStr"/>
      <c r="AF154" t="inlineStr">
        <is>
          <t>unknown</t>
        </is>
      </c>
      <c r="AG154" t="inlineStr"/>
      <c r="AH154" t="inlineStr">
        <is>
          <t>unknown</t>
        </is>
      </c>
      <c r="AI154" t="inlineStr">
        <is>
          <t>candidate</t>
        </is>
      </c>
      <c r="AJ154" t="inlineStr">
        <is>
          <t>occupied</t>
        </is>
      </c>
      <c r="AK154" t="inlineStr"/>
      <c r="AL154" t="inlineStr"/>
      <c r="AM154" s="3" t="inlineStr">
        <is>
          <t>No opened source gives a count: no Built In profile with a total, the company site publishes none, and LinkedIn was off-limits. Founder to confirm at intake.</t>
        </is>
      </c>
      <c r="AN154" t="inlineStr">
        <is>
          <t>leasing-press</t>
        </is>
      </c>
      <c r="AO154" t="inlineStr">
        <is>
          <t>2026-10-23</t>
        </is>
      </c>
      <c r="AP154" t="inlineStr">
        <is>
          <t>no-coworking-in-building</t>
        </is>
      </c>
      <c r="AQ154" t="inlineStr">
        <is>
          <t>1008290068</t>
        </is>
      </c>
      <c r="AR154" t="n">
        <v>0</v>
      </c>
      <c r="AS154" t="inlineStr">
        <is>
          <t>12,083 sf</t>
        </is>
      </c>
      <c r="AT154" t="inlineStr">
        <is>
          <t>S4</t>
        </is>
      </c>
    </row>
    <row r="155">
      <c r="A155" t="inlineStr">
        <is>
          <t>B-C-164</t>
        </is>
      </c>
      <c r="B155" t="inlineStr">
        <is>
          <t>Biologique Recherche (US)</t>
        </is>
      </c>
      <c r="C155" t="inlineStr">
        <is>
          <t>unknown</t>
        </is>
      </c>
      <c r="D155" t="inlineStr">
        <is>
          <t>skin care brand</t>
        </is>
      </c>
      <c r="E155" t="inlineStr">
        <is>
          <t>B-B-077</t>
        </is>
      </c>
      <c r="F155" t="inlineStr">
        <is>
          <t>261 Fifth Avenue</t>
        </is>
      </c>
      <c r="G155" t="inlineStr">
        <is>
          <t>2</t>
        </is>
      </c>
      <c r="H155" t="inlineStr">
        <is>
          <t>10016</t>
        </is>
      </c>
      <c r="I155" t="n">
        <v>40.745027</v>
      </c>
      <c r="J155" t="n">
        <v>-73.986825</v>
      </c>
      <c r="K155" t="inlineStr">
        <is>
          <t>Y</t>
        </is>
      </c>
      <c r="L155" t="inlineStr">
        <is>
          <t>unknown</t>
        </is>
      </c>
      <c r="M155" t="inlineStr">
        <is>
          <t>unknown</t>
        </is>
      </c>
      <c r="N155" t="inlineStr"/>
      <c r="O155" s="2" t="inlineStr">
        <is>
          <t>https://commercialobserver.com/2023/01/beauty-pr-firm-french-skin-care-manufacturer-ink-deals-at-261-fifth-ave/</t>
        </is>
      </c>
      <c r="P155" t="inlineStr">
        <is>
          <t>2023-01-24</t>
        </is>
      </c>
      <c r="Q155" t="inlineStr"/>
      <c r="R155" t="inlineStr">
        <is>
          <t>low</t>
        </is>
      </c>
      <c r="S155" t="inlineStr">
        <is>
          <t>N</t>
        </is>
      </c>
      <c r="T155" t="inlineStr"/>
      <c r="U155" t="inlineStr"/>
      <c r="V155" s="3" t="inlineStr">
        <is>
          <t>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is>
      </c>
      <c r="W155" t="inlineStr">
        <is>
          <t>2026-10-23</t>
        </is>
      </c>
      <c r="X155" t="inlineStr">
        <is>
          <t>unknown</t>
        </is>
      </c>
      <c r="Y155" t="inlineStr">
        <is>
          <t>unknown</t>
        </is>
      </c>
      <c r="Z155" t="inlineStr"/>
      <c r="AA155" t="inlineStr"/>
      <c r="AB155" t="inlineStr">
        <is>
          <t>no-count</t>
        </is>
      </c>
      <c r="AC155" t="inlineStr"/>
      <c r="AD155" t="inlineStr"/>
      <c r="AE155" t="inlineStr"/>
      <c r="AF155" t="inlineStr">
        <is>
          <t>unknown</t>
        </is>
      </c>
      <c r="AG155" t="inlineStr"/>
      <c r="AH155" t="inlineStr">
        <is>
          <t>security desk</t>
        </is>
      </c>
      <c r="AI155" t="inlineStr">
        <is>
          <t>candidate</t>
        </is>
      </c>
      <c r="AJ155" t="inlineStr">
        <is>
          <t>occupancy-unconfirmed</t>
        </is>
      </c>
      <c r="AK155" t="inlineStr"/>
      <c r="AL155" t="inlineStr"/>
      <c r="AM155" s="3" t="inlineStr">
        <is>
          <t>No opened source gives a count: no Built In profile with a total, the company site publishes none, and LinkedIn was off-limits. Founder to confirm at intake.</t>
        </is>
      </c>
      <c r="AN155" t="inlineStr">
        <is>
          <t>leasing-press</t>
        </is>
      </c>
      <c r="AO155" t="inlineStr"/>
      <c r="AP155" t="inlineStr">
        <is>
          <t>no-coworking-in-building</t>
        </is>
      </c>
      <c r="AQ155" t="inlineStr">
        <is>
          <t>1008580078</t>
        </is>
      </c>
      <c r="AR155" t="n">
        <v>0</v>
      </c>
      <c r="AS155" t="inlineStr">
        <is>
          <t>6,290 sf</t>
        </is>
      </c>
      <c r="AT155" t="inlineStr">
        <is>
          <t>S4</t>
        </is>
      </c>
    </row>
    <row r="156">
      <c r="A156" t="inlineStr">
        <is>
          <t>B-C-165</t>
        </is>
      </c>
      <c r="B156" t="inlineStr">
        <is>
          <t>FCA (architecture and design)</t>
        </is>
      </c>
      <c r="C156" s="2" t="inlineStr">
        <is>
          <t>https://www.fcarchitects.com</t>
        </is>
      </c>
      <c r="D156" t="inlineStr">
        <is>
          <t>architecture and interior design</t>
        </is>
      </c>
      <c r="E156" t="inlineStr">
        <is>
          <t>B-B-077</t>
        </is>
      </c>
      <c r="F156" t="inlineStr">
        <is>
          <t>261 Fifth Avenue</t>
        </is>
      </c>
      <c r="G156" t="inlineStr">
        <is>
          <t>4 (Suite 408)</t>
        </is>
      </c>
      <c r="H156" t="inlineStr">
        <is>
          <t>10016</t>
        </is>
      </c>
      <c r="I156" t="n">
        <v>40.745027</v>
      </c>
      <c r="J156" t="n">
        <v>-73.986825</v>
      </c>
      <c r="K156" t="inlineStr">
        <is>
          <t>Y</t>
        </is>
      </c>
      <c r="L156" t="inlineStr">
        <is>
          <t>unknown</t>
        </is>
      </c>
      <c r="M156" t="inlineStr">
        <is>
          <t>unknown</t>
        </is>
      </c>
      <c r="N156" t="inlineStr"/>
      <c r="O156" s="2" t="inlineStr">
        <is>
          <t>https://commercialobserver.com/2025/02/fca-lease-261-fifth-avenue/</t>
        </is>
      </c>
      <c r="P156" t="inlineStr">
        <is>
          <t>2025-02-25</t>
        </is>
      </c>
      <c r="Q156" s="2" t="inlineStr">
        <is>
          <t>https://www.fcarchitects.com/contact</t>
        </is>
      </c>
      <c r="R156" t="inlineStr">
        <is>
          <t>high</t>
        </is>
      </c>
      <c r="S156" t="inlineStr">
        <is>
          <t>N</t>
        </is>
      </c>
      <c r="T156" t="inlineStr"/>
      <c r="U156" t="inlineStr"/>
      <c r="V156" s="3" t="inlineStr">
        <is>
          <t>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is>
      </c>
      <c r="W156" t="inlineStr">
        <is>
          <t>2026-10-23</t>
        </is>
      </c>
      <c r="X156" t="inlineStr">
        <is>
          <t>Philadelphia</t>
        </is>
      </c>
      <c r="Y156" t="inlineStr">
        <is>
          <t>N</t>
        </is>
      </c>
      <c r="Z156" t="inlineStr">
        <is>
          <t>row notes</t>
        </is>
      </c>
      <c r="AA156" t="inlineStr"/>
      <c r="AB156" t="inlineStr">
        <is>
          <t>no-count</t>
        </is>
      </c>
      <c r="AC156" t="inlineStr"/>
      <c r="AD156" t="inlineStr"/>
      <c r="AE156" t="inlineStr"/>
      <c r="AF156" t="inlineStr">
        <is>
          <t>unknown</t>
        </is>
      </c>
      <c r="AG156" t="inlineStr"/>
      <c r="AH156" t="inlineStr">
        <is>
          <t>security desk</t>
        </is>
      </c>
      <c r="AI156" t="inlineStr">
        <is>
          <t>candidate</t>
        </is>
      </c>
      <c r="AJ156" t="inlineStr">
        <is>
          <t>occupied</t>
        </is>
      </c>
      <c r="AK156" t="inlineStr"/>
      <c r="AL156" t="inlineStr"/>
      <c r="AM156" s="3" t="inlineStr">
        <is>
          <t>No opened source gives a count: no Built In profile with a total, the company site publishes none, and LinkedIn was off-limits. Founder to confirm at intake.</t>
        </is>
      </c>
      <c r="AN156" t="inlineStr">
        <is>
          <t>leasing-press</t>
        </is>
      </c>
      <c r="AO156" t="inlineStr">
        <is>
          <t>2026-10-23</t>
        </is>
      </c>
      <c r="AP156" t="inlineStr">
        <is>
          <t>no-coworking-in-building</t>
        </is>
      </c>
      <c r="AQ156" t="inlineStr">
        <is>
          <t>1008580078</t>
        </is>
      </c>
      <c r="AR156" t="n">
        <v>0</v>
      </c>
      <c r="AS156" t="inlineStr">
        <is>
          <t>6,015 sf</t>
        </is>
      </c>
      <c r="AT156" t="inlineStr">
        <is>
          <t>S4</t>
        </is>
      </c>
    </row>
    <row r="157">
      <c r="A157" t="inlineStr">
        <is>
          <t>B-C-168</t>
        </is>
      </c>
      <c r="B157" t="inlineStr">
        <is>
          <t>Mediaplus Group (North America)</t>
        </is>
      </c>
      <c r="C157" t="inlineStr">
        <is>
          <t>unknown</t>
        </is>
      </c>
      <c r="D157" t="inlineStr">
        <is>
          <t>media agency</t>
        </is>
      </c>
      <c r="E157" t="inlineStr">
        <is>
          <t>B-B-079</t>
        </is>
      </c>
      <c r="F157" t="inlineStr">
        <is>
          <t>432 Park Avenue South</t>
        </is>
      </c>
      <c r="G157" t="inlineStr">
        <is>
          <t>11</t>
        </is>
      </c>
      <c r="H157" t="inlineStr">
        <is>
          <t>10016</t>
        </is>
      </c>
      <c r="I157" t="n">
        <v>40.744255</v>
      </c>
      <c r="J157" t="n">
        <v>-73.983762</v>
      </c>
      <c r="K157" t="inlineStr">
        <is>
          <t>Y</t>
        </is>
      </c>
      <c r="L157" t="inlineStr">
        <is>
          <t>unknown</t>
        </is>
      </c>
      <c r="M157" t="inlineStr">
        <is>
          <t>unknown</t>
        </is>
      </c>
      <c r="N157" t="inlineStr"/>
      <c r="O157" s="2" t="inlineStr">
        <is>
          <t>https://commercialobserver.com/2026/06/mediaplus-group-lease-432-park-avenue-south/</t>
        </is>
      </c>
      <c r="P157" t="inlineStr">
        <is>
          <t>2026-06-08</t>
        </is>
      </c>
      <c r="Q157" t="inlineStr"/>
      <c r="R157" t="inlineStr">
        <is>
          <t>medium</t>
        </is>
      </c>
      <c r="S157" t="inlineStr">
        <is>
          <t>N</t>
        </is>
      </c>
      <c r="T157" t="inlineStr"/>
      <c r="U157" t="inlineStr"/>
      <c r="V157" s="3" t="inlineStr">
        <is>
          <t>10-year 9,800 SF lease, full 11th floor, turnkey; relocating and doubling from 490 Broadway. Media arm of Serviceplan Group. Move date not stated. Headcount not found.</t>
        </is>
      </c>
      <c r="W157" t="inlineStr">
        <is>
          <t>2026-10-23</t>
        </is>
      </c>
      <c r="X157" t="inlineStr">
        <is>
          <t>unknown</t>
        </is>
      </c>
      <c r="Y157" t="inlineStr">
        <is>
          <t>unknown</t>
        </is>
      </c>
      <c r="Z157" t="inlineStr"/>
      <c r="AA157" t="inlineStr"/>
      <c r="AB157" t="inlineStr">
        <is>
          <t>no-count</t>
        </is>
      </c>
      <c r="AC157" t="inlineStr"/>
      <c r="AD157" t="inlineStr"/>
      <c r="AE157" t="inlineStr"/>
      <c r="AF157" t="inlineStr">
        <is>
          <t>unknown</t>
        </is>
      </c>
      <c r="AG157" t="inlineStr"/>
      <c r="AH157" t="inlineStr">
        <is>
          <t>unknown</t>
        </is>
      </c>
      <c r="AI157" t="inlineStr">
        <is>
          <t>candidate</t>
        </is>
      </c>
      <c r="AJ157" t="inlineStr">
        <is>
          <t>signed-not-occupied</t>
        </is>
      </c>
      <c r="AK157" t="inlineStr">
        <is>
          <t>unknown</t>
        </is>
      </c>
      <c r="AL157" t="inlineStr"/>
      <c r="AM157" s="3" t="inlineStr">
        <is>
          <t>No opened source gives a count: no Built In profile with a total, the company site publishes none, and LinkedIn was off-limits. Founder to confirm at intake.</t>
        </is>
      </c>
      <c r="AN157" t="inlineStr">
        <is>
          <t>leasing-press</t>
        </is>
      </c>
      <c r="AO157" t="inlineStr"/>
      <c r="AP157" t="inlineStr">
        <is>
          <t>no-coworking-in-building</t>
        </is>
      </c>
      <c r="AQ157" t="inlineStr">
        <is>
          <t>1008590039</t>
        </is>
      </c>
      <c r="AR157" t="n">
        <v>0</v>
      </c>
      <c r="AS157" t="inlineStr">
        <is>
          <t>9,800 sf</t>
        </is>
      </c>
      <c r="AT157" t="inlineStr">
        <is>
          <t>S4</t>
        </is>
      </c>
    </row>
    <row r="158">
      <c r="A158" t="inlineStr">
        <is>
          <t>B-C-169</t>
        </is>
      </c>
      <c r="B158" t="inlineStr">
        <is>
          <t>Pumpkin Pet Insurance</t>
        </is>
      </c>
      <c r="C158" s="2" t="inlineStr">
        <is>
          <t>https://www.pumpkin.care</t>
        </is>
      </c>
      <c r="D158" t="inlineStr">
        <is>
          <t>insurtech (pet insurance)</t>
        </is>
      </c>
      <c r="E158" t="inlineStr">
        <is>
          <t>B-B-079</t>
        </is>
      </c>
      <c r="F158" t="inlineStr">
        <is>
          <t>432 Park Avenue South</t>
        </is>
      </c>
      <c r="G158" t="inlineStr">
        <is>
          <t>unknown</t>
        </is>
      </c>
      <c r="H158" t="inlineStr">
        <is>
          <t>10016</t>
        </is>
      </c>
      <c r="I158" t="n">
        <v>40.744255</v>
      </c>
      <c r="J158" t="n">
        <v>-73.983762</v>
      </c>
      <c r="K158" t="inlineStr">
        <is>
          <t>Y</t>
        </is>
      </c>
      <c r="L158" t="inlineStr">
        <is>
          <t>151-250</t>
        </is>
      </c>
      <c r="M158" t="inlineStr">
        <is>
          <t>whole-company</t>
        </is>
      </c>
      <c r="N158" s="2" t="inlineStr">
        <is>
          <t>https://www.builtinnyc.com/company/pumpkin/offices</t>
        </is>
      </c>
      <c r="O158" s="2" t="inlineStr">
        <is>
          <t>https://www.builtinnyc.com/company/pumpkin/offices</t>
        </is>
      </c>
      <c r="P158" t="inlineStr">
        <is>
          <t>2026-10-23</t>
        </is>
      </c>
      <c r="Q158" s="2" t="inlineStr">
        <is>
          <t>https://commercialobserver.com/2023/01/pumpkin-pet-insurance-takes-10k-sf-at-432-park-avenue/</t>
        </is>
      </c>
      <c r="R158" t="inlineStr">
        <is>
          <t>low</t>
        </is>
      </c>
      <c r="S158" t="inlineStr">
        <is>
          <t>N</t>
        </is>
      </c>
      <c r="T158" t="inlineStr"/>
      <c r="U158" t="inlineStr"/>
      <c r="V158" s="3" t="inlineStr">
        <is>
          <t>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is>
      </c>
      <c r="W158" t="inlineStr">
        <is>
          <t>2026-10-23</t>
        </is>
      </c>
      <c r="X158" t="inlineStr">
        <is>
          <t>New York</t>
        </is>
      </c>
      <c r="Y158" t="inlineStr">
        <is>
          <t>Y</t>
        </is>
      </c>
      <c r="Z158" t="inlineStr">
        <is>
          <t>https://www.builtinnyc.com/company/pumpkin/offices</t>
        </is>
      </c>
      <c r="AA158" t="inlineStr">
        <is>
          <t>175</t>
        </is>
      </c>
      <c r="AB158" t="inlineStr">
        <is>
          <t>single-source</t>
        </is>
      </c>
      <c r="AC158" t="inlineStr"/>
      <c r="AD158" t="inlineStr"/>
      <c r="AE158" t="inlineStr"/>
      <c r="AF158" t="inlineStr">
        <is>
          <t>unknown</t>
        </is>
      </c>
      <c r="AG158" t="inlineStr"/>
      <c r="AH158" t="inlineStr">
        <is>
          <t>unknown</t>
        </is>
      </c>
      <c r="AI158" t="inlineStr">
        <is>
          <t>candidate</t>
        </is>
      </c>
      <c r="AJ158" t="inlineStr">
        <is>
          <t>occupancy-unconfirmed</t>
        </is>
      </c>
      <c r="AK158" t="inlineStr"/>
      <c r="AL158" t="inlineStr">
        <is>
          <t>2026-10-23</t>
        </is>
      </c>
      <c r="AM158" s="3" t="inlineStr"/>
      <c r="AN158" t="inlineStr">
        <is>
          <t>builtin</t>
        </is>
      </c>
      <c r="AO158" t="inlineStr">
        <is>
          <t>2023-01-06</t>
        </is>
      </c>
      <c r="AP158" t="inlineStr">
        <is>
          <t>no-coworking-in-building</t>
        </is>
      </c>
      <c r="AQ158" t="inlineStr">
        <is>
          <t>1008590039</t>
        </is>
      </c>
      <c r="AR158" t="n">
        <v>0</v>
      </c>
      <c r="AS158" t="inlineStr">
        <is>
          <t>10,000 sf</t>
        </is>
      </c>
      <c r="AT158" t="inlineStr">
        <is>
          <t>S4</t>
        </is>
      </c>
    </row>
    <row r="159">
      <c r="A159" t="inlineStr">
        <is>
          <t>B-C-166</t>
        </is>
      </c>
      <c r="B159" t="inlineStr">
        <is>
          <t>Atlantic Vantage Point (AVP, formerly AXA Venture Partners)</t>
        </is>
      </c>
      <c r="C159" s="2" t="inlineStr">
        <is>
          <t>https://www.avp.vc</t>
        </is>
      </c>
      <c r="D159" t="inlineStr">
        <is>
          <t>venture capital and growth equity</t>
        </is>
      </c>
      <c r="E159" t="inlineStr">
        <is>
          <t>B-B-078</t>
        </is>
      </c>
      <c r="F159" t="inlineStr">
        <is>
          <t>99 Madison Avenue</t>
        </is>
      </c>
      <c r="G159" t="inlineStr">
        <is>
          <t>unknown</t>
        </is>
      </c>
      <c r="H159" t="inlineStr">
        <is>
          <t>10016</t>
        </is>
      </c>
      <c r="I159" t="n">
        <v>40.744774</v>
      </c>
      <c r="J159" t="n">
        <v>-73.984932</v>
      </c>
      <c r="K159" t="inlineStr">
        <is>
          <t>Y</t>
        </is>
      </c>
      <c r="L159" t="inlineStr">
        <is>
          <t>unknown</t>
        </is>
      </c>
      <c r="M159" t="inlineStr">
        <is>
          <t>unknown</t>
        </is>
      </c>
      <c r="N159" t="inlineStr"/>
      <c r="O159" s="2" t="inlineStr">
        <is>
          <t>https://commercialobserver.com/2025/09/investment-firm-atlantic-vantage-point-takes-8k-sf-at-99-madison-avenue/</t>
        </is>
      </c>
      <c r="P159" t="inlineStr">
        <is>
          <t>2025-09-22</t>
        </is>
      </c>
      <c r="Q159" t="inlineStr"/>
      <c r="R159" t="inlineStr">
        <is>
          <t>medium</t>
        </is>
      </c>
      <c r="S159" t="inlineStr">
        <is>
          <t>N</t>
        </is>
      </c>
      <c r="T159" t="inlineStr"/>
      <c r="U159" t="inlineStr"/>
      <c r="V159" s="3" t="inlineStr">
        <is>
          <t>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is>
      </c>
      <c r="W159" t="inlineStr">
        <is>
          <t>2026-10-23</t>
        </is>
      </c>
      <c r="X159" t="inlineStr">
        <is>
          <t>unknown</t>
        </is>
      </c>
      <c r="Y159" t="inlineStr">
        <is>
          <t>unknown</t>
        </is>
      </c>
      <c r="Z159" t="inlineStr"/>
      <c r="AA159" t="inlineStr"/>
      <c r="AB159" t="inlineStr">
        <is>
          <t>no-count</t>
        </is>
      </c>
      <c r="AC159" t="inlineStr"/>
      <c r="AD159" t="inlineStr"/>
      <c r="AE159" t="inlineStr"/>
      <c r="AF159" t="inlineStr">
        <is>
          <t>unknown</t>
        </is>
      </c>
      <c r="AG159" t="inlineStr"/>
      <c r="AH159" t="inlineStr">
        <is>
          <t>unknown</t>
        </is>
      </c>
      <c r="AI159" t="inlineStr">
        <is>
          <t>candidate</t>
        </is>
      </c>
      <c r="AJ159" t="inlineStr">
        <is>
          <t>occupancy-unconfirmed</t>
        </is>
      </c>
      <c r="AK159" t="inlineStr"/>
      <c r="AL159" t="inlineStr"/>
      <c r="AM159" s="3" t="inlineStr">
        <is>
          <t>No opened source gives a count: no Built In profile with a total, the company site publishes none, and LinkedIn was off-limits. Founder to confirm at intake.</t>
        </is>
      </c>
      <c r="AN159" t="inlineStr">
        <is>
          <t>leasing-press</t>
        </is>
      </c>
      <c r="AO159" t="inlineStr"/>
      <c r="AP159" t="inlineStr">
        <is>
          <t>no-coworking-in-building</t>
        </is>
      </c>
      <c r="AQ159" t="inlineStr">
        <is>
          <t>1008590024</t>
        </is>
      </c>
      <c r="AR159" t="n">
        <v>0</v>
      </c>
      <c r="AS159" t="inlineStr">
        <is>
          <t>8,264 sf</t>
        </is>
      </c>
      <c r="AT159" t="inlineStr">
        <is>
          <t>S4</t>
        </is>
      </c>
    </row>
    <row r="160">
      <c r="A160" t="inlineStr">
        <is>
          <t>B-C-167</t>
        </is>
      </c>
      <c r="B160" t="inlineStr">
        <is>
          <t>Davies Group</t>
        </is>
      </c>
      <c r="C160" t="inlineStr">
        <is>
          <t>unknown</t>
        </is>
      </c>
      <c r="D160" t="inlineStr">
        <is>
          <t>professional services and technology (insurance claims and consulting)</t>
        </is>
      </c>
      <c r="E160" t="inlineStr">
        <is>
          <t>B-B-078</t>
        </is>
      </c>
      <c r="F160" t="inlineStr">
        <is>
          <t>99 Madison Avenue</t>
        </is>
      </c>
      <c r="G160" t="inlineStr">
        <is>
          <t>3</t>
        </is>
      </c>
      <c r="H160" t="inlineStr">
        <is>
          <t>10016</t>
        </is>
      </c>
      <c r="I160" t="n">
        <v>40.744774</v>
      </c>
      <c r="J160" t="n">
        <v>-73.984932</v>
      </c>
      <c r="K160" t="inlineStr">
        <is>
          <t>Y</t>
        </is>
      </c>
      <c r="L160" t="inlineStr">
        <is>
          <t>unknown</t>
        </is>
      </c>
      <c r="M160" t="inlineStr">
        <is>
          <t>unknown</t>
        </is>
      </c>
      <c r="N160" t="inlineStr"/>
      <c r="O160" s="2" t="inlineStr">
        <is>
          <t>https://commercialobserver.com/2025/11/davies-group-lease-99-madison-avenue/</t>
        </is>
      </c>
      <c r="P160" t="inlineStr">
        <is>
          <t>2025-11-04</t>
        </is>
      </c>
      <c r="Q160" t="inlineStr"/>
      <c r="R160" t="inlineStr">
        <is>
          <t>medium</t>
        </is>
      </c>
      <c r="S160" t="inlineStr">
        <is>
          <t>N</t>
        </is>
      </c>
      <c r="T160" t="inlineStr"/>
      <c r="U160" t="inlineStr"/>
      <c r="V160" s="3" t="inlineStr">
        <is>
          <t>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is>
      </c>
      <c r="W160" t="inlineStr">
        <is>
          <t>2026-10-23</t>
        </is>
      </c>
      <c r="X160" t="inlineStr">
        <is>
          <t>unknown</t>
        </is>
      </c>
      <c r="Y160" t="inlineStr">
        <is>
          <t>unknown</t>
        </is>
      </c>
      <c r="Z160" t="inlineStr"/>
      <c r="AA160" t="inlineStr"/>
      <c r="AB160" t="inlineStr">
        <is>
          <t>no-count</t>
        </is>
      </c>
      <c r="AC160" t="inlineStr"/>
      <c r="AD160" t="inlineStr"/>
      <c r="AE160" t="inlineStr"/>
      <c r="AF160" t="inlineStr">
        <is>
          <t>unknown</t>
        </is>
      </c>
      <c r="AG160" t="inlineStr"/>
      <c r="AH160" t="inlineStr">
        <is>
          <t>unknown</t>
        </is>
      </c>
      <c r="AI160" t="inlineStr">
        <is>
          <t>candidate</t>
        </is>
      </c>
      <c r="AJ160" t="inlineStr">
        <is>
          <t>occupancy-unconfirmed</t>
        </is>
      </c>
      <c r="AK160" t="inlineStr"/>
      <c r="AL160" t="inlineStr"/>
      <c r="AM160" s="3" t="inlineStr">
        <is>
          <t>No opened source gives a count: no Built In profile with a total, the company site publishes none, and LinkedIn was off-limits. Founder to confirm at intake.</t>
        </is>
      </c>
      <c r="AN160" t="inlineStr">
        <is>
          <t>leasing-press</t>
        </is>
      </c>
      <c r="AO160" t="inlineStr"/>
      <c r="AP160" t="inlineStr">
        <is>
          <t>no-coworking-in-building</t>
        </is>
      </c>
      <c r="AQ160" t="inlineStr">
        <is>
          <t>1008590024</t>
        </is>
      </c>
      <c r="AR160" t="n">
        <v>0</v>
      </c>
      <c r="AS160" t="inlineStr">
        <is>
          <t>8,264 sf</t>
        </is>
      </c>
      <c r="AT160" t="inlineStr">
        <is>
          <t>S4</t>
        </is>
      </c>
    </row>
    <row r="161">
      <c r="A161" t="inlineStr">
        <is>
          <t>B-C-170</t>
        </is>
      </c>
      <c r="B161" t="inlineStr">
        <is>
          <t>Innovant</t>
        </is>
      </c>
      <c r="C161" s="2" t="inlineStr">
        <is>
          <t>https://innovant.com</t>
        </is>
      </c>
      <c r="D161" t="inlineStr">
        <is>
          <t>office furniture manufacturer (showroom and offices)</t>
        </is>
      </c>
      <c r="E161" t="inlineStr">
        <is>
          <t>B-B-080</t>
        </is>
      </c>
      <c r="F161" t="inlineStr">
        <is>
          <t>440 Park Avenue South</t>
        </is>
      </c>
      <c r="G161" t="inlineStr">
        <is>
          <t>9</t>
        </is>
      </c>
      <c r="H161" t="inlineStr">
        <is>
          <t>10016</t>
        </is>
      </c>
      <c r="I161" t="n">
        <v>40.744442</v>
      </c>
      <c r="J161" t="n">
        <v>-73.983525</v>
      </c>
      <c r="K161" t="inlineStr">
        <is>
          <t>Y</t>
        </is>
      </c>
      <c r="L161" t="inlineStr">
        <is>
          <t>unknown</t>
        </is>
      </c>
      <c r="M161" t="inlineStr">
        <is>
          <t>unknown</t>
        </is>
      </c>
      <c r="N161" t="inlineStr"/>
      <c r="O161" s="2" t="inlineStr">
        <is>
          <t>https://commercialobserver.com/2023/06/innovant-440-park-avenue-south-nomad/</t>
        </is>
      </c>
      <c r="P161" t="inlineStr">
        <is>
          <t>2023-06-23</t>
        </is>
      </c>
      <c r="Q161" s="2" t="inlineStr">
        <is>
          <t>https://innovant.com/contact-us/</t>
        </is>
      </c>
      <c r="R161" t="inlineStr">
        <is>
          <t>high</t>
        </is>
      </c>
      <c r="S161" t="inlineStr">
        <is>
          <t>N</t>
        </is>
      </c>
      <c r="T161" t="inlineStr"/>
      <c r="U161" t="inlineStr"/>
      <c r="V161" s="3" t="inlineStr">
        <is>
          <t>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is>
      </c>
      <c r="W161" t="inlineStr">
        <is>
          <t>2026-10-23</t>
        </is>
      </c>
      <c r="X161" t="inlineStr">
        <is>
          <t>unknown</t>
        </is>
      </c>
      <c r="Y161" t="inlineStr">
        <is>
          <t>unknown</t>
        </is>
      </c>
      <c r="Z161" t="inlineStr"/>
      <c r="AA161" t="inlineStr"/>
      <c r="AB161" t="inlineStr">
        <is>
          <t>no-count</t>
        </is>
      </c>
      <c r="AC161" t="inlineStr"/>
      <c r="AD161" t="inlineStr"/>
      <c r="AE161" t="inlineStr"/>
      <c r="AF161" t="inlineStr">
        <is>
          <t>unknown</t>
        </is>
      </c>
      <c r="AG161" t="inlineStr"/>
      <c r="AH161" t="inlineStr">
        <is>
          <t>unknown</t>
        </is>
      </c>
      <c r="AI161" t="inlineStr">
        <is>
          <t>candidate</t>
        </is>
      </c>
      <c r="AJ161" t="inlineStr">
        <is>
          <t>occupied</t>
        </is>
      </c>
      <c r="AK161" t="inlineStr"/>
      <c r="AL161" t="inlineStr"/>
      <c r="AM161" s="3" t="inlineStr">
        <is>
          <t>No opened source gives a count: no Built In profile with a total, the company site publishes none, and LinkedIn was off-limits. Founder to confirm at intake.</t>
        </is>
      </c>
      <c r="AN161" t="inlineStr">
        <is>
          <t>leasing-press</t>
        </is>
      </c>
      <c r="AO161" t="inlineStr">
        <is>
          <t>2026-10-23</t>
        </is>
      </c>
      <c r="AP161" t="inlineStr">
        <is>
          <t>no-coworking-in-building</t>
        </is>
      </c>
      <c r="AQ161" t="inlineStr">
        <is>
          <t>1008590048</t>
        </is>
      </c>
      <c r="AR161" t="n">
        <v>0</v>
      </c>
      <c r="AS161" t="inlineStr">
        <is>
          <t>11,120 sf</t>
        </is>
      </c>
      <c r="AT161" t="inlineStr">
        <is>
          <t>S4</t>
        </is>
      </c>
    </row>
    <row r="162">
      <c r="A162" t="inlineStr">
        <is>
          <t>B-C-171</t>
        </is>
      </c>
      <c r="B162" t="inlineStr">
        <is>
          <t>Signal AI</t>
        </is>
      </c>
      <c r="C162" s="2" t="inlineStr">
        <is>
          <t>https://www.signal-ai.com</t>
        </is>
      </c>
      <c r="D162" t="inlineStr">
        <is>
          <t>software (AI risk and reputation intelligence)</t>
        </is>
      </c>
      <c r="E162" t="inlineStr">
        <is>
          <t>B-B-080</t>
        </is>
      </c>
      <c r="F162" t="inlineStr">
        <is>
          <t>440 Park Avenue South</t>
        </is>
      </c>
      <c r="G162" t="inlineStr">
        <is>
          <t>14</t>
        </is>
      </c>
      <c r="H162" t="inlineStr">
        <is>
          <t>10016</t>
        </is>
      </c>
      <c r="I162" t="n">
        <v>40.744442</v>
      </c>
      <c r="J162" t="n">
        <v>-73.983525</v>
      </c>
      <c r="K162" t="inlineStr">
        <is>
          <t>Y</t>
        </is>
      </c>
      <c r="L162" t="inlineStr">
        <is>
          <t>151-250</t>
        </is>
      </c>
      <c r="M162" t="inlineStr">
        <is>
          <t>whole-company</t>
        </is>
      </c>
      <c r="N162" s="2" t="inlineStr">
        <is>
          <t>https://www.builtinnyc.com/company/signal-ai/offices</t>
        </is>
      </c>
      <c r="O162" s="2" t="inlineStr">
        <is>
          <t>https://www.signal-ai.com/</t>
        </is>
      </c>
      <c r="P162" t="inlineStr">
        <is>
          <t>2026-10-24</t>
        </is>
      </c>
      <c r="Q162" s="2" t="inlineStr">
        <is>
          <t>https://www.builtinnyc.com/company/signal-ai/offices</t>
        </is>
      </c>
      <c r="R162" t="inlineStr">
        <is>
          <t>high</t>
        </is>
      </c>
      <c r="S162" t="inlineStr">
        <is>
          <t>N</t>
        </is>
      </c>
      <c r="T162" t="inlineStr"/>
      <c r="U162" t="inlineStr"/>
      <c r="V162" s="3" t="inlineStr">
        <is>
          <t>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2: corner lot: the lot-centroid pin sat 23 m from E 30 ST but 24 m from PARK AVE S, so it was moved to the PARK AVE S frontage near the corner (13 m from the PARK AVE S centreline, 27 m from E 30 ST; 12 m from the old pin). Tax lot unchanged.</t>
        </is>
      </c>
      <c r="W162" t="inlineStr">
        <is>
          <t>2026-10-23</t>
        </is>
      </c>
      <c r="X162" t="inlineStr">
        <is>
          <t>London</t>
        </is>
      </c>
      <c r="Y162" t="inlineStr">
        <is>
          <t>N</t>
        </is>
      </c>
      <c r="Z162" t="inlineStr">
        <is>
          <t>https://www.signal-ai.com/</t>
        </is>
      </c>
      <c r="AA162" t="inlineStr">
        <is>
          <t>226</t>
        </is>
      </c>
      <c r="AB162" t="inlineStr">
        <is>
          <t>single-source</t>
        </is>
      </c>
      <c r="AC162" t="inlineStr"/>
      <c r="AD162" t="inlineStr"/>
      <c r="AE162" t="inlineStr"/>
      <c r="AF162" t="inlineStr">
        <is>
          <t>unknown</t>
        </is>
      </c>
      <c r="AG162" t="inlineStr"/>
      <c r="AH162" t="inlineStr">
        <is>
          <t>unknown</t>
        </is>
      </c>
      <c r="AI162" t="inlineStr">
        <is>
          <t>candidate</t>
        </is>
      </c>
      <c r="AJ162" t="inlineStr">
        <is>
          <t>occupied</t>
        </is>
      </c>
      <c r="AK162" t="inlineStr"/>
      <c r="AL162" t="inlineStr">
        <is>
          <t>2026-10-23</t>
        </is>
      </c>
      <c r="AM162" s="3" t="inlineStr"/>
      <c r="AN162" t="inlineStr">
        <is>
          <t>company-site</t>
        </is>
      </c>
      <c r="AO162" t="inlineStr">
        <is>
          <t>2026-10-23</t>
        </is>
      </c>
      <c r="AP162" t="inlineStr">
        <is>
          <t>no-coworking-in-building</t>
        </is>
      </c>
      <c r="AQ162" t="inlineStr">
        <is>
          <t>1008590048</t>
        </is>
      </c>
      <c r="AR162" t="n">
        <v>0</v>
      </c>
      <c r="AS162" t="inlineStr">
        <is>
          <t>11,140 sf</t>
        </is>
      </c>
      <c r="AT162" t="inlineStr">
        <is>
          <t>S4</t>
        </is>
      </c>
    </row>
    <row r="163">
      <c r="A163" t="inlineStr">
        <is>
          <t>B-C-172</t>
        </is>
      </c>
      <c r="B163" t="inlineStr">
        <is>
          <t>Agentio</t>
        </is>
      </c>
      <c r="C163" t="inlineStr">
        <is>
          <t>unknown</t>
        </is>
      </c>
      <c r="D163" t="inlineStr">
        <is>
          <t>adtech (AI creator advertising)</t>
        </is>
      </c>
      <c r="E163" t="inlineStr">
        <is>
          <t>B-B-082</t>
        </is>
      </c>
      <c r="F163" t="inlineStr">
        <is>
          <t>295 Fifth Avenue</t>
        </is>
      </c>
      <c r="G163" t="inlineStr">
        <is>
          <t>11 (part)</t>
        </is>
      </c>
      <c r="H163" t="inlineStr">
        <is>
          <t>10016</t>
        </is>
      </c>
      <c r="I163" t="n">
        <v>40.746186</v>
      </c>
      <c r="J163" t="n">
        <v>-73.985981</v>
      </c>
      <c r="K163" t="inlineStr">
        <is>
          <t>Y</t>
        </is>
      </c>
      <c r="L163" t="inlineStr">
        <is>
          <t>40-75</t>
        </is>
      </c>
      <c r="M163" t="inlineStr">
        <is>
          <t>whole-company</t>
        </is>
      </c>
      <c r="N163" s="2" t="inlineStr">
        <is>
          <t>https://www.builtinnyc.com/company/agentio/offices</t>
        </is>
      </c>
      <c r="O163" s="2" t="inlineStr">
        <is>
          <t>https://commercialobserver.com/2026/03/agentio-lease-295-fifth-avenue/</t>
        </is>
      </c>
      <c r="P163" t="inlineStr">
        <is>
          <t>2026-03-31</t>
        </is>
      </c>
      <c r="Q163" s="2" t="inlineStr">
        <is>
          <t>https://www.builtinnyc.com/company/agentio/offices</t>
        </is>
      </c>
      <c r="R163" t="inlineStr">
        <is>
          <t>medium</t>
        </is>
      </c>
      <c r="S163" t="inlineStr">
        <is>
          <t>N</t>
        </is>
      </c>
      <c r="T163" t="inlineStr"/>
      <c r="U163" t="inlineStr"/>
      <c r="V163" s="3" t="inlineStr">
        <is>
          <t>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is>
      </c>
      <c r="W163" t="inlineStr">
        <is>
          <t>2026-10-23</t>
        </is>
      </c>
      <c r="X163" t="inlineStr">
        <is>
          <t>New York</t>
        </is>
      </c>
      <c r="Y163" t="inlineStr">
        <is>
          <t>Y</t>
        </is>
      </c>
      <c r="Z163" t="inlineStr">
        <is>
          <t>https://www.builtinnyc.com/company/agentio/offices</t>
        </is>
      </c>
      <c r="AA163" t="inlineStr">
        <is>
          <t>65</t>
        </is>
      </c>
      <c r="AB163" t="inlineStr">
        <is>
          <t>agree</t>
        </is>
      </c>
      <c r="AC163" t="inlineStr">
        <is>
          <t>71</t>
        </is>
      </c>
      <c r="AD163" t="inlineStr">
        <is>
          <t>https://www.reveliolabs.com/companies/agentio/employees</t>
        </is>
      </c>
      <c r="AE163" t="inlineStr">
        <is>
          <t>2026-08-31</t>
        </is>
      </c>
      <c r="AF163" t="inlineStr">
        <is>
          <t>unknown</t>
        </is>
      </c>
      <c r="AG163" t="inlineStr"/>
      <c r="AH163" t="inlineStr">
        <is>
          <t>unknown</t>
        </is>
      </c>
      <c r="AI163" t="inlineStr">
        <is>
          <t>candidate</t>
        </is>
      </c>
      <c r="AJ163" t="inlineStr">
        <is>
          <t>occupancy-unconfirmed</t>
        </is>
      </c>
      <c r="AK163" t="inlineStr"/>
      <c r="AL163" t="inlineStr">
        <is>
          <t>2026-10-23</t>
        </is>
      </c>
      <c r="AM163" s="3" t="inlineStr"/>
      <c r="AN163" t="inlineStr">
        <is>
          <t>leasing-press</t>
        </is>
      </c>
      <c r="AO163" t="inlineStr">
        <is>
          <t>2026-10-23</t>
        </is>
      </c>
      <c r="AP163" t="inlineStr">
        <is>
          <t>no-coworking-in-building</t>
        </is>
      </c>
      <c r="AQ163" t="inlineStr">
        <is>
          <t>1008600001</t>
        </is>
      </c>
      <c r="AR163" t="n">
        <v>0</v>
      </c>
      <c r="AS163" t="inlineStr">
        <is>
          <t>20,000 sf</t>
        </is>
      </c>
      <c r="AT163" t="inlineStr">
        <is>
          <t>S4</t>
        </is>
      </c>
    </row>
    <row r="164">
      <c r="A164" t="inlineStr">
        <is>
          <t>B-C-173</t>
        </is>
      </c>
      <c r="B164" t="inlineStr">
        <is>
          <t>Pilot Fiber</t>
        </is>
      </c>
      <c r="C164" s="2" t="inlineStr">
        <is>
          <t>https://www.pilotfiber.com/</t>
        </is>
      </c>
      <c r="D164" t="inlineStr">
        <is>
          <t>Telecom / fiber internet provider</t>
        </is>
      </c>
      <c r="E164" t="inlineStr">
        <is>
          <t>B-B-056</t>
        </is>
      </c>
      <c r="F164" t="inlineStr">
        <is>
          <t>1115 Broadway</t>
        </is>
      </c>
      <c r="G164" t="inlineStr">
        <is>
          <t>12</t>
        </is>
      </c>
      <c r="H164" t="inlineStr">
        <is>
          <t>10010</t>
        </is>
      </c>
      <c r="I164" t="n">
        <v>40.74285</v>
      </c>
      <c r="J164" t="n">
        <v>-73.98934800000001</v>
      </c>
      <c r="K164" t="inlineStr">
        <is>
          <t>Y</t>
        </is>
      </c>
      <c r="L164" t="inlineStr">
        <is>
          <t>unknown</t>
        </is>
      </c>
      <c r="M164" t="inlineStr">
        <is>
          <t>unknown</t>
        </is>
      </c>
      <c r="N164" t="inlineStr"/>
      <c r="O164" s="2" t="inlineStr">
        <is>
          <t>https://www.pilotfiber.com/legal</t>
        </is>
      </c>
      <c r="P164" t="inlineStr">
        <is>
          <t>2026-10-23</t>
        </is>
      </c>
      <c r="Q164" s="2" t="inlineStr">
        <is>
          <t>https://commercialobserver.com/2026/01/purple-lease-16-madison-square-west/</t>
        </is>
      </c>
      <c r="R164" t="inlineStr">
        <is>
          <t>high</t>
        </is>
      </c>
      <c r="S164" t="inlineStr">
        <is>
          <t>Y</t>
        </is>
      </c>
      <c r="T164" t="inlineStr">
        <is>
          <t>B-W-011</t>
        </is>
      </c>
      <c r="U164" t="inlineStr"/>
      <c r="V164" s="3" t="inlineStr">
        <is>
          <t>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t>
        </is>
      </c>
      <c r="W164" t="inlineStr">
        <is>
          <t>2026-10-23</t>
        </is>
      </c>
      <c r="X164" t="inlineStr">
        <is>
          <t>unknown</t>
        </is>
      </c>
      <c r="Y164" t="inlineStr">
        <is>
          <t>unknown</t>
        </is>
      </c>
      <c r="Z164" t="inlineStr"/>
      <c r="AA164" t="inlineStr"/>
      <c r="AB164" t="inlineStr">
        <is>
          <t>no-count</t>
        </is>
      </c>
      <c r="AC164" t="inlineStr"/>
      <c r="AD164" t="inlineStr"/>
      <c r="AE164" t="inlineStr"/>
      <c r="AF164" t="inlineStr">
        <is>
          <t>unknown</t>
        </is>
      </c>
      <c r="AG164" t="inlineStr"/>
      <c r="AH164" t="inlineStr">
        <is>
          <t>security desk</t>
        </is>
      </c>
      <c r="AI164" t="inlineStr">
        <is>
          <t>excluded-coworking</t>
        </is>
      </c>
      <c r="AJ164" t="inlineStr">
        <is>
          <t>occupied</t>
        </is>
      </c>
      <c r="AK164" t="inlineStr"/>
      <c r="AL164" t="inlineStr"/>
      <c r="AM164" s="3" t="inlineStr">
        <is>
          <t>No opened source gives a count: no Built In profile with a total, the company site publishes none, and LinkedIn was off-limits. Founder to confirm at intake.</t>
        </is>
      </c>
      <c r="AN164" t="inlineStr">
        <is>
          <t>company-site</t>
        </is>
      </c>
      <c r="AO164" t="inlineStr">
        <is>
          <t>2026-01-08</t>
        </is>
      </c>
      <c r="AP164" t="inlineStr">
        <is>
          <t>same-floor</t>
        </is>
      </c>
      <c r="AQ164" t="inlineStr">
        <is>
          <t>1008260046</t>
        </is>
      </c>
      <c r="AR164" t="n">
        <v>0</v>
      </c>
      <c r="AS164" t="inlineStr"/>
      <c r="AT164" t="inlineStr">
        <is>
          <t>S3</t>
        </is>
      </c>
    </row>
    <row r="165">
      <c r="A165" t="inlineStr">
        <is>
          <t>B-C-174</t>
        </is>
      </c>
      <c r="B165" t="inlineStr">
        <is>
          <t>Deerfield Management</t>
        </is>
      </c>
      <c r="C165" s="2" t="inlineStr">
        <is>
          <t>https://www.deerfield.com/</t>
        </is>
      </c>
      <c r="D165" t="inlineStr">
        <is>
          <t>Healthcare investment firm</t>
        </is>
      </c>
      <c r="E165" t="inlineStr">
        <is>
          <t>B-B-058</t>
        </is>
      </c>
      <c r="F165" t="inlineStr">
        <is>
          <t>345 Park Avenue South</t>
        </is>
      </c>
      <c r="G165" t="inlineStr">
        <is>
          <t>unknown</t>
        </is>
      </c>
      <c r="H165" t="inlineStr">
        <is>
          <t>10010</t>
        </is>
      </c>
      <c r="I165" t="n">
        <v>40.741737</v>
      </c>
      <c r="J165" t="n">
        <v>-73.98485599999999</v>
      </c>
      <c r="K165" t="inlineStr">
        <is>
          <t>Y</t>
        </is>
      </c>
      <c r="L165" t="inlineStr">
        <is>
          <t>151-250</t>
        </is>
      </c>
      <c r="M165" t="inlineStr">
        <is>
          <t>whole-company</t>
        </is>
      </c>
      <c r="N165" s="2" t="inlineStr">
        <is>
          <t>https://en.wikipedia.org/wiki/Deerfield_Management</t>
        </is>
      </c>
      <c r="O165" s="2" t="inlineStr">
        <is>
          <t>https://www.deerfield.com/contact</t>
        </is>
      </c>
      <c r="P165" t="inlineStr">
        <is>
          <t>2026-10-24</t>
        </is>
      </c>
      <c r="Q165" s="2" t="inlineStr">
        <is>
          <t>https://en.wikipedia.org/wiki/Deerfield_Management</t>
        </is>
      </c>
      <c r="R165" t="inlineStr">
        <is>
          <t>high</t>
        </is>
      </c>
      <c r="S165" t="inlineStr">
        <is>
          <t>Y</t>
        </is>
      </c>
      <c r="T165" t="inlineStr">
        <is>
          <t>B-W-013</t>
        </is>
      </c>
      <c r="U165" t="inlineStr"/>
      <c r="V165" s="3" t="inlineStr">
        <is>
          <t>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is>
      </c>
      <c r="W165" t="inlineStr">
        <is>
          <t>2026-10-23</t>
        </is>
      </c>
      <c r="X165" t="inlineStr">
        <is>
          <t>unknown</t>
        </is>
      </c>
      <c r="Y165" t="inlineStr">
        <is>
          <t>unknown</t>
        </is>
      </c>
      <c r="Z165" t="inlineStr"/>
      <c r="AA165" t="inlineStr">
        <is>
          <t>175</t>
        </is>
      </c>
      <c r="AB165" t="inlineStr">
        <is>
          <t>single-source</t>
        </is>
      </c>
      <c r="AC165" t="inlineStr"/>
      <c r="AD165" t="inlineStr"/>
      <c r="AE165" t="inlineStr"/>
      <c r="AF165" t="inlineStr">
        <is>
          <t>unknown</t>
        </is>
      </c>
      <c r="AG165" t="inlineStr"/>
      <c r="AH165" t="inlineStr">
        <is>
          <t>unknown</t>
        </is>
      </c>
      <c r="AI165" t="inlineStr">
        <is>
          <t>excluded-coworking</t>
        </is>
      </c>
      <c r="AJ165" t="inlineStr">
        <is>
          <t>occupied</t>
        </is>
      </c>
      <c r="AK165" t="inlineStr"/>
      <c r="AL165" t="inlineStr">
        <is>
          <t>2023-03</t>
        </is>
      </c>
      <c r="AM165" s="3" t="inlineStr"/>
      <c r="AN165" t="inlineStr">
        <is>
          <t>company-site</t>
        </is>
      </c>
      <c r="AO165" t="inlineStr">
        <is>
          <t>2026-10-24</t>
        </is>
      </c>
      <c r="AP165" t="inlineStr">
        <is>
          <t>listed-as-resident</t>
        </is>
      </c>
      <c r="AQ165" t="inlineStr">
        <is>
          <t>1008810001</t>
        </is>
      </c>
      <c r="AR165" t="n">
        <v>0</v>
      </c>
      <c r="AS165" t="inlineStr"/>
      <c r="AT165" t="inlineStr">
        <is>
          <t>S3</t>
        </is>
      </c>
    </row>
    <row r="166">
      <c r="A166" t="inlineStr">
        <is>
          <t>B-C-175</t>
        </is>
      </c>
      <c r="B166" t="inlineStr">
        <is>
          <t>Insilico Medicine</t>
        </is>
      </c>
      <c r="C166" s="2" t="inlineStr">
        <is>
          <t>https://insilico.com/</t>
        </is>
      </c>
      <c r="D166" t="inlineStr">
        <is>
          <t>Biotech / AI drug discovery</t>
        </is>
      </c>
      <c r="E166" t="inlineStr">
        <is>
          <t>B-B-058</t>
        </is>
      </c>
      <c r="F166" t="inlineStr">
        <is>
          <t>345 Park Avenue South</t>
        </is>
      </c>
      <c r="G166" t="inlineStr">
        <is>
          <t>unknown</t>
        </is>
      </c>
      <c r="H166" t="inlineStr">
        <is>
          <t>10010</t>
        </is>
      </c>
      <c r="I166" t="n">
        <v>40.741737</v>
      </c>
      <c r="J166" t="n">
        <v>-73.98485599999999</v>
      </c>
      <c r="K166" t="inlineStr">
        <is>
          <t>Y</t>
        </is>
      </c>
      <c r="L166" t="inlineStr">
        <is>
          <t>76-150</t>
        </is>
      </c>
      <c r="M166" t="inlineStr">
        <is>
          <t>whole-company</t>
        </is>
      </c>
      <c r="N166" s="2" t="inlineStr">
        <is>
          <t>https://www.builtinnyc.com/company/insilico-medicine/offices</t>
        </is>
      </c>
      <c r="O166" s="2" t="inlineStr">
        <is>
          <t>https://wewillcure.com/community/residents</t>
        </is>
      </c>
      <c r="P166" t="inlineStr">
        <is>
          <t>2026-10-24</t>
        </is>
      </c>
      <c r="Q166" t="inlineStr"/>
      <c r="R166" t="inlineStr">
        <is>
          <t>medium</t>
        </is>
      </c>
      <c r="S166" t="inlineStr">
        <is>
          <t>Y</t>
        </is>
      </c>
      <c r="T166" t="inlineStr">
        <is>
          <t>B-W-013</t>
        </is>
      </c>
      <c r="U166" t="inlineStr"/>
      <c r="V166" s="3" t="inlineStr">
        <is>
          <t>Cure resident page (live): testimonial says Cure 'has since become our NYC headquarters'. Built In: 115 total employees (no office address shown). In coworking (Cure), so excluded later.</t>
        </is>
      </c>
      <c r="W166" t="inlineStr">
        <is>
          <t>2026-10-23</t>
        </is>
      </c>
      <c r="X166" t="inlineStr">
        <is>
          <t>unknown</t>
        </is>
      </c>
      <c r="Y166" t="inlineStr">
        <is>
          <t>unknown</t>
        </is>
      </c>
      <c r="Z166" t="inlineStr">
        <is>
          <t>https://www.builtinnyc.com/company/insilico-medicine/offices</t>
        </is>
      </c>
      <c r="AA166" t="inlineStr">
        <is>
          <t>115</t>
        </is>
      </c>
      <c r="AB166" t="inlineStr">
        <is>
          <t>single-source</t>
        </is>
      </c>
      <c r="AC166" t="inlineStr"/>
      <c r="AD166" t="inlineStr"/>
      <c r="AE166" t="inlineStr"/>
      <c r="AF166" t="inlineStr">
        <is>
          <t>unknown</t>
        </is>
      </c>
      <c r="AG166" t="inlineStr"/>
      <c r="AH166" t="inlineStr">
        <is>
          <t>unknown</t>
        </is>
      </c>
      <c r="AI166" t="inlineStr">
        <is>
          <t>excluded-coworking</t>
        </is>
      </c>
      <c r="AJ166" t="inlineStr">
        <is>
          <t>occupied</t>
        </is>
      </c>
      <c r="AK166" t="inlineStr"/>
      <c r="AL166" t="inlineStr">
        <is>
          <t>2026-10-24</t>
        </is>
      </c>
      <c r="AM166" s="3" t="inlineStr"/>
      <c r="AN166" t="inlineStr">
        <is>
          <t>building-site</t>
        </is>
      </c>
      <c r="AO166" t="inlineStr"/>
      <c r="AP166" t="inlineStr">
        <is>
          <t>listed-as-resident</t>
        </is>
      </c>
      <c r="AQ166" t="inlineStr">
        <is>
          <t>1008810001</t>
        </is>
      </c>
      <c r="AR166" t="n">
        <v>0</v>
      </c>
      <c r="AS166" t="inlineStr"/>
      <c r="AT166" t="inlineStr">
        <is>
          <t>S3</t>
        </is>
      </c>
    </row>
    <row r="167">
      <c r="A167" t="inlineStr">
        <is>
          <t>B-C-176</t>
        </is>
      </c>
      <c r="B167" t="inlineStr">
        <is>
          <t>Lexeo Therapeutics</t>
        </is>
      </c>
      <c r="C167" s="2" t="inlineStr">
        <is>
          <t>https://www.lexeotx.com/</t>
        </is>
      </c>
      <c r="D167" t="inlineStr">
        <is>
          <t>Biotech (gene therapy)</t>
        </is>
      </c>
      <c r="E167" t="inlineStr">
        <is>
          <t>B-B-058</t>
        </is>
      </c>
      <c r="F167" t="inlineStr">
        <is>
          <t>345 Park Avenue South</t>
        </is>
      </c>
      <c r="G167" t="inlineStr">
        <is>
          <t>6</t>
        </is>
      </c>
      <c r="H167" t="inlineStr">
        <is>
          <t>10010</t>
        </is>
      </c>
      <c r="I167" t="n">
        <v>40.741737</v>
      </c>
      <c r="J167" t="n">
        <v>-73.98485599999999</v>
      </c>
      <c r="K167" t="inlineStr">
        <is>
          <t>Y</t>
        </is>
      </c>
      <c r="L167" t="inlineStr">
        <is>
          <t>40-75</t>
        </is>
      </c>
      <c r="M167" t="inlineStr">
        <is>
          <t>whole-company</t>
        </is>
      </c>
      <c r="N167" s="2" t="inlineStr">
        <is>
          <t>https://www.builtinnyc.com/company/lexeo-therapeutics/offices</t>
        </is>
      </c>
      <c r="O167" s="2" t="inlineStr">
        <is>
          <t>https://wewillcure.com/community/residents</t>
        </is>
      </c>
      <c r="P167" t="inlineStr">
        <is>
          <t>2026-10-24</t>
        </is>
      </c>
      <c r="Q167" s="2" t="inlineStr">
        <is>
          <t>https://www.builtinnyc.com/company/lexeo-therapeutics/offices</t>
        </is>
      </c>
      <c r="R167" t="inlineStr">
        <is>
          <t>high</t>
        </is>
      </c>
      <c r="S167" t="inlineStr">
        <is>
          <t>Y</t>
        </is>
      </c>
      <c r="T167" t="inlineStr">
        <is>
          <t>B-W-013</t>
        </is>
      </c>
      <c r="U167" t="inlineStr"/>
      <c r="V167" s="3" t="inlineStr">
        <is>
          <t>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is>
      </c>
      <c r="W167" t="inlineStr">
        <is>
          <t>2026-10-23</t>
        </is>
      </c>
      <c r="X167" t="inlineStr">
        <is>
          <t>New York</t>
        </is>
      </c>
      <c r="Y167" t="inlineStr">
        <is>
          <t>Y</t>
        </is>
      </c>
      <c r="Z167" t="inlineStr">
        <is>
          <t>https://www.builtinnyc.com/company/lexeo-therapeutics/offices</t>
        </is>
      </c>
      <c r="AA167" t="inlineStr">
        <is>
          <t>52</t>
        </is>
      </c>
      <c r="AB167" t="inlineStr">
        <is>
          <t>single-source</t>
        </is>
      </c>
      <c r="AC167" t="inlineStr"/>
      <c r="AD167" t="inlineStr"/>
      <c r="AE167" t="inlineStr"/>
      <c r="AF167" t="inlineStr">
        <is>
          <t>unknown</t>
        </is>
      </c>
      <c r="AG167" t="inlineStr"/>
      <c r="AH167" t="inlineStr">
        <is>
          <t>unknown</t>
        </is>
      </c>
      <c r="AI167" t="inlineStr">
        <is>
          <t>excluded-coworking</t>
        </is>
      </c>
      <c r="AJ167" t="inlineStr">
        <is>
          <t>occupied</t>
        </is>
      </c>
      <c r="AK167" t="inlineStr"/>
      <c r="AL167" t="inlineStr">
        <is>
          <t>2026-10-24</t>
        </is>
      </c>
      <c r="AM167" s="3" t="inlineStr"/>
      <c r="AN167" t="inlineStr">
        <is>
          <t>building-site</t>
        </is>
      </c>
      <c r="AO167" t="inlineStr">
        <is>
          <t>2026-10-24</t>
        </is>
      </c>
      <c r="AP167" t="inlineStr">
        <is>
          <t>listed-as-resident</t>
        </is>
      </c>
      <c r="AQ167" t="inlineStr">
        <is>
          <t>1008810001</t>
        </is>
      </c>
      <c r="AR167" t="n">
        <v>0</v>
      </c>
      <c r="AS167" t="inlineStr"/>
      <c r="AT167" t="inlineStr">
        <is>
          <t>S3</t>
        </is>
      </c>
    </row>
    <row r="168">
      <c r="A168" t="inlineStr">
        <is>
          <t>B-C-177</t>
        </is>
      </c>
      <c r="B168" t="inlineStr">
        <is>
          <t>Monte Carlo (Monte Carlo Data)</t>
        </is>
      </c>
      <c r="C168" s="2" t="inlineStr">
        <is>
          <t>https://montecarlo.ai</t>
        </is>
      </c>
      <c r="D168" t="inlineStr">
        <is>
          <t>software (data observability)</t>
        </is>
      </c>
      <c r="E168" t="inlineStr">
        <is>
          <t>B-B-076</t>
        </is>
      </c>
      <c r="F168" t="inlineStr">
        <is>
          <t>27 East 28th Street</t>
        </is>
      </c>
      <c r="G168" t="inlineStr">
        <is>
          <t>Suite 1656</t>
        </is>
      </c>
      <c r="H168" t="inlineStr">
        <is>
          <t>10016</t>
        </is>
      </c>
      <c r="I168" t="n">
        <v>40.744057</v>
      </c>
      <c r="J168" t="n">
        <v>-73.985252</v>
      </c>
      <c r="K168" t="inlineStr">
        <is>
          <t>Y</t>
        </is>
      </c>
      <c r="L168" t="inlineStr">
        <is>
          <t>76-150</t>
        </is>
      </c>
      <c r="M168" t="inlineStr">
        <is>
          <t>whole-company</t>
        </is>
      </c>
      <c r="N168" s="2" t="inlineStr">
        <is>
          <t>https://www.builtinnyc.com/company/monte-carlo/offices</t>
        </is>
      </c>
      <c r="O168" s="2" t="inlineStr">
        <is>
          <t>https://www.builtinnyc.com/company/monte-carlo/offices</t>
        </is>
      </c>
      <c r="P168" t="inlineStr">
        <is>
          <t>2026-10-23</t>
        </is>
      </c>
      <c r="Q168" s="2" t="inlineStr">
        <is>
          <t>https://liquidspace.com/us/ny/new-york/wework-27-e-28th-st</t>
        </is>
      </c>
      <c r="R168" t="inlineStr">
        <is>
          <t>low</t>
        </is>
      </c>
      <c r="S168" t="inlineStr">
        <is>
          <t>Y</t>
        </is>
      </c>
      <c r="T168" t="inlineStr">
        <is>
          <t>B-W-020</t>
        </is>
      </c>
      <c r="U168" t="inlineStr"/>
      <c r="V168" s="3" t="inlineStr">
        <is>
          <t>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t>
        </is>
      </c>
      <c r="W168" t="inlineStr">
        <is>
          <t>2026-10-23</t>
        </is>
      </c>
      <c r="X168" t="inlineStr">
        <is>
          <t>San Francisco</t>
        </is>
      </c>
      <c r="Y168" t="inlineStr">
        <is>
          <t>N</t>
        </is>
      </c>
      <c r="Z168" t="inlineStr">
        <is>
          <t>https://www.builtinnyc.com/company/monte-carlo/offices</t>
        </is>
      </c>
      <c r="AA168" t="inlineStr">
        <is>
          <t>135</t>
        </is>
      </c>
      <c r="AB168" t="inlineStr">
        <is>
          <t>single-source</t>
        </is>
      </c>
      <c r="AC168" t="inlineStr"/>
      <c r="AD168" t="inlineStr"/>
      <c r="AE168" t="inlineStr"/>
      <c r="AF168" t="inlineStr">
        <is>
          <t>unknown</t>
        </is>
      </c>
      <c r="AG168" t="inlineStr"/>
      <c r="AH168" t="inlineStr">
        <is>
          <t>unknown</t>
        </is>
      </c>
      <c r="AI168" t="inlineStr">
        <is>
          <t>excluded-coworking</t>
        </is>
      </c>
      <c r="AJ168" t="inlineStr">
        <is>
          <t>occupied</t>
        </is>
      </c>
      <c r="AK168" t="inlineStr"/>
      <c r="AL168" t="inlineStr">
        <is>
          <t>2026-10-23</t>
        </is>
      </c>
      <c r="AM168" s="3" t="inlineStr"/>
      <c r="AN168" t="inlineStr">
        <is>
          <t>builtin</t>
        </is>
      </c>
      <c r="AO168" t="inlineStr">
        <is>
          <t>2026-10-23</t>
        </is>
      </c>
      <c r="AP168" t="inlineStr">
        <is>
          <t>listed-as-resident</t>
        </is>
      </c>
      <c r="AQ168" t="inlineStr">
        <is>
          <t>1008580022</t>
        </is>
      </c>
      <c r="AR168" t="n">
        <v>0</v>
      </c>
      <c r="AS168" t="inlineStr"/>
      <c r="AT168" t="inlineStr">
        <is>
          <t>S4</t>
        </is>
      </c>
    </row>
    <row r="169">
      <c r="A169" t="inlineStr">
        <is>
          <t>B-C-178</t>
        </is>
      </c>
      <c r="B169" t="inlineStr">
        <is>
          <t>Augury</t>
        </is>
      </c>
      <c r="C169" s="2" t="inlineStr">
        <is>
          <t>https://www.augury.com</t>
        </is>
      </c>
      <c r="D169" t="inlineStr">
        <is>
          <t>industrial AI (machine health)</t>
        </is>
      </c>
      <c r="E169" t="inlineStr"/>
      <c r="F169" t="inlineStr">
        <is>
          <t>1178 Broadway</t>
        </is>
      </c>
      <c r="G169" t="inlineStr">
        <is>
          <t>3 (#169)</t>
        </is>
      </c>
      <c r="H169" t="inlineStr">
        <is>
          <t>10001</t>
        </is>
      </c>
      <c r="I169" t="n">
        <v>40.745476</v>
      </c>
      <c r="J169" t="n">
        <v>-73.988518</v>
      </c>
      <c r="K169" t="inlineStr">
        <is>
          <t>Y</t>
        </is>
      </c>
      <c r="L169" t="inlineStr">
        <is>
          <t>151-250</t>
        </is>
      </c>
      <c r="M169" t="inlineStr">
        <is>
          <t>whole-company</t>
        </is>
      </c>
      <c r="N169" s="2" t="inlineStr">
        <is>
          <t>https://www.builtinnyc.com/company/augury/offices</t>
        </is>
      </c>
      <c r="O169" s="2" t="inlineStr">
        <is>
          <t>https://www.builtinnyc.com/company/augury/offices</t>
        </is>
      </c>
      <c r="P169" t="inlineStr">
        <is>
          <t>2026-10-23</t>
        </is>
      </c>
      <c r="Q169" t="inlineStr"/>
      <c r="R169" t="inlineStr">
        <is>
          <t>low</t>
        </is>
      </c>
      <c r="S169" t="inlineStr">
        <is>
          <t>N</t>
        </is>
      </c>
      <c r="T169" t="inlineStr"/>
      <c r="U169" t="inlineStr"/>
      <c r="V169" s="3" t="inlineStr">
        <is>
          <t>Built In lists HQ at 1178 Broadway, 3rd Floor #169 but marks the company 'Remote Workplace'; 203 total employees. The #169 suite number suggests a mailbox or shared suite,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t>
        </is>
      </c>
      <c r="W169" t="inlineStr">
        <is>
          <t>2026-10-23</t>
        </is>
      </c>
      <c r="X169" t="inlineStr">
        <is>
          <t>New York</t>
        </is>
      </c>
      <c r="Y169" t="inlineStr">
        <is>
          <t>Y</t>
        </is>
      </c>
      <c r="Z169" t="inlineStr">
        <is>
          <t>https://www.builtinnyc.com/company/augury/offices</t>
        </is>
      </c>
      <c r="AA169" t="inlineStr">
        <is>
          <t>203</t>
        </is>
      </c>
      <c r="AB169" t="inlineStr">
        <is>
          <t>single-source</t>
        </is>
      </c>
      <c r="AC169" t="inlineStr"/>
      <c r="AD169" t="inlineStr"/>
      <c r="AE169" t="inlineStr"/>
      <c r="AF169" t="inlineStr">
        <is>
          <t>unknown</t>
        </is>
      </c>
      <c r="AG169" t="inlineStr"/>
      <c r="AH169" t="inlineStr">
        <is>
          <t>unknown</t>
        </is>
      </c>
      <c r="AI169" t="inlineStr">
        <is>
          <t>excluded-not-office</t>
        </is>
      </c>
      <c r="AJ169" t="inlineStr">
        <is>
          <t>occupancy-unconfirmed</t>
        </is>
      </c>
      <c r="AK169" t="inlineStr"/>
      <c r="AL169" t="inlineStr">
        <is>
          <t>2026-10-23</t>
        </is>
      </c>
      <c r="AM169" s="3" t="inlineStr"/>
      <c r="AN169" t="inlineStr">
        <is>
          <t>builtin</t>
        </is>
      </c>
      <c r="AO169" t="inlineStr"/>
      <c r="AP169" t="inlineStr">
        <is>
          <t>no-coworking-in-building</t>
        </is>
      </c>
      <c r="AQ169" t="inlineStr">
        <is>
          <t>1008300028</t>
        </is>
      </c>
      <c r="AR169" t="n">
        <v>0</v>
      </c>
      <c r="AS169" t="inlineStr"/>
      <c r="AT169" t="inlineStr">
        <is>
          <t>S4</t>
        </is>
      </c>
    </row>
  </sheetData>
  <autoFilter ref="A1:AT169"/>
  <conditionalFormatting sqref="A2:AT169">
    <cfRule type="expression" priority="1" dxfId="0">
      <formula>$AI2&lt;&gt;"candidate"</formula>
    </cfRule>
  </conditionalFormatting>
  <conditionalFormatting sqref="AJ2:AK169">
    <cfRule type="expression" priority="2" dxfId="1">
      <formula>$AJ2="signed-not-occupied"</formula>
    </cfRule>
  </conditionalFormatting>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Q2" r:id="rId4"/>
    <hyperlink xmlns:r="http://schemas.openxmlformats.org/officeDocument/2006/relationships" ref="O3" r:id="rId5"/>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xmlns:r="http://schemas.openxmlformats.org/officeDocument/2006/relationships" ref="C5" r:id="rId9"/>
    <hyperlink xmlns:r="http://schemas.openxmlformats.org/officeDocument/2006/relationships" ref="O5" r:id="rId10"/>
    <hyperlink xmlns:r="http://schemas.openxmlformats.org/officeDocument/2006/relationships" ref="Q5" r:id="rId11"/>
    <hyperlink xmlns:r="http://schemas.openxmlformats.org/officeDocument/2006/relationships" ref="C6" r:id="rId12"/>
    <hyperlink xmlns:r="http://schemas.openxmlformats.org/officeDocument/2006/relationships" ref="O6" r:id="rId13"/>
    <hyperlink xmlns:r="http://schemas.openxmlformats.org/officeDocument/2006/relationships" ref="Q6" r:id="rId14"/>
    <hyperlink xmlns:r="http://schemas.openxmlformats.org/officeDocument/2006/relationships" ref="C7" r:id="rId15"/>
    <hyperlink xmlns:r="http://schemas.openxmlformats.org/officeDocument/2006/relationships" ref="N7" r:id="rId16"/>
    <hyperlink xmlns:r="http://schemas.openxmlformats.org/officeDocument/2006/relationships" ref="O7" r:id="rId17"/>
    <hyperlink xmlns:r="http://schemas.openxmlformats.org/officeDocument/2006/relationships" ref="C8" r:id="rId18"/>
    <hyperlink xmlns:r="http://schemas.openxmlformats.org/officeDocument/2006/relationships" ref="O8" r:id="rId19"/>
    <hyperlink xmlns:r="http://schemas.openxmlformats.org/officeDocument/2006/relationships" ref="Q8" r:id="rId20"/>
    <hyperlink xmlns:r="http://schemas.openxmlformats.org/officeDocument/2006/relationships" ref="C9" r:id="rId21"/>
    <hyperlink xmlns:r="http://schemas.openxmlformats.org/officeDocument/2006/relationships" ref="N9" r:id="rId22"/>
    <hyperlink xmlns:r="http://schemas.openxmlformats.org/officeDocument/2006/relationships" ref="O9" r:id="rId23"/>
    <hyperlink xmlns:r="http://schemas.openxmlformats.org/officeDocument/2006/relationships" ref="Q9" r:id="rId24"/>
    <hyperlink xmlns:r="http://schemas.openxmlformats.org/officeDocument/2006/relationships" ref="C10" r:id="rId25"/>
    <hyperlink xmlns:r="http://schemas.openxmlformats.org/officeDocument/2006/relationships" ref="O10" r:id="rId26"/>
    <hyperlink xmlns:r="http://schemas.openxmlformats.org/officeDocument/2006/relationships" ref="Q10" r:id="rId27"/>
    <hyperlink xmlns:r="http://schemas.openxmlformats.org/officeDocument/2006/relationships" ref="C11" r:id="rId28"/>
    <hyperlink xmlns:r="http://schemas.openxmlformats.org/officeDocument/2006/relationships" ref="N11" r:id="rId29"/>
    <hyperlink xmlns:r="http://schemas.openxmlformats.org/officeDocument/2006/relationships" ref="O11" r:id="rId30"/>
    <hyperlink xmlns:r="http://schemas.openxmlformats.org/officeDocument/2006/relationships" ref="C12" r:id="rId31"/>
    <hyperlink xmlns:r="http://schemas.openxmlformats.org/officeDocument/2006/relationships" ref="N12" r:id="rId32"/>
    <hyperlink xmlns:r="http://schemas.openxmlformats.org/officeDocument/2006/relationships" ref="O12" r:id="rId33"/>
    <hyperlink xmlns:r="http://schemas.openxmlformats.org/officeDocument/2006/relationships" ref="Q12" r:id="rId34"/>
    <hyperlink xmlns:r="http://schemas.openxmlformats.org/officeDocument/2006/relationships" ref="C13" r:id="rId35"/>
    <hyperlink xmlns:r="http://schemas.openxmlformats.org/officeDocument/2006/relationships" ref="N13" r:id="rId36"/>
    <hyperlink xmlns:r="http://schemas.openxmlformats.org/officeDocument/2006/relationships" ref="O13" r:id="rId37"/>
    <hyperlink xmlns:r="http://schemas.openxmlformats.org/officeDocument/2006/relationships" ref="C14" r:id="rId38"/>
    <hyperlink xmlns:r="http://schemas.openxmlformats.org/officeDocument/2006/relationships" ref="O14" r:id="rId39"/>
    <hyperlink xmlns:r="http://schemas.openxmlformats.org/officeDocument/2006/relationships" ref="Q14" r:id="rId40"/>
    <hyperlink xmlns:r="http://schemas.openxmlformats.org/officeDocument/2006/relationships" ref="C15" r:id="rId41"/>
    <hyperlink xmlns:r="http://schemas.openxmlformats.org/officeDocument/2006/relationships" ref="N15" r:id="rId42"/>
    <hyperlink xmlns:r="http://schemas.openxmlformats.org/officeDocument/2006/relationships" ref="O15" r:id="rId43"/>
    <hyperlink xmlns:r="http://schemas.openxmlformats.org/officeDocument/2006/relationships" ref="C16" r:id="rId44"/>
    <hyperlink xmlns:r="http://schemas.openxmlformats.org/officeDocument/2006/relationships" ref="O16" r:id="rId45"/>
    <hyperlink xmlns:r="http://schemas.openxmlformats.org/officeDocument/2006/relationships" ref="C17" r:id="rId46"/>
    <hyperlink xmlns:r="http://schemas.openxmlformats.org/officeDocument/2006/relationships" ref="O17" r:id="rId47"/>
    <hyperlink xmlns:r="http://schemas.openxmlformats.org/officeDocument/2006/relationships" ref="Q17" r:id="rId48"/>
    <hyperlink xmlns:r="http://schemas.openxmlformats.org/officeDocument/2006/relationships" ref="C18" r:id="rId49"/>
    <hyperlink xmlns:r="http://schemas.openxmlformats.org/officeDocument/2006/relationships" ref="N18" r:id="rId50"/>
    <hyperlink xmlns:r="http://schemas.openxmlformats.org/officeDocument/2006/relationships" ref="O18" r:id="rId51"/>
    <hyperlink xmlns:r="http://schemas.openxmlformats.org/officeDocument/2006/relationships" ref="C19" r:id="rId52"/>
    <hyperlink xmlns:r="http://schemas.openxmlformats.org/officeDocument/2006/relationships" ref="N19" r:id="rId53"/>
    <hyperlink xmlns:r="http://schemas.openxmlformats.org/officeDocument/2006/relationships" ref="O19" r:id="rId54"/>
    <hyperlink xmlns:r="http://schemas.openxmlformats.org/officeDocument/2006/relationships" ref="Q19" r:id="rId55"/>
    <hyperlink xmlns:r="http://schemas.openxmlformats.org/officeDocument/2006/relationships" ref="O20" r:id="rId56"/>
    <hyperlink xmlns:r="http://schemas.openxmlformats.org/officeDocument/2006/relationships" ref="O21" r:id="rId57"/>
    <hyperlink xmlns:r="http://schemas.openxmlformats.org/officeDocument/2006/relationships" ref="O22" r:id="rId58"/>
    <hyperlink xmlns:r="http://schemas.openxmlformats.org/officeDocument/2006/relationships" ref="C23" r:id="rId59"/>
    <hyperlink xmlns:r="http://schemas.openxmlformats.org/officeDocument/2006/relationships" ref="N23" r:id="rId60"/>
    <hyperlink xmlns:r="http://schemas.openxmlformats.org/officeDocument/2006/relationships" ref="O23" r:id="rId61"/>
    <hyperlink xmlns:r="http://schemas.openxmlformats.org/officeDocument/2006/relationships" ref="O24" r:id="rId62"/>
    <hyperlink xmlns:r="http://schemas.openxmlformats.org/officeDocument/2006/relationships" ref="C25" r:id="rId63"/>
    <hyperlink xmlns:r="http://schemas.openxmlformats.org/officeDocument/2006/relationships" ref="O25" r:id="rId64"/>
    <hyperlink xmlns:r="http://schemas.openxmlformats.org/officeDocument/2006/relationships" ref="Q25" r:id="rId65"/>
    <hyperlink xmlns:r="http://schemas.openxmlformats.org/officeDocument/2006/relationships" ref="C26" r:id="rId66"/>
    <hyperlink xmlns:r="http://schemas.openxmlformats.org/officeDocument/2006/relationships" ref="N26" r:id="rId67"/>
    <hyperlink xmlns:r="http://schemas.openxmlformats.org/officeDocument/2006/relationships" ref="O26" r:id="rId68"/>
    <hyperlink xmlns:r="http://schemas.openxmlformats.org/officeDocument/2006/relationships" ref="C27" r:id="rId69"/>
    <hyperlink xmlns:r="http://schemas.openxmlformats.org/officeDocument/2006/relationships" ref="N27" r:id="rId70"/>
    <hyperlink xmlns:r="http://schemas.openxmlformats.org/officeDocument/2006/relationships" ref="O27" r:id="rId71"/>
    <hyperlink xmlns:r="http://schemas.openxmlformats.org/officeDocument/2006/relationships" ref="Q27" r:id="rId72"/>
    <hyperlink xmlns:r="http://schemas.openxmlformats.org/officeDocument/2006/relationships" ref="C28" r:id="rId73"/>
    <hyperlink xmlns:r="http://schemas.openxmlformats.org/officeDocument/2006/relationships" ref="N28" r:id="rId74"/>
    <hyperlink xmlns:r="http://schemas.openxmlformats.org/officeDocument/2006/relationships" ref="O28" r:id="rId75"/>
    <hyperlink xmlns:r="http://schemas.openxmlformats.org/officeDocument/2006/relationships" ref="C29" r:id="rId76"/>
    <hyperlink xmlns:r="http://schemas.openxmlformats.org/officeDocument/2006/relationships" ref="N29" r:id="rId77"/>
    <hyperlink xmlns:r="http://schemas.openxmlformats.org/officeDocument/2006/relationships" ref="O29" r:id="rId78"/>
    <hyperlink xmlns:r="http://schemas.openxmlformats.org/officeDocument/2006/relationships" ref="Q29" r:id="rId79"/>
    <hyperlink xmlns:r="http://schemas.openxmlformats.org/officeDocument/2006/relationships" ref="C30" r:id="rId80"/>
    <hyperlink xmlns:r="http://schemas.openxmlformats.org/officeDocument/2006/relationships" ref="N30" r:id="rId81"/>
    <hyperlink xmlns:r="http://schemas.openxmlformats.org/officeDocument/2006/relationships" ref="O30" r:id="rId82"/>
    <hyperlink xmlns:r="http://schemas.openxmlformats.org/officeDocument/2006/relationships" ref="Q30" r:id="rId83"/>
    <hyperlink xmlns:r="http://schemas.openxmlformats.org/officeDocument/2006/relationships" ref="O31" r:id="rId84"/>
    <hyperlink xmlns:r="http://schemas.openxmlformats.org/officeDocument/2006/relationships" ref="C32" r:id="rId85"/>
    <hyperlink xmlns:r="http://schemas.openxmlformats.org/officeDocument/2006/relationships" ref="N32" r:id="rId86"/>
    <hyperlink xmlns:r="http://schemas.openxmlformats.org/officeDocument/2006/relationships" ref="O32" r:id="rId87"/>
    <hyperlink xmlns:r="http://schemas.openxmlformats.org/officeDocument/2006/relationships" ref="Q32" r:id="rId88"/>
    <hyperlink xmlns:r="http://schemas.openxmlformats.org/officeDocument/2006/relationships" ref="C33" r:id="rId89"/>
    <hyperlink xmlns:r="http://schemas.openxmlformats.org/officeDocument/2006/relationships" ref="N33" r:id="rId90"/>
    <hyperlink xmlns:r="http://schemas.openxmlformats.org/officeDocument/2006/relationships" ref="O33" r:id="rId91"/>
    <hyperlink xmlns:r="http://schemas.openxmlformats.org/officeDocument/2006/relationships" ref="Q33" r:id="rId92"/>
    <hyperlink xmlns:r="http://schemas.openxmlformats.org/officeDocument/2006/relationships" ref="O34" r:id="rId93"/>
    <hyperlink xmlns:r="http://schemas.openxmlformats.org/officeDocument/2006/relationships" ref="C35" r:id="rId94"/>
    <hyperlink xmlns:r="http://schemas.openxmlformats.org/officeDocument/2006/relationships" ref="N35" r:id="rId95"/>
    <hyperlink xmlns:r="http://schemas.openxmlformats.org/officeDocument/2006/relationships" ref="O35" r:id="rId96"/>
    <hyperlink xmlns:r="http://schemas.openxmlformats.org/officeDocument/2006/relationships" ref="C36" r:id="rId97"/>
    <hyperlink xmlns:r="http://schemas.openxmlformats.org/officeDocument/2006/relationships" ref="N36" r:id="rId98"/>
    <hyperlink xmlns:r="http://schemas.openxmlformats.org/officeDocument/2006/relationships" ref="O36" r:id="rId99"/>
    <hyperlink xmlns:r="http://schemas.openxmlformats.org/officeDocument/2006/relationships" ref="Q36" r:id="rId100"/>
    <hyperlink xmlns:r="http://schemas.openxmlformats.org/officeDocument/2006/relationships" ref="C37" r:id="rId101"/>
    <hyperlink xmlns:r="http://schemas.openxmlformats.org/officeDocument/2006/relationships" ref="O37" r:id="rId102"/>
    <hyperlink xmlns:r="http://schemas.openxmlformats.org/officeDocument/2006/relationships" ref="Q37" r:id="rId103"/>
    <hyperlink xmlns:r="http://schemas.openxmlformats.org/officeDocument/2006/relationships" ref="C38" r:id="rId104"/>
    <hyperlink xmlns:r="http://schemas.openxmlformats.org/officeDocument/2006/relationships" ref="N38" r:id="rId105"/>
    <hyperlink xmlns:r="http://schemas.openxmlformats.org/officeDocument/2006/relationships" ref="O38" r:id="rId106"/>
    <hyperlink xmlns:r="http://schemas.openxmlformats.org/officeDocument/2006/relationships" ref="Q38" r:id="rId107"/>
    <hyperlink xmlns:r="http://schemas.openxmlformats.org/officeDocument/2006/relationships" ref="C39" r:id="rId108"/>
    <hyperlink xmlns:r="http://schemas.openxmlformats.org/officeDocument/2006/relationships" ref="O39" r:id="rId109"/>
    <hyperlink xmlns:r="http://schemas.openxmlformats.org/officeDocument/2006/relationships" ref="C40" r:id="rId110"/>
    <hyperlink xmlns:r="http://schemas.openxmlformats.org/officeDocument/2006/relationships" ref="O40" r:id="rId111"/>
    <hyperlink xmlns:r="http://schemas.openxmlformats.org/officeDocument/2006/relationships" ref="Q40" r:id="rId112"/>
    <hyperlink xmlns:r="http://schemas.openxmlformats.org/officeDocument/2006/relationships" ref="C41" r:id="rId113"/>
    <hyperlink xmlns:r="http://schemas.openxmlformats.org/officeDocument/2006/relationships" ref="O41" r:id="rId114"/>
    <hyperlink xmlns:r="http://schemas.openxmlformats.org/officeDocument/2006/relationships" ref="C42" r:id="rId115"/>
    <hyperlink xmlns:r="http://schemas.openxmlformats.org/officeDocument/2006/relationships" ref="N42" r:id="rId116"/>
    <hyperlink xmlns:r="http://schemas.openxmlformats.org/officeDocument/2006/relationships" ref="O42" r:id="rId117"/>
    <hyperlink xmlns:r="http://schemas.openxmlformats.org/officeDocument/2006/relationships" ref="C43" r:id="rId118"/>
    <hyperlink xmlns:r="http://schemas.openxmlformats.org/officeDocument/2006/relationships" ref="N43" r:id="rId119"/>
    <hyperlink xmlns:r="http://schemas.openxmlformats.org/officeDocument/2006/relationships" ref="O43" r:id="rId120"/>
    <hyperlink xmlns:r="http://schemas.openxmlformats.org/officeDocument/2006/relationships" ref="C44" r:id="rId121"/>
    <hyperlink xmlns:r="http://schemas.openxmlformats.org/officeDocument/2006/relationships" ref="O44" r:id="rId122"/>
    <hyperlink xmlns:r="http://schemas.openxmlformats.org/officeDocument/2006/relationships" ref="C45" r:id="rId123"/>
    <hyperlink xmlns:r="http://schemas.openxmlformats.org/officeDocument/2006/relationships" ref="N45" r:id="rId124"/>
    <hyperlink xmlns:r="http://schemas.openxmlformats.org/officeDocument/2006/relationships" ref="O45" r:id="rId125"/>
    <hyperlink xmlns:r="http://schemas.openxmlformats.org/officeDocument/2006/relationships" ref="C46" r:id="rId126"/>
    <hyperlink xmlns:r="http://schemas.openxmlformats.org/officeDocument/2006/relationships" ref="N46" r:id="rId127"/>
    <hyperlink xmlns:r="http://schemas.openxmlformats.org/officeDocument/2006/relationships" ref="O46" r:id="rId128"/>
    <hyperlink xmlns:r="http://schemas.openxmlformats.org/officeDocument/2006/relationships" ref="Q46" r:id="rId129"/>
    <hyperlink xmlns:r="http://schemas.openxmlformats.org/officeDocument/2006/relationships" ref="C47" r:id="rId130"/>
    <hyperlink xmlns:r="http://schemas.openxmlformats.org/officeDocument/2006/relationships" ref="N47" r:id="rId131"/>
    <hyperlink xmlns:r="http://schemas.openxmlformats.org/officeDocument/2006/relationships" ref="O47" r:id="rId132"/>
    <hyperlink xmlns:r="http://schemas.openxmlformats.org/officeDocument/2006/relationships" ref="Q47" r:id="rId133"/>
    <hyperlink xmlns:r="http://schemas.openxmlformats.org/officeDocument/2006/relationships" ref="C48" r:id="rId134"/>
    <hyperlink xmlns:r="http://schemas.openxmlformats.org/officeDocument/2006/relationships" ref="N48" r:id="rId135"/>
    <hyperlink xmlns:r="http://schemas.openxmlformats.org/officeDocument/2006/relationships" ref="O48" r:id="rId136"/>
    <hyperlink xmlns:r="http://schemas.openxmlformats.org/officeDocument/2006/relationships" ref="Q48" r:id="rId137"/>
    <hyperlink xmlns:r="http://schemas.openxmlformats.org/officeDocument/2006/relationships" ref="C49" r:id="rId138"/>
    <hyperlink xmlns:r="http://schemas.openxmlformats.org/officeDocument/2006/relationships" ref="N49" r:id="rId139"/>
    <hyperlink xmlns:r="http://schemas.openxmlformats.org/officeDocument/2006/relationships" ref="O49" r:id="rId140"/>
    <hyperlink xmlns:r="http://schemas.openxmlformats.org/officeDocument/2006/relationships" ref="Q49" r:id="rId141"/>
    <hyperlink xmlns:r="http://schemas.openxmlformats.org/officeDocument/2006/relationships" ref="O50" r:id="rId142"/>
    <hyperlink xmlns:r="http://schemas.openxmlformats.org/officeDocument/2006/relationships" ref="C51" r:id="rId143"/>
    <hyperlink xmlns:r="http://schemas.openxmlformats.org/officeDocument/2006/relationships" ref="O51" r:id="rId144"/>
    <hyperlink xmlns:r="http://schemas.openxmlformats.org/officeDocument/2006/relationships" ref="Q51" r:id="rId145"/>
    <hyperlink xmlns:r="http://schemas.openxmlformats.org/officeDocument/2006/relationships" ref="C52" r:id="rId146"/>
    <hyperlink xmlns:r="http://schemas.openxmlformats.org/officeDocument/2006/relationships" ref="N52" r:id="rId147"/>
    <hyperlink xmlns:r="http://schemas.openxmlformats.org/officeDocument/2006/relationships" ref="O52" r:id="rId148"/>
    <hyperlink xmlns:r="http://schemas.openxmlformats.org/officeDocument/2006/relationships" ref="C53" r:id="rId149"/>
    <hyperlink xmlns:r="http://schemas.openxmlformats.org/officeDocument/2006/relationships" ref="N53" r:id="rId150"/>
    <hyperlink xmlns:r="http://schemas.openxmlformats.org/officeDocument/2006/relationships" ref="O53" r:id="rId151"/>
    <hyperlink xmlns:r="http://schemas.openxmlformats.org/officeDocument/2006/relationships" ref="Q53" r:id="rId152"/>
    <hyperlink xmlns:r="http://schemas.openxmlformats.org/officeDocument/2006/relationships" ref="C54" r:id="rId153"/>
    <hyperlink xmlns:r="http://schemas.openxmlformats.org/officeDocument/2006/relationships" ref="O54" r:id="rId154"/>
    <hyperlink xmlns:r="http://schemas.openxmlformats.org/officeDocument/2006/relationships" ref="Q54" r:id="rId155"/>
    <hyperlink xmlns:r="http://schemas.openxmlformats.org/officeDocument/2006/relationships" ref="C55" r:id="rId156"/>
    <hyperlink xmlns:r="http://schemas.openxmlformats.org/officeDocument/2006/relationships" ref="O55" r:id="rId157"/>
    <hyperlink xmlns:r="http://schemas.openxmlformats.org/officeDocument/2006/relationships" ref="Q55" r:id="rId158"/>
    <hyperlink xmlns:r="http://schemas.openxmlformats.org/officeDocument/2006/relationships" ref="C56" r:id="rId159"/>
    <hyperlink xmlns:r="http://schemas.openxmlformats.org/officeDocument/2006/relationships" ref="N56" r:id="rId160"/>
    <hyperlink xmlns:r="http://schemas.openxmlformats.org/officeDocument/2006/relationships" ref="O56" r:id="rId161"/>
    <hyperlink xmlns:r="http://schemas.openxmlformats.org/officeDocument/2006/relationships" ref="N57" r:id="rId162"/>
    <hyperlink xmlns:r="http://schemas.openxmlformats.org/officeDocument/2006/relationships" ref="O57" r:id="rId163"/>
    <hyperlink xmlns:r="http://schemas.openxmlformats.org/officeDocument/2006/relationships" ref="C58" r:id="rId164"/>
    <hyperlink xmlns:r="http://schemas.openxmlformats.org/officeDocument/2006/relationships" ref="N58" r:id="rId165"/>
    <hyperlink xmlns:r="http://schemas.openxmlformats.org/officeDocument/2006/relationships" ref="O58" r:id="rId166"/>
    <hyperlink xmlns:r="http://schemas.openxmlformats.org/officeDocument/2006/relationships" ref="C59" r:id="rId167"/>
    <hyperlink xmlns:r="http://schemas.openxmlformats.org/officeDocument/2006/relationships" ref="O59" r:id="rId168"/>
    <hyperlink xmlns:r="http://schemas.openxmlformats.org/officeDocument/2006/relationships" ref="C60" r:id="rId169"/>
    <hyperlink xmlns:r="http://schemas.openxmlformats.org/officeDocument/2006/relationships" ref="O60" r:id="rId170"/>
    <hyperlink xmlns:r="http://schemas.openxmlformats.org/officeDocument/2006/relationships" ref="Q60" r:id="rId171"/>
    <hyperlink xmlns:r="http://schemas.openxmlformats.org/officeDocument/2006/relationships" ref="C61" r:id="rId172"/>
    <hyperlink xmlns:r="http://schemas.openxmlformats.org/officeDocument/2006/relationships" ref="O61" r:id="rId173"/>
    <hyperlink xmlns:r="http://schemas.openxmlformats.org/officeDocument/2006/relationships" ref="Q61" r:id="rId174"/>
    <hyperlink xmlns:r="http://schemas.openxmlformats.org/officeDocument/2006/relationships" ref="O62" r:id="rId175"/>
    <hyperlink xmlns:r="http://schemas.openxmlformats.org/officeDocument/2006/relationships" ref="Q62" r:id="rId176"/>
    <hyperlink xmlns:r="http://schemas.openxmlformats.org/officeDocument/2006/relationships" ref="C63" r:id="rId177"/>
    <hyperlink xmlns:r="http://schemas.openxmlformats.org/officeDocument/2006/relationships" ref="N63" r:id="rId178"/>
    <hyperlink xmlns:r="http://schemas.openxmlformats.org/officeDocument/2006/relationships" ref="O63" r:id="rId179"/>
    <hyperlink xmlns:r="http://schemas.openxmlformats.org/officeDocument/2006/relationships" ref="C64" r:id="rId180"/>
    <hyperlink xmlns:r="http://schemas.openxmlformats.org/officeDocument/2006/relationships" ref="O64" r:id="rId181"/>
    <hyperlink xmlns:r="http://schemas.openxmlformats.org/officeDocument/2006/relationships" ref="Q64" r:id="rId182"/>
    <hyperlink xmlns:r="http://schemas.openxmlformats.org/officeDocument/2006/relationships" ref="C65" r:id="rId183"/>
    <hyperlink xmlns:r="http://schemas.openxmlformats.org/officeDocument/2006/relationships" ref="O65" r:id="rId184"/>
    <hyperlink xmlns:r="http://schemas.openxmlformats.org/officeDocument/2006/relationships" ref="C66" r:id="rId185"/>
    <hyperlink xmlns:r="http://schemas.openxmlformats.org/officeDocument/2006/relationships" ref="O66" r:id="rId186"/>
    <hyperlink xmlns:r="http://schemas.openxmlformats.org/officeDocument/2006/relationships" ref="C67" r:id="rId187"/>
    <hyperlink xmlns:r="http://schemas.openxmlformats.org/officeDocument/2006/relationships" ref="O67" r:id="rId188"/>
    <hyperlink xmlns:r="http://schemas.openxmlformats.org/officeDocument/2006/relationships" ref="C68" r:id="rId189"/>
    <hyperlink xmlns:r="http://schemas.openxmlformats.org/officeDocument/2006/relationships" ref="O68" r:id="rId190"/>
    <hyperlink xmlns:r="http://schemas.openxmlformats.org/officeDocument/2006/relationships" ref="O69" r:id="rId191"/>
    <hyperlink xmlns:r="http://schemas.openxmlformats.org/officeDocument/2006/relationships" ref="C70" r:id="rId192"/>
    <hyperlink xmlns:r="http://schemas.openxmlformats.org/officeDocument/2006/relationships" ref="O70" r:id="rId193"/>
    <hyperlink xmlns:r="http://schemas.openxmlformats.org/officeDocument/2006/relationships" ref="Q70" r:id="rId194"/>
    <hyperlink xmlns:r="http://schemas.openxmlformats.org/officeDocument/2006/relationships" ref="C71" r:id="rId195"/>
    <hyperlink xmlns:r="http://schemas.openxmlformats.org/officeDocument/2006/relationships" ref="N71" r:id="rId196"/>
    <hyperlink xmlns:r="http://schemas.openxmlformats.org/officeDocument/2006/relationships" ref="O71" r:id="rId197"/>
    <hyperlink xmlns:r="http://schemas.openxmlformats.org/officeDocument/2006/relationships" ref="Q71" r:id="rId198"/>
    <hyperlink xmlns:r="http://schemas.openxmlformats.org/officeDocument/2006/relationships" ref="C72" r:id="rId199"/>
    <hyperlink xmlns:r="http://schemas.openxmlformats.org/officeDocument/2006/relationships" ref="O72" r:id="rId200"/>
    <hyperlink xmlns:r="http://schemas.openxmlformats.org/officeDocument/2006/relationships" ref="Q72" r:id="rId201"/>
    <hyperlink xmlns:r="http://schemas.openxmlformats.org/officeDocument/2006/relationships" ref="C73" r:id="rId202"/>
    <hyperlink xmlns:r="http://schemas.openxmlformats.org/officeDocument/2006/relationships" ref="O73" r:id="rId203"/>
    <hyperlink xmlns:r="http://schemas.openxmlformats.org/officeDocument/2006/relationships" ref="Q73" r:id="rId204"/>
    <hyperlink xmlns:r="http://schemas.openxmlformats.org/officeDocument/2006/relationships" ref="C74" r:id="rId205"/>
    <hyperlink xmlns:r="http://schemas.openxmlformats.org/officeDocument/2006/relationships" ref="N74" r:id="rId206"/>
    <hyperlink xmlns:r="http://schemas.openxmlformats.org/officeDocument/2006/relationships" ref="O74" r:id="rId207"/>
    <hyperlink xmlns:r="http://schemas.openxmlformats.org/officeDocument/2006/relationships" ref="C75" r:id="rId208"/>
    <hyperlink xmlns:r="http://schemas.openxmlformats.org/officeDocument/2006/relationships" ref="N75" r:id="rId209"/>
    <hyperlink xmlns:r="http://schemas.openxmlformats.org/officeDocument/2006/relationships" ref="O75" r:id="rId210"/>
    <hyperlink xmlns:r="http://schemas.openxmlformats.org/officeDocument/2006/relationships" ref="O76" r:id="rId211"/>
    <hyperlink xmlns:r="http://schemas.openxmlformats.org/officeDocument/2006/relationships" ref="C77" r:id="rId212"/>
    <hyperlink xmlns:r="http://schemas.openxmlformats.org/officeDocument/2006/relationships" ref="O77" r:id="rId213"/>
    <hyperlink xmlns:r="http://schemas.openxmlformats.org/officeDocument/2006/relationships" ref="C78" r:id="rId214"/>
    <hyperlink xmlns:r="http://schemas.openxmlformats.org/officeDocument/2006/relationships" ref="O78" r:id="rId215"/>
    <hyperlink xmlns:r="http://schemas.openxmlformats.org/officeDocument/2006/relationships" ref="C79" r:id="rId216"/>
    <hyperlink xmlns:r="http://schemas.openxmlformats.org/officeDocument/2006/relationships" ref="N79" r:id="rId217"/>
    <hyperlink xmlns:r="http://schemas.openxmlformats.org/officeDocument/2006/relationships" ref="O79" r:id="rId218"/>
    <hyperlink xmlns:r="http://schemas.openxmlformats.org/officeDocument/2006/relationships" ref="Q79" r:id="rId219"/>
    <hyperlink xmlns:r="http://schemas.openxmlformats.org/officeDocument/2006/relationships" ref="C80" r:id="rId220"/>
    <hyperlink xmlns:r="http://schemas.openxmlformats.org/officeDocument/2006/relationships" ref="N80" r:id="rId221"/>
    <hyperlink xmlns:r="http://schemas.openxmlformats.org/officeDocument/2006/relationships" ref="O80" r:id="rId222"/>
    <hyperlink xmlns:r="http://schemas.openxmlformats.org/officeDocument/2006/relationships" ref="Q80" r:id="rId223"/>
    <hyperlink xmlns:r="http://schemas.openxmlformats.org/officeDocument/2006/relationships" ref="C81" r:id="rId224"/>
    <hyperlink xmlns:r="http://schemas.openxmlformats.org/officeDocument/2006/relationships" ref="N81" r:id="rId225"/>
    <hyperlink xmlns:r="http://schemas.openxmlformats.org/officeDocument/2006/relationships" ref="O81" r:id="rId226"/>
    <hyperlink xmlns:r="http://schemas.openxmlformats.org/officeDocument/2006/relationships" ref="Q81" r:id="rId227"/>
    <hyperlink xmlns:r="http://schemas.openxmlformats.org/officeDocument/2006/relationships" ref="C82" r:id="rId228"/>
    <hyperlink xmlns:r="http://schemas.openxmlformats.org/officeDocument/2006/relationships" ref="O82" r:id="rId229"/>
    <hyperlink xmlns:r="http://schemas.openxmlformats.org/officeDocument/2006/relationships" ref="C83" r:id="rId230"/>
    <hyperlink xmlns:r="http://schemas.openxmlformats.org/officeDocument/2006/relationships" ref="O83" r:id="rId231"/>
    <hyperlink xmlns:r="http://schemas.openxmlformats.org/officeDocument/2006/relationships" ref="Q83" r:id="rId232"/>
    <hyperlink xmlns:r="http://schemas.openxmlformats.org/officeDocument/2006/relationships" ref="C84" r:id="rId233"/>
    <hyperlink xmlns:r="http://schemas.openxmlformats.org/officeDocument/2006/relationships" ref="O84" r:id="rId234"/>
    <hyperlink xmlns:r="http://schemas.openxmlformats.org/officeDocument/2006/relationships" ref="Q84" r:id="rId235"/>
    <hyperlink xmlns:r="http://schemas.openxmlformats.org/officeDocument/2006/relationships" ref="C85" r:id="rId236"/>
    <hyperlink xmlns:r="http://schemas.openxmlformats.org/officeDocument/2006/relationships" ref="O85" r:id="rId237"/>
    <hyperlink xmlns:r="http://schemas.openxmlformats.org/officeDocument/2006/relationships" ref="C86" r:id="rId238"/>
    <hyperlink xmlns:r="http://schemas.openxmlformats.org/officeDocument/2006/relationships" ref="N86" r:id="rId239"/>
    <hyperlink xmlns:r="http://schemas.openxmlformats.org/officeDocument/2006/relationships" ref="O86" r:id="rId240"/>
    <hyperlink xmlns:r="http://schemas.openxmlformats.org/officeDocument/2006/relationships" ref="C87" r:id="rId241"/>
    <hyperlink xmlns:r="http://schemas.openxmlformats.org/officeDocument/2006/relationships" ref="O87" r:id="rId242"/>
    <hyperlink xmlns:r="http://schemas.openxmlformats.org/officeDocument/2006/relationships" ref="Q87" r:id="rId243"/>
    <hyperlink xmlns:r="http://schemas.openxmlformats.org/officeDocument/2006/relationships" ref="C88" r:id="rId244"/>
    <hyperlink xmlns:r="http://schemas.openxmlformats.org/officeDocument/2006/relationships" ref="N88" r:id="rId245"/>
    <hyperlink xmlns:r="http://schemas.openxmlformats.org/officeDocument/2006/relationships" ref="O88" r:id="rId246"/>
    <hyperlink xmlns:r="http://schemas.openxmlformats.org/officeDocument/2006/relationships" ref="Q88" r:id="rId247"/>
    <hyperlink xmlns:r="http://schemas.openxmlformats.org/officeDocument/2006/relationships" ref="O89" r:id="rId248"/>
    <hyperlink xmlns:r="http://schemas.openxmlformats.org/officeDocument/2006/relationships" ref="Q89" r:id="rId249"/>
    <hyperlink xmlns:r="http://schemas.openxmlformats.org/officeDocument/2006/relationships" ref="C90" r:id="rId250"/>
    <hyperlink xmlns:r="http://schemas.openxmlformats.org/officeDocument/2006/relationships" ref="N90" r:id="rId251"/>
    <hyperlink xmlns:r="http://schemas.openxmlformats.org/officeDocument/2006/relationships" ref="O90" r:id="rId252"/>
    <hyperlink xmlns:r="http://schemas.openxmlformats.org/officeDocument/2006/relationships" ref="Q90" r:id="rId253"/>
    <hyperlink xmlns:r="http://schemas.openxmlformats.org/officeDocument/2006/relationships" ref="C91" r:id="rId254"/>
    <hyperlink xmlns:r="http://schemas.openxmlformats.org/officeDocument/2006/relationships" ref="N91" r:id="rId255"/>
    <hyperlink xmlns:r="http://schemas.openxmlformats.org/officeDocument/2006/relationships" ref="O91" r:id="rId256"/>
    <hyperlink xmlns:r="http://schemas.openxmlformats.org/officeDocument/2006/relationships" ref="Q91" r:id="rId257"/>
    <hyperlink xmlns:r="http://schemas.openxmlformats.org/officeDocument/2006/relationships" ref="C92" r:id="rId258"/>
    <hyperlink xmlns:r="http://schemas.openxmlformats.org/officeDocument/2006/relationships" ref="O92" r:id="rId259"/>
    <hyperlink xmlns:r="http://schemas.openxmlformats.org/officeDocument/2006/relationships" ref="C93" r:id="rId260"/>
    <hyperlink xmlns:r="http://schemas.openxmlformats.org/officeDocument/2006/relationships" ref="N93" r:id="rId261"/>
    <hyperlink xmlns:r="http://schemas.openxmlformats.org/officeDocument/2006/relationships" ref="O93" r:id="rId262"/>
    <hyperlink xmlns:r="http://schemas.openxmlformats.org/officeDocument/2006/relationships" ref="Q93" r:id="rId263"/>
    <hyperlink xmlns:r="http://schemas.openxmlformats.org/officeDocument/2006/relationships" ref="C94" r:id="rId264"/>
    <hyperlink xmlns:r="http://schemas.openxmlformats.org/officeDocument/2006/relationships" ref="N94" r:id="rId265"/>
    <hyperlink xmlns:r="http://schemas.openxmlformats.org/officeDocument/2006/relationships" ref="O94" r:id="rId266"/>
    <hyperlink xmlns:r="http://schemas.openxmlformats.org/officeDocument/2006/relationships" ref="C95" r:id="rId267"/>
    <hyperlink xmlns:r="http://schemas.openxmlformats.org/officeDocument/2006/relationships" ref="N95" r:id="rId268"/>
    <hyperlink xmlns:r="http://schemas.openxmlformats.org/officeDocument/2006/relationships" ref="O95" r:id="rId269"/>
    <hyperlink xmlns:r="http://schemas.openxmlformats.org/officeDocument/2006/relationships" ref="Q95" r:id="rId270"/>
    <hyperlink xmlns:r="http://schemas.openxmlformats.org/officeDocument/2006/relationships" ref="C96" r:id="rId271"/>
    <hyperlink xmlns:r="http://schemas.openxmlformats.org/officeDocument/2006/relationships" ref="N96" r:id="rId272"/>
    <hyperlink xmlns:r="http://schemas.openxmlformats.org/officeDocument/2006/relationships" ref="O96" r:id="rId273"/>
    <hyperlink xmlns:r="http://schemas.openxmlformats.org/officeDocument/2006/relationships" ref="Q96" r:id="rId274"/>
    <hyperlink xmlns:r="http://schemas.openxmlformats.org/officeDocument/2006/relationships" ref="C97" r:id="rId275"/>
    <hyperlink xmlns:r="http://schemas.openxmlformats.org/officeDocument/2006/relationships" ref="N97" r:id="rId276"/>
    <hyperlink xmlns:r="http://schemas.openxmlformats.org/officeDocument/2006/relationships" ref="O97" r:id="rId277"/>
    <hyperlink xmlns:r="http://schemas.openxmlformats.org/officeDocument/2006/relationships" ref="Q97" r:id="rId278"/>
    <hyperlink xmlns:r="http://schemas.openxmlformats.org/officeDocument/2006/relationships" ref="C98" r:id="rId279"/>
    <hyperlink xmlns:r="http://schemas.openxmlformats.org/officeDocument/2006/relationships" ref="O98" r:id="rId280"/>
    <hyperlink xmlns:r="http://schemas.openxmlformats.org/officeDocument/2006/relationships" ref="C99" r:id="rId281"/>
    <hyperlink xmlns:r="http://schemas.openxmlformats.org/officeDocument/2006/relationships" ref="N99" r:id="rId282"/>
    <hyperlink xmlns:r="http://schemas.openxmlformats.org/officeDocument/2006/relationships" ref="O99" r:id="rId283"/>
    <hyperlink xmlns:r="http://schemas.openxmlformats.org/officeDocument/2006/relationships" ref="C100" r:id="rId284"/>
    <hyperlink xmlns:r="http://schemas.openxmlformats.org/officeDocument/2006/relationships" ref="N100" r:id="rId285"/>
    <hyperlink xmlns:r="http://schemas.openxmlformats.org/officeDocument/2006/relationships" ref="O100" r:id="rId286"/>
    <hyperlink xmlns:r="http://schemas.openxmlformats.org/officeDocument/2006/relationships" ref="C101" r:id="rId287"/>
    <hyperlink xmlns:r="http://schemas.openxmlformats.org/officeDocument/2006/relationships" ref="O101" r:id="rId288"/>
    <hyperlink xmlns:r="http://schemas.openxmlformats.org/officeDocument/2006/relationships" ref="O102" r:id="rId289"/>
    <hyperlink xmlns:r="http://schemas.openxmlformats.org/officeDocument/2006/relationships" ref="Q102" r:id="rId290"/>
    <hyperlink xmlns:r="http://schemas.openxmlformats.org/officeDocument/2006/relationships" ref="C103" r:id="rId291"/>
    <hyperlink xmlns:r="http://schemas.openxmlformats.org/officeDocument/2006/relationships" ref="N103" r:id="rId292"/>
    <hyperlink xmlns:r="http://schemas.openxmlformats.org/officeDocument/2006/relationships" ref="O103" r:id="rId293"/>
    <hyperlink xmlns:r="http://schemas.openxmlformats.org/officeDocument/2006/relationships" ref="C104" r:id="rId294"/>
    <hyperlink xmlns:r="http://schemas.openxmlformats.org/officeDocument/2006/relationships" ref="O104" r:id="rId295"/>
    <hyperlink xmlns:r="http://schemas.openxmlformats.org/officeDocument/2006/relationships" ref="Q104" r:id="rId296"/>
    <hyperlink xmlns:r="http://schemas.openxmlformats.org/officeDocument/2006/relationships" ref="C105" r:id="rId297"/>
    <hyperlink xmlns:r="http://schemas.openxmlformats.org/officeDocument/2006/relationships" ref="N105" r:id="rId298"/>
    <hyperlink xmlns:r="http://schemas.openxmlformats.org/officeDocument/2006/relationships" ref="O105" r:id="rId299"/>
    <hyperlink xmlns:r="http://schemas.openxmlformats.org/officeDocument/2006/relationships" ref="Q105" r:id="rId300"/>
    <hyperlink xmlns:r="http://schemas.openxmlformats.org/officeDocument/2006/relationships" ref="C106" r:id="rId301"/>
    <hyperlink xmlns:r="http://schemas.openxmlformats.org/officeDocument/2006/relationships" ref="O106" r:id="rId302"/>
    <hyperlink xmlns:r="http://schemas.openxmlformats.org/officeDocument/2006/relationships" ref="O107" r:id="rId303"/>
    <hyperlink xmlns:r="http://schemas.openxmlformats.org/officeDocument/2006/relationships" ref="C108" r:id="rId304"/>
    <hyperlink xmlns:r="http://schemas.openxmlformats.org/officeDocument/2006/relationships" ref="O108" r:id="rId305"/>
    <hyperlink xmlns:r="http://schemas.openxmlformats.org/officeDocument/2006/relationships" ref="C109" r:id="rId306"/>
    <hyperlink xmlns:r="http://schemas.openxmlformats.org/officeDocument/2006/relationships" ref="O109" r:id="rId307"/>
    <hyperlink xmlns:r="http://schemas.openxmlformats.org/officeDocument/2006/relationships" ref="Q109" r:id="rId308"/>
    <hyperlink xmlns:r="http://schemas.openxmlformats.org/officeDocument/2006/relationships" ref="C110" r:id="rId309"/>
    <hyperlink xmlns:r="http://schemas.openxmlformats.org/officeDocument/2006/relationships" ref="O110" r:id="rId310"/>
    <hyperlink xmlns:r="http://schemas.openxmlformats.org/officeDocument/2006/relationships" ref="Q110" r:id="rId311"/>
    <hyperlink xmlns:r="http://schemas.openxmlformats.org/officeDocument/2006/relationships" ref="O111" r:id="rId312"/>
    <hyperlink xmlns:r="http://schemas.openxmlformats.org/officeDocument/2006/relationships" ref="O112" r:id="rId313"/>
    <hyperlink xmlns:r="http://schemas.openxmlformats.org/officeDocument/2006/relationships" ref="C113" r:id="rId314"/>
    <hyperlink xmlns:r="http://schemas.openxmlformats.org/officeDocument/2006/relationships" ref="O113" r:id="rId315"/>
    <hyperlink xmlns:r="http://schemas.openxmlformats.org/officeDocument/2006/relationships" ref="Q113" r:id="rId316"/>
    <hyperlink xmlns:r="http://schemas.openxmlformats.org/officeDocument/2006/relationships" ref="C114" r:id="rId317"/>
    <hyperlink xmlns:r="http://schemas.openxmlformats.org/officeDocument/2006/relationships" ref="O114" r:id="rId318"/>
    <hyperlink xmlns:r="http://schemas.openxmlformats.org/officeDocument/2006/relationships" ref="Q114" r:id="rId319"/>
    <hyperlink xmlns:r="http://schemas.openxmlformats.org/officeDocument/2006/relationships" ref="C115" r:id="rId320"/>
    <hyperlink xmlns:r="http://schemas.openxmlformats.org/officeDocument/2006/relationships" ref="O115" r:id="rId321"/>
    <hyperlink xmlns:r="http://schemas.openxmlformats.org/officeDocument/2006/relationships" ref="C116" r:id="rId322"/>
    <hyperlink xmlns:r="http://schemas.openxmlformats.org/officeDocument/2006/relationships" ref="O116" r:id="rId323"/>
    <hyperlink xmlns:r="http://schemas.openxmlformats.org/officeDocument/2006/relationships" ref="Q116" r:id="rId324"/>
    <hyperlink xmlns:r="http://schemas.openxmlformats.org/officeDocument/2006/relationships" ref="C117" r:id="rId325"/>
    <hyperlink xmlns:r="http://schemas.openxmlformats.org/officeDocument/2006/relationships" ref="N117" r:id="rId326"/>
    <hyperlink xmlns:r="http://schemas.openxmlformats.org/officeDocument/2006/relationships" ref="O117" r:id="rId327"/>
    <hyperlink xmlns:r="http://schemas.openxmlformats.org/officeDocument/2006/relationships" ref="Q117" r:id="rId328"/>
    <hyperlink xmlns:r="http://schemas.openxmlformats.org/officeDocument/2006/relationships" ref="C118" r:id="rId329"/>
    <hyperlink xmlns:r="http://schemas.openxmlformats.org/officeDocument/2006/relationships" ref="O118" r:id="rId330"/>
    <hyperlink xmlns:r="http://schemas.openxmlformats.org/officeDocument/2006/relationships" ref="Q118" r:id="rId331"/>
    <hyperlink xmlns:r="http://schemas.openxmlformats.org/officeDocument/2006/relationships" ref="O119" r:id="rId332"/>
    <hyperlink xmlns:r="http://schemas.openxmlformats.org/officeDocument/2006/relationships" ref="C120" r:id="rId333"/>
    <hyperlink xmlns:r="http://schemas.openxmlformats.org/officeDocument/2006/relationships" ref="N120" r:id="rId334"/>
    <hyperlink xmlns:r="http://schemas.openxmlformats.org/officeDocument/2006/relationships" ref="O120" r:id="rId335"/>
    <hyperlink xmlns:r="http://schemas.openxmlformats.org/officeDocument/2006/relationships" ref="Q120" r:id="rId336"/>
    <hyperlink xmlns:r="http://schemas.openxmlformats.org/officeDocument/2006/relationships" ref="C121" r:id="rId337"/>
    <hyperlink xmlns:r="http://schemas.openxmlformats.org/officeDocument/2006/relationships" ref="N121" r:id="rId338"/>
    <hyperlink xmlns:r="http://schemas.openxmlformats.org/officeDocument/2006/relationships" ref="O121" r:id="rId339"/>
    <hyperlink xmlns:r="http://schemas.openxmlformats.org/officeDocument/2006/relationships" ref="Q121" r:id="rId340"/>
    <hyperlink xmlns:r="http://schemas.openxmlformats.org/officeDocument/2006/relationships" ref="C122" r:id="rId341"/>
    <hyperlink xmlns:r="http://schemas.openxmlformats.org/officeDocument/2006/relationships" ref="O122" r:id="rId342"/>
    <hyperlink xmlns:r="http://schemas.openxmlformats.org/officeDocument/2006/relationships" ref="Q122" r:id="rId343"/>
    <hyperlink xmlns:r="http://schemas.openxmlformats.org/officeDocument/2006/relationships" ref="O123" r:id="rId344"/>
    <hyperlink xmlns:r="http://schemas.openxmlformats.org/officeDocument/2006/relationships" ref="C124" r:id="rId345"/>
    <hyperlink xmlns:r="http://schemas.openxmlformats.org/officeDocument/2006/relationships" ref="N124" r:id="rId346"/>
    <hyperlink xmlns:r="http://schemas.openxmlformats.org/officeDocument/2006/relationships" ref="O124" r:id="rId347"/>
    <hyperlink xmlns:r="http://schemas.openxmlformats.org/officeDocument/2006/relationships" ref="C125" r:id="rId348"/>
    <hyperlink xmlns:r="http://schemas.openxmlformats.org/officeDocument/2006/relationships" ref="O125" r:id="rId349"/>
    <hyperlink xmlns:r="http://schemas.openxmlformats.org/officeDocument/2006/relationships" ref="Q125" r:id="rId350"/>
    <hyperlink xmlns:r="http://schemas.openxmlformats.org/officeDocument/2006/relationships" ref="C126" r:id="rId351"/>
    <hyperlink xmlns:r="http://schemas.openxmlformats.org/officeDocument/2006/relationships" ref="O126" r:id="rId352"/>
    <hyperlink xmlns:r="http://schemas.openxmlformats.org/officeDocument/2006/relationships" ref="O127" r:id="rId353"/>
    <hyperlink xmlns:r="http://schemas.openxmlformats.org/officeDocument/2006/relationships" ref="C128" r:id="rId354"/>
    <hyperlink xmlns:r="http://schemas.openxmlformats.org/officeDocument/2006/relationships" ref="O128" r:id="rId355"/>
    <hyperlink xmlns:r="http://schemas.openxmlformats.org/officeDocument/2006/relationships" ref="Q128" r:id="rId356"/>
    <hyperlink xmlns:r="http://schemas.openxmlformats.org/officeDocument/2006/relationships" ref="C129" r:id="rId357"/>
    <hyperlink xmlns:r="http://schemas.openxmlformats.org/officeDocument/2006/relationships" ref="N129" r:id="rId358"/>
    <hyperlink xmlns:r="http://schemas.openxmlformats.org/officeDocument/2006/relationships" ref="O129" r:id="rId359"/>
    <hyperlink xmlns:r="http://schemas.openxmlformats.org/officeDocument/2006/relationships" ref="C130" r:id="rId360"/>
    <hyperlink xmlns:r="http://schemas.openxmlformats.org/officeDocument/2006/relationships" ref="N130" r:id="rId361"/>
    <hyperlink xmlns:r="http://schemas.openxmlformats.org/officeDocument/2006/relationships" ref="O130" r:id="rId362"/>
    <hyperlink xmlns:r="http://schemas.openxmlformats.org/officeDocument/2006/relationships" ref="Q130" r:id="rId363"/>
    <hyperlink xmlns:r="http://schemas.openxmlformats.org/officeDocument/2006/relationships" ref="C131" r:id="rId364"/>
    <hyperlink xmlns:r="http://schemas.openxmlformats.org/officeDocument/2006/relationships" ref="N131" r:id="rId365"/>
    <hyperlink xmlns:r="http://schemas.openxmlformats.org/officeDocument/2006/relationships" ref="O131" r:id="rId366"/>
    <hyperlink xmlns:r="http://schemas.openxmlformats.org/officeDocument/2006/relationships" ref="Q131" r:id="rId367"/>
    <hyperlink xmlns:r="http://schemas.openxmlformats.org/officeDocument/2006/relationships" ref="O132" r:id="rId368"/>
    <hyperlink xmlns:r="http://schemas.openxmlformats.org/officeDocument/2006/relationships" ref="C133" r:id="rId369"/>
    <hyperlink xmlns:r="http://schemas.openxmlformats.org/officeDocument/2006/relationships" ref="O133" r:id="rId370"/>
    <hyperlink xmlns:r="http://schemas.openxmlformats.org/officeDocument/2006/relationships" ref="Q133" r:id="rId371"/>
    <hyperlink xmlns:r="http://schemas.openxmlformats.org/officeDocument/2006/relationships" ref="C134" r:id="rId372"/>
    <hyperlink xmlns:r="http://schemas.openxmlformats.org/officeDocument/2006/relationships" ref="O134" r:id="rId373"/>
    <hyperlink xmlns:r="http://schemas.openxmlformats.org/officeDocument/2006/relationships" ref="Q134" r:id="rId374"/>
    <hyperlink xmlns:r="http://schemas.openxmlformats.org/officeDocument/2006/relationships" ref="O135" r:id="rId375"/>
    <hyperlink xmlns:r="http://schemas.openxmlformats.org/officeDocument/2006/relationships" ref="O136" r:id="rId376"/>
    <hyperlink xmlns:r="http://schemas.openxmlformats.org/officeDocument/2006/relationships" ref="O137" r:id="rId377"/>
    <hyperlink xmlns:r="http://schemas.openxmlformats.org/officeDocument/2006/relationships" ref="C138" r:id="rId378"/>
    <hyperlink xmlns:r="http://schemas.openxmlformats.org/officeDocument/2006/relationships" ref="O138" r:id="rId379"/>
    <hyperlink xmlns:r="http://schemas.openxmlformats.org/officeDocument/2006/relationships" ref="Q138" r:id="rId380"/>
    <hyperlink xmlns:r="http://schemas.openxmlformats.org/officeDocument/2006/relationships" ref="C139" r:id="rId381"/>
    <hyperlink xmlns:r="http://schemas.openxmlformats.org/officeDocument/2006/relationships" ref="O139" r:id="rId382"/>
    <hyperlink xmlns:r="http://schemas.openxmlformats.org/officeDocument/2006/relationships" ref="C140" r:id="rId383"/>
    <hyperlink xmlns:r="http://schemas.openxmlformats.org/officeDocument/2006/relationships" ref="O140" r:id="rId384"/>
    <hyperlink xmlns:r="http://schemas.openxmlformats.org/officeDocument/2006/relationships" ref="C141" r:id="rId385"/>
    <hyperlink xmlns:r="http://schemas.openxmlformats.org/officeDocument/2006/relationships" ref="O141" r:id="rId386"/>
    <hyperlink xmlns:r="http://schemas.openxmlformats.org/officeDocument/2006/relationships" ref="Q141" r:id="rId387"/>
    <hyperlink xmlns:r="http://schemas.openxmlformats.org/officeDocument/2006/relationships" ref="O142" r:id="rId388"/>
    <hyperlink xmlns:r="http://schemas.openxmlformats.org/officeDocument/2006/relationships" ref="C143" r:id="rId389"/>
    <hyperlink xmlns:r="http://schemas.openxmlformats.org/officeDocument/2006/relationships" ref="O143" r:id="rId390"/>
    <hyperlink xmlns:r="http://schemas.openxmlformats.org/officeDocument/2006/relationships" ref="C144" r:id="rId391"/>
    <hyperlink xmlns:r="http://schemas.openxmlformats.org/officeDocument/2006/relationships" ref="N144" r:id="rId392"/>
    <hyperlink xmlns:r="http://schemas.openxmlformats.org/officeDocument/2006/relationships" ref="O144" r:id="rId393"/>
    <hyperlink xmlns:r="http://schemas.openxmlformats.org/officeDocument/2006/relationships" ref="Q144" r:id="rId394"/>
    <hyperlink xmlns:r="http://schemas.openxmlformats.org/officeDocument/2006/relationships" ref="C145" r:id="rId395"/>
    <hyperlink xmlns:r="http://schemas.openxmlformats.org/officeDocument/2006/relationships" ref="O145" r:id="rId396"/>
    <hyperlink xmlns:r="http://schemas.openxmlformats.org/officeDocument/2006/relationships" ref="C146" r:id="rId397"/>
    <hyperlink xmlns:r="http://schemas.openxmlformats.org/officeDocument/2006/relationships" ref="O146" r:id="rId398"/>
    <hyperlink xmlns:r="http://schemas.openxmlformats.org/officeDocument/2006/relationships" ref="C147" r:id="rId399"/>
    <hyperlink xmlns:r="http://schemas.openxmlformats.org/officeDocument/2006/relationships" ref="N147" r:id="rId400"/>
    <hyperlink xmlns:r="http://schemas.openxmlformats.org/officeDocument/2006/relationships" ref="O147" r:id="rId401"/>
    <hyperlink xmlns:r="http://schemas.openxmlformats.org/officeDocument/2006/relationships" ref="Q147" r:id="rId402"/>
    <hyperlink xmlns:r="http://schemas.openxmlformats.org/officeDocument/2006/relationships" ref="C148" r:id="rId403"/>
    <hyperlink xmlns:r="http://schemas.openxmlformats.org/officeDocument/2006/relationships" ref="N148" r:id="rId404"/>
    <hyperlink xmlns:r="http://schemas.openxmlformats.org/officeDocument/2006/relationships" ref="O148" r:id="rId405"/>
    <hyperlink xmlns:r="http://schemas.openxmlformats.org/officeDocument/2006/relationships" ref="Q148" r:id="rId406"/>
    <hyperlink xmlns:r="http://schemas.openxmlformats.org/officeDocument/2006/relationships" ref="C149" r:id="rId407"/>
    <hyperlink xmlns:r="http://schemas.openxmlformats.org/officeDocument/2006/relationships" ref="N149" r:id="rId408"/>
    <hyperlink xmlns:r="http://schemas.openxmlformats.org/officeDocument/2006/relationships" ref="O149" r:id="rId409"/>
    <hyperlink xmlns:r="http://schemas.openxmlformats.org/officeDocument/2006/relationships" ref="Q149" r:id="rId410"/>
    <hyperlink xmlns:r="http://schemas.openxmlformats.org/officeDocument/2006/relationships" ref="O150" r:id="rId411"/>
    <hyperlink xmlns:r="http://schemas.openxmlformats.org/officeDocument/2006/relationships" ref="C151" r:id="rId412"/>
    <hyperlink xmlns:r="http://schemas.openxmlformats.org/officeDocument/2006/relationships" ref="N151" r:id="rId413"/>
    <hyperlink xmlns:r="http://schemas.openxmlformats.org/officeDocument/2006/relationships" ref="O151" r:id="rId414"/>
    <hyperlink xmlns:r="http://schemas.openxmlformats.org/officeDocument/2006/relationships" ref="Q151" r:id="rId415"/>
    <hyperlink xmlns:r="http://schemas.openxmlformats.org/officeDocument/2006/relationships" ref="O152" r:id="rId416"/>
    <hyperlink xmlns:r="http://schemas.openxmlformats.org/officeDocument/2006/relationships" ref="C153" r:id="rId417"/>
    <hyperlink xmlns:r="http://schemas.openxmlformats.org/officeDocument/2006/relationships" ref="O153" r:id="rId418"/>
    <hyperlink xmlns:r="http://schemas.openxmlformats.org/officeDocument/2006/relationships" ref="C154" r:id="rId419"/>
    <hyperlink xmlns:r="http://schemas.openxmlformats.org/officeDocument/2006/relationships" ref="O154" r:id="rId420"/>
    <hyperlink xmlns:r="http://schemas.openxmlformats.org/officeDocument/2006/relationships" ref="Q154" r:id="rId421"/>
    <hyperlink xmlns:r="http://schemas.openxmlformats.org/officeDocument/2006/relationships" ref="O155" r:id="rId422"/>
    <hyperlink xmlns:r="http://schemas.openxmlformats.org/officeDocument/2006/relationships" ref="C156" r:id="rId423"/>
    <hyperlink xmlns:r="http://schemas.openxmlformats.org/officeDocument/2006/relationships" ref="O156" r:id="rId424"/>
    <hyperlink xmlns:r="http://schemas.openxmlformats.org/officeDocument/2006/relationships" ref="Q156" r:id="rId425"/>
    <hyperlink xmlns:r="http://schemas.openxmlformats.org/officeDocument/2006/relationships" ref="O157" r:id="rId426"/>
    <hyperlink xmlns:r="http://schemas.openxmlformats.org/officeDocument/2006/relationships" ref="C158" r:id="rId427"/>
    <hyperlink xmlns:r="http://schemas.openxmlformats.org/officeDocument/2006/relationships" ref="N158" r:id="rId428"/>
    <hyperlink xmlns:r="http://schemas.openxmlformats.org/officeDocument/2006/relationships" ref="O158" r:id="rId429"/>
    <hyperlink xmlns:r="http://schemas.openxmlformats.org/officeDocument/2006/relationships" ref="Q158" r:id="rId430"/>
    <hyperlink xmlns:r="http://schemas.openxmlformats.org/officeDocument/2006/relationships" ref="C159" r:id="rId431"/>
    <hyperlink xmlns:r="http://schemas.openxmlformats.org/officeDocument/2006/relationships" ref="O159" r:id="rId432"/>
    <hyperlink xmlns:r="http://schemas.openxmlformats.org/officeDocument/2006/relationships" ref="O160" r:id="rId433"/>
    <hyperlink xmlns:r="http://schemas.openxmlformats.org/officeDocument/2006/relationships" ref="C161" r:id="rId434"/>
    <hyperlink xmlns:r="http://schemas.openxmlformats.org/officeDocument/2006/relationships" ref="O161" r:id="rId435"/>
    <hyperlink xmlns:r="http://schemas.openxmlformats.org/officeDocument/2006/relationships" ref="Q161" r:id="rId436"/>
    <hyperlink xmlns:r="http://schemas.openxmlformats.org/officeDocument/2006/relationships" ref="C162" r:id="rId437"/>
    <hyperlink xmlns:r="http://schemas.openxmlformats.org/officeDocument/2006/relationships" ref="N162" r:id="rId438"/>
    <hyperlink xmlns:r="http://schemas.openxmlformats.org/officeDocument/2006/relationships" ref="O162" r:id="rId439"/>
    <hyperlink xmlns:r="http://schemas.openxmlformats.org/officeDocument/2006/relationships" ref="Q162" r:id="rId440"/>
    <hyperlink xmlns:r="http://schemas.openxmlformats.org/officeDocument/2006/relationships" ref="N163" r:id="rId441"/>
    <hyperlink xmlns:r="http://schemas.openxmlformats.org/officeDocument/2006/relationships" ref="O163" r:id="rId442"/>
    <hyperlink xmlns:r="http://schemas.openxmlformats.org/officeDocument/2006/relationships" ref="Q163" r:id="rId443"/>
    <hyperlink xmlns:r="http://schemas.openxmlformats.org/officeDocument/2006/relationships" ref="C164" r:id="rId444"/>
    <hyperlink xmlns:r="http://schemas.openxmlformats.org/officeDocument/2006/relationships" ref="O164" r:id="rId445"/>
    <hyperlink xmlns:r="http://schemas.openxmlformats.org/officeDocument/2006/relationships" ref="Q164" r:id="rId446"/>
    <hyperlink xmlns:r="http://schemas.openxmlformats.org/officeDocument/2006/relationships" ref="C165" r:id="rId447"/>
    <hyperlink xmlns:r="http://schemas.openxmlformats.org/officeDocument/2006/relationships" ref="N165" r:id="rId448"/>
    <hyperlink xmlns:r="http://schemas.openxmlformats.org/officeDocument/2006/relationships" ref="O165" r:id="rId449"/>
    <hyperlink xmlns:r="http://schemas.openxmlformats.org/officeDocument/2006/relationships" ref="Q165" r:id="rId450"/>
    <hyperlink xmlns:r="http://schemas.openxmlformats.org/officeDocument/2006/relationships" ref="C166" r:id="rId451"/>
    <hyperlink xmlns:r="http://schemas.openxmlformats.org/officeDocument/2006/relationships" ref="N166" r:id="rId452"/>
    <hyperlink xmlns:r="http://schemas.openxmlformats.org/officeDocument/2006/relationships" ref="O166" r:id="rId453"/>
    <hyperlink xmlns:r="http://schemas.openxmlformats.org/officeDocument/2006/relationships" ref="C167" r:id="rId454"/>
    <hyperlink xmlns:r="http://schemas.openxmlformats.org/officeDocument/2006/relationships" ref="N167" r:id="rId455"/>
    <hyperlink xmlns:r="http://schemas.openxmlformats.org/officeDocument/2006/relationships" ref="O167" r:id="rId456"/>
    <hyperlink xmlns:r="http://schemas.openxmlformats.org/officeDocument/2006/relationships" ref="Q167" r:id="rId457"/>
    <hyperlink xmlns:r="http://schemas.openxmlformats.org/officeDocument/2006/relationships" ref="C168" r:id="rId458"/>
    <hyperlink xmlns:r="http://schemas.openxmlformats.org/officeDocument/2006/relationships" ref="N168" r:id="rId459"/>
    <hyperlink xmlns:r="http://schemas.openxmlformats.org/officeDocument/2006/relationships" ref="O168" r:id="rId460"/>
    <hyperlink xmlns:r="http://schemas.openxmlformats.org/officeDocument/2006/relationships" ref="Q168" r:id="rId461"/>
    <hyperlink xmlns:r="http://schemas.openxmlformats.org/officeDocument/2006/relationships" ref="C169" r:id="rId462"/>
    <hyperlink xmlns:r="http://schemas.openxmlformats.org/officeDocument/2006/relationships" ref="N169" r:id="rId463"/>
    <hyperlink xmlns:r="http://schemas.openxmlformats.org/officeDocument/2006/relationships" ref="O169" r:id="rId46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4" customWidth="1" min="3" max="3"/>
    <col width="12" customWidth="1" min="4" max="4"/>
    <col width="12" customWidth="1" min="5" max="5"/>
    <col width="13" customWidth="1" min="6" max="6"/>
    <col width="19" customWidth="1" min="7" max="7"/>
    <col width="15" customWidth="1" min="8" max="8"/>
    <col width="17" customWidth="1" min="9" max="9"/>
    <col width="26" customWidth="1" min="10" max="10"/>
    <col width="19" customWidth="1" min="11" max="11"/>
    <col width="80" customWidth="1" min="12" max="12"/>
    <col width="12" customWidth="1" min="13" max="13"/>
    <col width="16" customWidth="1" min="14" max="14"/>
    <col width="12" customWidth="1" min="15" max="15"/>
    <col width="14" customWidth="1" min="16" max="16"/>
    <col width="24" customWidth="1" min="17" max="17"/>
    <col width="22" customWidth="1" min="18" max="18"/>
    <col width="16" customWidth="1" min="19" max="19"/>
    <col width="15" customWidth="1" min="20" max="20"/>
    <col width="18" customWidth="1" min="21" max="21"/>
    <col width="18" customWidth="1" min="22" max="22"/>
    <col width="18" customWidth="1" min="23" max="23"/>
    <col width="20" customWidth="1" min="24" max="24"/>
    <col width="16" customWidth="1" min="25" max="25"/>
    <col width="40" customWidth="1" min="26" max="26"/>
    <col width="16" customWidth="1" min="27" max="27"/>
    <col width="18" customWidth="1" min="28" max="28"/>
  </cols>
  <sheetData>
    <row r="1">
      <c r="A1" s="1" t="inlineStr">
        <is>
          <t>building_id</t>
        </is>
      </c>
      <c r="B1" s="1" t="inlineStr">
        <is>
          <t>street_address</t>
        </is>
      </c>
      <c r="C1" s="1" t="inlineStr">
        <is>
          <t>building_name</t>
        </is>
      </c>
      <c r="D1" s="1" t="inlineStr">
        <is>
          <t>lat</t>
        </is>
      </c>
      <c r="E1" s="1" t="inlineStr">
        <is>
          <t>lon</t>
        </is>
      </c>
      <c r="F1" s="1" t="inlineStr">
        <is>
          <t>lobby_type</t>
        </is>
      </c>
      <c r="G1" s="1" t="inlineStr">
        <is>
          <t>lobby_source_url</t>
        </is>
      </c>
      <c r="H1" s="1" t="inlineStr">
        <is>
          <t>coi_required</t>
        </is>
      </c>
      <c r="I1" s="1" t="inlineStr">
        <is>
          <t>coi_source_url</t>
        </is>
      </c>
      <c r="J1" s="1" t="inlineStr">
        <is>
          <t>candidate_company_count</t>
        </is>
      </c>
      <c r="K1" s="1" t="inlineStr">
        <is>
          <t>verified_on_foot</t>
        </is>
      </c>
      <c r="L1" s="1" t="inlineStr">
        <is>
          <t>notes</t>
        </is>
      </c>
      <c r="M1" s="1" t="inlineStr">
        <is>
          <t>bbl</t>
        </is>
      </c>
      <c r="N1" s="1" t="inlineStr">
        <is>
          <t>also_known_as</t>
        </is>
      </c>
      <c r="O1" s="1" t="inlineStr">
        <is>
          <t>zip</t>
        </is>
      </c>
      <c r="P1" s="1" t="inlineStr">
        <is>
          <t>in_boundary</t>
        </is>
      </c>
      <c r="Q1" s="1" t="inlineStr">
        <is>
          <t>candidate_company_ids</t>
        </is>
      </c>
      <c r="R1" s="1" t="inlineStr">
        <is>
          <t>other_company_count</t>
        </is>
      </c>
      <c r="S1" s="1" t="inlineStr">
        <is>
          <t>coworking_ids</t>
        </is>
      </c>
      <c r="T1" s="1" t="inlineStr">
        <is>
          <t>retailer_ids</t>
        </is>
      </c>
      <c r="U1" s="1" t="inlineStr">
        <is>
          <t>pluto_numfloors</t>
        </is>
      </c>
      <c r="V1" s="1" t="inlineStr">
        <is>
          <t>pluto_yearbuilt</t>
        </is>
      </c>
      <c r="W1" s="1" t="inlineStr">
        <is>
          <t>pluto_bldgclass</t>
        </is>
      </c>
      <c r="X1" s="1" t="inlineStr">
        <is>
          <t>pluto_office_sqft</t>
        </is>
      </c>
      <c r="Y1" s="1" t="inlineStr">
        <is>
          <t>pluto_address</t>
        </is>
      </c>
      <c r="Z1" s="1" t="inlineStr">
        <is>
          <t>pin_check</t>
        </is>
      </c>
      <c r="AA1" s="1" t="inlineStr">
        <is>
          <t>entrance_note</t>
        </is>
      </c>
      <c r="AB1" s="1" t="inlineStr">
        <is>
          <t>research_slices</t>
        </is>
      </c>
    </row>
    <row r="2">
      <c r="A2" t="inlineStr">
        <is>
          <t>B-B-001</t>
        </is>
      </c>
      <c r="B2" t="inlineStr">
        <is>
          <t>853 Broadway</t>
        </is>
      </c>
      <c r="C2" t="inlineStr">
        <is>
          <t>853 Broadway (Union Building)</t>
        </is>
      </c>
      <c r="D2" t="n">
        <v>40.734626</v>
      </c>
      <c r="E2" t="n">
        <v>-73.9911</v>
      </c>
      <c r="F2" t="inlineStr">
        <is>
          <t>security desk</t>
        </is>
      </c>
      <c r="G2" s="2" t="inlineStr">
        <is>
          <t>https://853broadway.sharplaunch.com/</t>
        </is>
      </c>
      <c r="H2" t="inlineStr">
        <is>
          <t>unknown</t>
        </is>
      </c>
      <c r="I2" t="inlineStr"/>
      <c r="J2" t="n">
        <v>7</v>
      </c>
      <c r="K2" t="inlineStr"/>
      <c r="L2" s="3" t="inlineStr">
        <is>
          <t>[S1] Margin: SE corner of 14th St and Broadway (south side of 14th, same tax lot as 841 Broadway). Building marketing site: 'Security: 24-hour concierge desk, Security cameras in lobby'; 3 passenger and 1 freight elevator. Metro Manhattan also says professional staff around the clock. Owner Feil Organization; 100% occupied per Union Square Partnership 2026 report (NYREJ 2026-07-29). Rows: Lepercq, Nourish, Personetics, Perplexity, Casa Komos, USHG, First Look Media. [S1] Margin (south side of 14th). Shares tax lot 1005650015 with 853 Broadway per geocoder; Feil operates 841-853 as one 248,300 sf commercial site. 8 stories, 91,300 sf, fully leased (REBusiness 2026-06-22). Rows: Perplexity (4th floor), Robin Hood (5-8, future), Movable Ink, HUMAN Security.</t>
        </is>
      </c>
      <c r="M2" t="inlineStr">
        <is>
          <t>1005650015</t>
        </is>
      </c>
      <c r="N2" t="inlineStr">
        <is>
          <t>841 Broadway</t>
        </is>
      </c>
      <c r="O2" t="inlineStr">
        <is>
          <t>10003</t>
        </is>
      </c>
      <c r="P2" t="inlineStr">
        <is>
          <t>Y</t>
        </is>
      </c>
      <c r="Q2" t="inlineStr">
        <is>
          <t>B-C-001; B-C-002; B-C-003; B-C-004; B-C-006; B-C-007; B-C-008</t>
        </is>
      </c>
      <c r="R2" t="n">
        <v>3</v>
      </c>
      <c r="S2" t="inlineStr"/>
      <c r="T2" t="inlineStr"/>
      <c r="U2" t="n">
        <v>21</v>
      </c>
      <c r="V2" t="n">
        <v>1900</v>
      </c>
      <c r="W2" t="inlineStr">
        <is>
          <t>O4</t>
        </is>
      </c>
      <c r="X2" t="n">
        <v>207953</v>
      </c>
      <c r="Y2" t="inlineStr">
        <is>
          <t>849 BROADWAY</t>
        </is>
      </c>
      <c r="Z2" t="inlineStr">
        <is>
          <t>PLUTO lot 849 BROADWAY, centroid 21 m from pin</t>
        </is>
      </c>
      <c r="AA2" t="inlineStr"/>
      <c r="AB2" t="inlineStr">
        <is>
          <t>S1</t>
        </is>
      </c>
    </row>
    <row r="3">
      <c r="A3" t="inlineStr">
        <is>
          <t>B-B-002</t>
        </is>
      </c>
      <c r="B3" t="inlineStr">
        <is>
          <t>124 East 14th Street</t>
        </is>
      </c>
      <c r="C3" t="inlineStr">
        <is>
          <t>Zero Irving</t>
        </is>
      </c>
      <c r="D3" t="n">
        <v>40.733674</v>
      </c>
      <c r="E3" t="n">
        <v>-73.988766</v>
      </c>
      <c r="F3" t="inlineStr">
        <is>
          <t>unknown</t>
        </is>
      </c>
      <c r="G3" t="inlineStr"/>
      <c r="H3" t="inlineStr">
        <is>
          <t>unknown</t>
        </is>
      </c>
      <c r="I3" t="inlineStr"/>
      <c r="J3" t="n">
        <v>2</v>
      </c>
      <c r="K3" t="inlineStr"/>
      <c r="L3" s="3" t="inlineStr">
        <is>
          <t>[S1] Margin (south side of 14th between Irving Pl and Third Ave, tax block 559, same block as Trader Joe's). 21 stories, 240,000 sf, RAL Development and JRE Partners; fully leased by 2024 (CO 2024-08). Rows: Alpine Investors (12), GameChanger (17), Senator Investment Group (20). Civic Hall runs an 85,000 sf digital training center (CO 2022-10, not confirmed current). Ground-floor Time Out Market food hall.</t>
        </is>
      </c>
      <c r="M3" t="inlineStr">
        <is>
          <t>1005590016</t>
        </is>
      </c>
      <c r="N3" t="inlineStr"/>
      <c r="O3" t="inlineStr">
        <is>
          <t>10003</t>
        </is>
      </c>
      <c r="P3" t="inlineStr">
        <is>
          <t>Y</t>
        </is>
      </c>
      <c r="Q3" t="inlineStr">
        <is>
          <t>B-C-009; B-C-011</t>
        </is>
      </c>
      <c r="R3" t="n">
        <v>1</v>
      </c>
      <c r="S3" t="inlineStr">
        <is>
          <t>B-W-001</t>
        </is>
      </c>
      <c r="T3" t="inlineStr"/>
      <c r="U3" t="n">
        <v>22</v>
      </c>
      <c r="V3" t="n">
        <v>2020</v>
      </c>
      <c r="W3" t="inlineStr">
        <is>
          <t>O4</t>
        </is>
      </c>
      <c r="X3" t="n">
        <v>208479</v>
      </c>
      <c r="Y3" t="inlineStr">
        <is>
          <t>124 EAST 14 STREET</t>
        </is>
      </c>
      <c r="Z3" t="inlineStr">
        <is>
          <t>PLUTO lot 124 EAST 14 STREET, centroid 3 m from pin</t>
        </is>
      </c>
      <c r="AA3" t="inlineStr"/>
      <c r="AB3" t="inlineStr">
        <is>
          <t>S1</t>
        </is>
      </c>
    </row>
    <row r="4">
      <c r="A4" t="inlineStr">
        <is>
          <t>B-B-003</t>
        </is>
      </c>
      <c r="B4" t="inlineStr">
        <is>
          <t>5 Union Square West</t>
        </is>
      </c>
      <c r="C4" t="inlineStr">
        <is>
          <t>Spingler Building (5-9 Union Square West)</t>
        </is>
      </c>
      <c r="D4" t="n">
        <v>40.7357</v>
      </c>
      <c r="E4" t="n">
        <v>-73.991754</v>
      </c>
      <c r="F4" t="inlineStr">
        <is>
          <t>unknown</t>
        </is>
      </c>
      <c r="G4" t="inlineStr"/>
      <c r="H4" t="inlineStr">
        <is>
          <t>unknown</t>
        </is>
      </c>
      <c r="I4" t="inlineStr"/>
      <c r="J4" t="n">
        <v>2</v>
      </c>
      <c r="K4" t="inlineStr"/>
      <c r="L4" s="3" t="inlineStr">
        <is>
          <t>[S1] In-box (USW between E 14th and E 15th). Eight stories, GFP Real Estate. Rows: Rockwell Group (8th), Profound (two new floors, 2026). Pushkin Industries also here per 2022 press; not recorded (source older than 24 months, no headcount).</t>
        </is>
      </c>
      <c r="M4" t="inlineStr">
        <is>
          <t>1008420023</t>
        </is>
      </c>
      <c r="N4" t="inlineStr"/>
      <c r="O4" t="inlineStr">
        <is>
          <t>10003</t>
        </is>
      </c>
      <c r="P4" t="inlineStr">
        <is>
          <t>Y</t>
        </is>
      </c>
      <c r="Q4" t="inlineStr">
        <is>
          <t>B-C-012; B-C-013</t>
        </is>
      </c>
      <c r="R4" t="n">
        <v>0</v>
      </c>
      <c r="S4" t="inlineStr"/>
      <c r="T4" t="inlineStr"/>
      <c r="U4" t="n">
        <v>8</v>
      </c>
      <c r="V4" t="n">
        <v>1900</v>
      </c>
      <c r="W4" t="inlineStr">
        <is>
          <t>O6</t>
        </is>
      </c>
      <c r="X4" t="n">
        <v>74436</v>
      </c>
      <c r="Y4" t="inlineStr">
        <is>
          <t>5 UNION SQUARE</t>
        </is>
      </c>
      <c r="Z4" t="inlineStr">
        <is>
          <t>PLUTO lot 5 UNION SQUARE, centroid 4 m from pin</t>
        </is>
      </c>
      <c r="AA4" t="inlineStr"/>
      <c r="AB4" t="inlineStr">
        <is>
          <t>S1</t>
        </is>
      </c>
    </row>
    <row r="5">
      <c r="A5" t="inlineStr">
        <is>
          <t>B-B-004</t>
        </is>
      </c>
      <c r="B5" t="inlineStr">
        <is>
          <t>71 Fifth Avenue</t>
        </is>
      </c>
      <c r="C5" t="inlineStr">
        <is>
          <t>71 Fifth Avenue</t>
        </is>
      </c>
      <c r="D5" t="n">
        <v>40.736419</v>
      </c>
      <c r="E5" t="n">
        <v>-73.99309599999999</v>
      </c>
      <c r="F5" t="inlineStr">
        <is>
          <t>unknown</t>
        </is>
      </c>
      <c r="G5" t="inlineStr"/>
      <c r="H5" t="inlineStr">
        <is>
          <t>unknown</t>
        </is>
      </c>
      <c r="I5" t="inlineStr"/>
      <c r="J5" t="n">
        <v>1</v>
      </c>
      <c r="K5" t="inlineStr"/>
      <c r="L5" s="3" t="inlineStr">
        <is>
          <t>[S1] In-box (E side of Fifth, 14th-15th). 11 stories, 1907, Madison Capital / Lubert Adler. Rows: Adyen (10-11; leasing 90k sf at 111-115 Fifth in 2026, so may leave), Mirage/Captions (6th, 2024 lease).</t>
        </is>
      </c>
      <c r="M5" t="inlineStr">
        <is>
          <t>1008420042</t>
        </is>
      </c>
      <c r="N5" t="inlineStr"/>
      <c r="O5" t="inlineStr">
        <is>
          <t>10003</t>
        </is>
      </c>
      <c r="P5" t="inlineStr">
        <is>
          <t>Y</t>
        </is>
      </c>
      <c r="Q5" t="inlineStr">
        <is>
          <t>B-C-014</t>
        </is>
      </c>
      <c r="R5" t="n">
        <v>1</v>
      </c>
      <c r="S5" t="inlineStr"/>
      <c r="T5" t="inlineStr"/>
      <c r="U5" t="n">
        <v>11</v>
      </c>
      <c r="V5" t="n">
        <v>1907</v>
      </c>
      <c r="W5" t="inlineStr">
        <is>
          <t>O6</t>
        </is>
      </c>
      <c r="X5" t="n">
        <v>122121</v>
      </c>
      <c r="Y5" t="inlineStr">
        <is>
          <t>71 5 AVENUE</t>
        </is>
      </c>
      <c r="Z5" t="inlineStr">
        <is>
          <t>PLUTO lot 71 5 AVENUE, centroid 22 m from pin; Review round 2: corner lot: the lot-centroid pin sat 21 m from E 15 ST but 40 m from 5 AVE, so it was moved to the 5 AVE frontage near the corner (17 m from the 5 AVE centreline, 26 m from E 15 ST; 24 m from the old pin). Tax lot unchanged.</t>
        </is>
      </c>
      <c r="AA5" t="inlineStr">
        <is>
          <t>Corner building: the address is on Fifth Avenue, and the building also fronts East 15th Street. The pin sits on the Fifth Avenue side; check which door takes deliveries.</t>
        </is>
      </c>
      <c r="AB5" t="inlineStr">
        <is>
          <t>S1</t>
        </is>
      </c>
    </row>
    <row r="6">
      <c r="A6" t="inlineStr">
        <is>
          <t>B-B-006</t>
        </is>
      </c>
      <c r="B6" t="inlineStr">
        <is>
          <t>100 Fifth Avenue</t>
        </is>
      </c>
      <c r="C6" t="inlineStr">
        <is>
          <t>100-104 Fifth Avenue</t>
        </is>
      </c>
      <c r="D6" t="n">
        <v>40.736981</v>
      </c>
      <c r="E6" t="n">
        <v>-73.993144</v>
      </c>
      <c r="F6" t="inlineStr">
        <is>
          <t>unknown</t>
        </is>
      </c>
      <c r="G6" t="inlineStr"/>
      <c r="H6" t="inlineStr">
        <is>
          <t>unknown</t>
        </is>
      </c>
      <c r="I6" t="inlineStr"/>
      <c r="J6" t="n">
        <v>3</v>
      </c>
      <c r="K6" t="inlineStr"/>
      <c r="L6" s="3" t="inlineStr">
        <is>
          <t>[S1] In-box (SW corner Fifth and W 15th; two joined buildings, 20 stories). Sovereign Partners; 100% leased per CO 2026-08-26. Rows: Biohub (9th), Fundraise Up (7th), Battery Ventures (3rd). Accrue Savings also here but Built In shows 30 employees, skipped.</t>
        </is>
      </c>
      <c r="M6" t="inlineStr">
        <is>
          <t>1008177502</t>
        </is>
      </c>
      <c r="N6" t="inlineStr"/>
      <c r="O6" t="inlineStr">
        <is>
          <t>10011</t>
        </is>
      </c>
      <c r="P6" t="inlineStr">
        <is>
          <t>Y</t>
        </is>
      </c>
      <c r="Q6" t="inlineStr">
        <is>
          <t>B-C-016; B-C-017; B-C-018</t>
        </is>
      </c>
      <c r="R6" t="n">
        <v>0</v>
      </c>
      <c r="S6" t="inlineStr"/>
      <c r="T6" t="inlineStr"/>
      <c r="U6" t="n">
        <v>19</v>
      </c>
      <c r="V6" t="n">
        <v>1906</v>
      </c>
      <c r="W6" t="inlineStr">
        <is>
          <t>RC</t>
        </is>
      </c>
      <c r="X6" t="n">
        <v>224260</v>
      </c>
      <c r="Y6" t="inlineStr">
        <is>
          <t>100 5 AVENUE</t>
        </is>
      </c>
      <c r="Z6" t="inlineStr">
        <is>
          <t>PLUTO lot 100 5 AVENUE, centroid 16 m from pin; Review round 2: corner lot: the lot-centroid pin sat 24 m from W 15 ST but 36 m from 5 AVE, so it was moved to the 5 AVE frontage near the corner (17 m from the 5 AVE centreline, 26 m from W 15 ST; 20 m from the old pin). Tax lot unchanged.</t>
        </is>
      </c>
      <c r="AA6" t="inlineStr">
        <is>
          <t>Corner building: the address is on Fifth Avenue, and the building also fronts West 15th Street. The pin sits on the Fifth Avenue side; check which door takes deliveries.</t>
        </is>
      </c>
      <c r="AB6" t="inlineStr">
        <is>
          <t>S1</t>
        </is>
      </c>
    </row>
    <row r="7">
      <c r="A7" t="inlineStr">
        <is>
          <t>B-B-005</t>
        </is>
      </c>
      <c r="B7" t="inlineStr">
        <is>
          <t>19 Union Square West</t>
        </is>
      </c>
      <c r="C7" t="inlineStr">
        <is>
          <t>19 Union Square West</t>
        </is>
      </c>
      <c r="D7" t="n">
        <v>40.73616</v>
      </c>
      <c r="E7" t="n">
        <v>-73.991181</v>
      </c>
      <c r="F7" t="inlineStr">
        <is>
          <t>unknown</t>
        </is>
      </c>
      <c r="G7" t="inlineStr"/>
      <c r="H7" t="inlineStr">
        <is>
          <t>unknown</t>
        </is>
      </c>
      <c r="I7" t="inlineStr"/>
      <c r="J7" t="n">
        <v>1</v>
      </c>
      <c r="K7" t="inlineStr"/>
      <c r="L7" s="3" t="inlineStr">
        <is>
          <t>[S1] In-box (USW at E 15th). 12-story office and retail, landlord 17-19 Associates (ABS Partners). Row: Gresham Investment Management (11th). Updater (2018 leases on 6th and 12th) not confirmed current; UnionDerm (medical) on 5th, skipped.</t>
        </is>
      </c>
      <c r="M7" t="inlineStr">
        <is>
          <t>1008430020</t>
        </is>
      </c>
      <c r="N7" t="inlineStr"/>
      <c r="O7" t="inlineStr">
        <is>
          <t>10003</t>
        </is>
      </c>
      <c r="P7" t="inlineStr">
        <is>
          <t>Y</t>
        </is>
      </c>
      <c r="Q7" t="inlineStr">
        <is>
          <t>B-C-015</t>
        </is>
      </c>
      <c r="R7" t="n">
        <v>0</v>
      </c>
      <c r="S7" t="inlineStr"/>
      <c r="T7" t="inlineStr"/>
      <c r="U7" t="n">
        <v>12</v>
      </c>
      <c r="V7" t="n">
        <v>1912</v>
      </c>
      <c r="W7" t="inlineStr">
        <is>
          <t>O6</t>
        </is>
      </c>
      <c r="X7" t="n">
        <v>81845</v>
      </c>
      <c r="Y7" t="inlineStr">
        <is>
          <t>17 UNION SQUARE</t>
        </is>
      </c>
      <c r="Z7" t="inlineStr">
        <is>
          <t>PLUTO lot 17 UNION SQUARE, centroid 23 m from pin; Review round 2: corner lot: the lot-centroid pin sat 17 m from E 15 ST but 33 m from UNION SQ W, so it was moved to the UNION SQ W frontage near the corner (12 m from the UNION SQ W centreline, 27 m from E 15 ST; 23 m from the old pin). Tax lot unchanged.</t>
        </is>
      </c>
      <c r="AA7" t="inlineStr">
        <is>
          <t>Corner building: the address is on Union Square West, and the building also fronts East 15th Street. The pin sits on the Union Square West side; check which door takes deliveries.</t>
        </is>
      </c>
      <c r="AB7" t="inlineStr">
        <is>
          <t>S1</t>
        </is>
      </c>
    </row>
    <row r="8">
      <c r="A8" t="inlineStr">
        <is>
          <t>B-B-007</t>
        </is>
      </c>
      <c r="B8" t="inlineStr">
        <is>
          <t>79 Fifth Avenue</t>
        </is>
      </c>
      <c r="C8" t="inlineStr">
        <is>
          <t>79 Fifth Avenue</t>
        </is>
      </c>
      <c r="D8" t="n">
        <v>40.737054</v>
      </c>
      <c r="E8" t="n">
        <v>-73.99263500000001</v>
      </c>
      <c r="F8" t="inlineStr">
        <is>
          <t>unknown</t>
        </is>
      </c>
      <c r="G8" t="inlineStr"/>
      <c r="H8" t="inlineStr">
        <is>
          <t>unknown</t>
        </is>
      </c>
      <c r="I8" t="inlineStr"/>
      <c r="J8" t="n">
        <v>1</v>
      </c>
      <c r="K8" t="inlineStr"/>
      <c r="L8" s="3" t="inlineStr">
        <is>
          <t>[S1] In-box (E side of Fifth, 15th-16th). Kalimian Properties. Rows: Thinking Machines Lab (4th, 2026), Capgemini America (may be leaving for Penn 2), Hulu. The New School also listed (university, not recorded). Free People retail.</t>
        </is>
      </c>
      <c r="M8" t="inlineStr">
        <is>
          <t>1008430045</t>
        </is>
      </c>
      <c r="N8" t="inlineStr"/>
      <c r="O8" t="inlineStr">
        <is>
          <t>10003</t>
        </is>
      </c>
      <c r="P8" t="inlineStr">
        <is>
          <t>Y</t>
        </is>
      </c>
      <c r="Q8" t="inlineStr">
        <is>
          <t>B-C-019</t>
        </is>
      </c>
      <c r="R8" t="n">
        <v>2</v>
      </c>
      <c r="S8" t="inlineStr"/>
      <c r="T8" t="inlineStr"/>
      <c r="U8" t="n">
        <v>16</v>
      </c>
      <c r="V8" t="n">
        <v>1906</v>
      </c>
      <c r="W8" t="inlineStr">
        <is>
          <t>O6</t>
        </is>
      </c>
      <c r="X8" t="n">
        <v>256266</v>
      </c>
      <c r="Y8" t="inlineStr">
        <is>
          <t>79 5 AVENUE</t>
        </is>
      </c>
      <c r="Z8" t="inlineStr">
        <is>
          <t>PLUTO lot 79 5 AVENUE, centroid 22 m from pin; Review round 2: corner lot: the lot-centroid pin sat 25 m from E 16 ST but 39 m from 5 AVE, so it was moved to the 5 AVE frontage near the corner (17 m from the 5 AVE centreline, 27 m from E 16 ST; 23 m from the old pin). Tax lot unchanged.</t>
        </is>
      </c>
      <c r="AA8" t="inlineStr">
        <is>
          <t>Corner building: the address is on Fifth Avenue, and the building also fronts East 16th Street. The pin sits on the Fifth Avenue side; check which door takes deliveries.</t>
        </is>
      </c>
      <c r="AB8" t="inlineStr">
        <is>
          <t>S1</t>
        </is>
      </c>
    </row>
    <row r="9">
      <c r="A9" t="inlineStr">
        <is>
          <t>B-B-009</t>
        </is>
      </c>
      <c r="B9" t="inlineStr">
        <is>
          <t>114 Fifth Avenue</t>
        </is>
      </c>
      <c r="C9" t="inlineStr">
        <is>
          <t>114 Fifth Avenue</t>
        </is>
      </c>
      <c r="D9" t="n">
        <v>40.737788</v>
      </c>
      <c r="E9" t="n">
        <v>-73.992555</v>
      </c>
      <c r="F9" t="inlineStr">
        <is>
          <t>unknown</t>
        </is>
      </c>
      <c r="G9" t="inlineStr"/>
      <c r="H9" t="inlineStr">
        <is>
          <t>unknown</t>
        </is>
      </c>
      <c r="I9" t="inlineStr"/>
      <c r="J9" t="n">
        <v>0</v>
      </c>
      <c r="K9" t="inlineStr"/>
      <c r="L9" s="3" t="inlineStr">
        <is>
          <t>[S1] In-box (W side of Fifth, 16th-17th). About 350,000 sf, L&amp;L Holding / Columbia Property Trust / Allianz. Coworking: Hub Seventeen (CO 2025-02). Rows: Capital One, Acxiom, Chainalysis. Lululemon retail.</t>
        </is>
      </c>
      <c r="M9" t="inlineStr">
        <is>
          <t>1008180051</t>
        </is>
      </c>
      <c r="N9" t="inlineStr"/>
      <c r="O9" t="inlineStr">
        <is>
          <t>10011</t>
        </is>
      </c>
      <c r="P9" t="inlineStr">
        <is>
          <t>Y</t>
        </is>
      </c>
      <c r="Q9" t="inlineStr"/>
      <c r="R9" t="n">
        <v>3</v>
      </c>
      <c r="S9" t="inlineStr">
        <is>
          <t>B-W-002</t>
        </is>
      </c>
      <c r="T9" t="inlineStr"/>
      <c r="U9" t="n">
        <v>18</v>
      </c>
      <c r="V9" t="n">
        <v>1909</v>
      </c>
      <c r="W9" t="inlineStr">
        <is>
          <t>O6</t>
        </is>
      </c>
      <c r="X9" t="n">
        <v>328682</v>
      </c>
      <c r="Y9" t="inlineStr">
        <is>
          <t>114 5 AVENUE</t>
        </is>
      </c>
      <c r="Z9" t="inlineStr">
        <is>
          <t>PLUTO lot 114 5 AVENUE, centroid 24 m from pin; Review round 2: corner lot: the lot-centroid pin sat 22 m from W 17 ST but 39 m from 5 AVE, so it was moved to the 5 AVE frontage near the corner (17 m from the 5 AVE centreline, 27 m from W 17 ST; 22 m from the old pin). Tax lot unchanged.</t>
        </is>
      </c>
      <c r="AA9" t="inlineStr">
        <is>
          <t>Corner building: the address is on Fifth Avenue, and the building also fronts West 17th Street. The pin sits on the Fifth Avenue side; check which door takes deliveries.</t>
        </is>
      </c>
      <c r="AB9" t="inlineStr">
        <is>
          <t>S1</t>
        </is>
      </c>
    </row>
    <row r="10">
      <c r="A10" t="inlineStr">
        <is>
          <t>B-B-008</t>
        </is>
      </c>
      <c r="B10" t="inlineStr">
        <is>
          <t>26 West 17th Street</t>
        </is>
      </c>
      <c r="C10" t="inlineStr">
        <is>
          <t>26 West 17th Street</t>
        </is>
      </c>
      <c r="D10" t="n">
        <v>40.738405</v>
      </c>
      <c r="E10" t="n">
        <v>-73.99393999999999</v>
      </c>
      <c r="F10" t="inlineStr">
        <is>
          <t>unknown</t>
        </is>
      </c>
      <c r="G10" t="inlineStr"/>
      <c r="H10" t="inlineStr">
        <is>
          <t>unknown</t>
        </is>
      </c>
      <c r="I10" t="inlineStr"/>
      <c r="J10" t="n">
        <v>1</v>
      </c>
      <c r="K10" t="inlineStr"/>
      <c r="L10" s="3" t="inlineStr">
        <is>
          <t>[S1] In-box. 12-story midblock building, Winter Properties; 100% occupied after 2025 leases (CO 2025-03-27). Rows: Faire (9, 12), Mercury (10), Scale Microgrids (11).</t>
        </is>
      </c>
      <c r="M10" t="inlineStr">
        <is>
          <t>1008180066</t>
        </is>
      </c>
      <c r="N10" t="inlineStr"/>
      <c r="O10" t="inlineStr">
        <is>
          <t>10011</t>
        </is>
      </c>
      <c r="P10" t="inlineStr">
        <is>
          <t>Y</t>
        </is>
      </c>
      <c r="Q10" t="inlineStr">
        <is>
          <t>B-C-021</t>
        </is>
      </c>
      <c r="R10" t="n">
        <v>2</v>
      </c>
      <c r="S10" t="inlineStr"/>
      <c r="T10" t="inlineStr"/>
      <c r="U10" t="n">
        <v>12</v>
      </c>
      <c r="V10" t="n">
        <v>1908</v>
      </c>
      <c r="W10" t="inlineStr">
        <is>
          <t>O6</t>
        </is>
      </c>
      <c r="X10" t="n">
        <v>101226</v>
      </c>
      <c r="Y10" t="inlineStr">
        <is>
          <t>26 WEST 17 STREET</t>
        </is>
      </c>
      <c r="Z10" t="inlineStr">
        <is>
          <t>PLUTO lot 26 WEST 17 STREET, centroid 1 m from pin</t>
        </is>
      </c>
      <c r="AA10" t="inlineStr"/>
      <c r="AB10" t="inlineStr">
        <is>
          <t>S1</t>
        </is>
      </c>
    </row>
    <row r="11">
      <c r="A11" t="inlineStr">
        <is>
          <t>B-B-010</t>
        </is>
      </c>
      <c r="B11" t="inlineStr">
        <is>
          <t>120 Fifth Avenue</t>
        </is>
      </c>
      <c r="C11" t="inlineStr">
        <is>
          <t>120 Fifth Avenue</t>
        </is>
      </c>
      <c r="D11" t="n">
        <v>40.738186</v>
      </c>
      <c r="E11" t="n">
        <v>-73.992429</v>
      </c>
      <c r="F11" t="inlineStr">
        <is>
          <t>unknown</t>
        </is>
      </c>
      <c r="G11" t="inlineStr"/>
      <c r="H11" t="inlineStr">
        <is>
          <t>unknown</t>
        </is>
      </c>
      <c r="I11" t="inlineStr"/>
      <c r="J11" t="n">
        <v>5</v>
      </c>
      <c r="K11" t="inlineStr"/>
      <c r="L11" s="3" t="inlineStr">
        <is>
          <t>[S1] In-box (W side of Fifth at W 17th). 11 stories, Bromley Companies, prebuilt full floors about 6,500 sf; 100% leased per CO 2026-10-19. Rows: Kharon, Iterative Scopes, Eagle AI, Delos Capital, U.S. News (conflicting), Walleye Financial.</t>
        </is>
      </c>
      <c r="M11" t="inlineStr">
        <is>
          <t>1008190037</t>
        </is>
      </c>
      <c r="N11" t="inlineStr"/>
      <c r="O11" t="inlineStr">
        <is>
          <t>10011</t>
        </is>
      </c>
      <c r="P11" t="inlineStr">
        <is>
          <t>Y</t>
        </is>
      </c>
      <c r="Q11" t="inlineStr">
        <is>
          <t>B-C-022; B-C-023; B-C-024; B-C-025; B-C-026</t>
        </is>
      </c>
      <c r="R11" t="n">
        <v>1</v>
      </c>
      <c r="S11" t="inlineStr"/>
      <c r="T11" t="inlineStr"/>
      <c r="U11" t="n">
        <v>11</v>
      </c>
      <c r="V11" t="n">
        <v>1906</v>
      </c>
      <c r="W11" t="inlineStr">
        <is>
          <t>O6</t>
        </is>
      </c>
      <c r="X11" t="n">
        <v>60257</v>
      </c>
      <c r="Y11" t="inlineStr">
        <is>
          <t>118 5 AVENUE</t>
        </is>
      </c>
      <c r="Z11" t="inlineStr">
        <is>
          <t>PLUTO lot 118 5 AVENUE, centroid 3 m from pin</t>
        </is>
      </c>
      <c r="AA11" t="inlineStr"/>
      <c r="AB11" t="inlineStr">
        <is>
          <t>S1</t>
        </is>
      </c>
    </row>
    <row r="12">
      <c r="A12" t="inlineStr">
        <is>
          <t>B-B-012</t>
        </is>
      </c>
      <c r="B12" t="inlineStr">
        <is>
          <t>101 Fifth Avenue</t>
        </is>
      </c>
      <c r="C12" t="inlineStr">
        <is>
          <t>101 Fifth Avenue</t>
        </is>
      </c>
      <c r="D12" t="n">
        <v>40.738063</v>
      </c>
      <c r="E12" t="n">
        <v>-73.99189800000001</v>
      </c>
      <c r="F12" t="inlineStr">
        <is>
          <t>unknown</t>
        </is>
      </c>
      <c r="G12" t="inlineStr"/>
      <c r="H12" t="inlineStr">
        <is>
          <t>unknown</t>
        </is>
      </c>
      <c r="I12" t="inlineStr"/>
      <c r="J12" t="n">
        <v>2</v>
      </c>
      <c r="K12" t="inlineStr"/>
      <c r="L12" s="3" t="inlineStr">
        <is>
          <t>[S1] In-box (E side of Fifth, 17th-18th). 11 stories, full occupancy after 2025 (CO 2025-08-04). Rows: LUMA Partners (9th), Prepared 911. Vine Ventures (VC) also listed; not recorded (no headcount source). Zara retail.</t>
        </is>
      </c>
      <c r="M12" t="inlineStr">
        <is>
          <t>1008460002</t>
        </is>
      </c>
      <c r="N12" t="inlineStr"/>
      <c r="O12" t="inlineStr">
        <is>
          <t>10003</t>
        </is>
      </c>
      <c r="P12" t="inlineStr">
        <is>
          <t>Y</t>
        </is>
      </c>
      <c r="Q12" t="inlineStr">
        <is>
          <t>B-C-029; B-C-030</t>
        </is>
      </c>
      <c r="R12" t="n">
        <v>0</v>
      </c>
      <c r="S12" t="inlineStr"/>
      <c r="T12" t="inlineStr"/>
      <c r="U12" t="n">
        <v>11</v>
      </c>
      <c r="V12" t="n">
        <v>1909</v>
      </c>
      <c r="W12" t="inlineStr">
        <is>
          <t>O6</t>
        </is>
      </c>
      <c r="X12" t="n">
        <v>55405</v>
      </c>
      <c r="Y12" t="inlineStr">
        <is>
          <t>101 5 AVENUE</t>
        </is>
      </c>
      <c r="Z12" t="inlineStr">
        <is>
          <t>PLUTO lot 101 5 AVENUE, centroid 13 m from pin; Review round 2: corner lot: the lot-centroid pin sat 27 m from E 17 ST but 30 m from 5 AVE, so it was moved to the 5 AVE frontage near the corner (17 m from the 5 AVE centreline, 27 m from E 17 ST; 13 m from the old pin). Tax lot unchanged.</t>
        </is>
      </c>
      <c r="AA12" t="inlineStr">
        <is>
          <t>Corner building: the address is on Fifth Avenue, and the building also fronts East 17th Street. The pin sits on the Fifth Avenue side; check which door takes deliveries.</t>
        </is>
      </c>
      <c r="AB12" t="inlineStr">
        <is>
          <t>S1</t>
        </is>
      </c>
    </row>
    <row r="13">
      <c r="A13" t="inlineStr">
        <is>
          <t>B-B-011</t>
        </is>
      </c>
      <c r="B13" t="inlineStr">
        <is>
          <t>860 Broadway</t>
        </is>
      </c>
      <c r="C13" t="inlineStr">
        <is>
          <t>860 Broadway</t>
        </is>
      </c>
      <c r="D13" t="n">
        <v>40.737311</v>
      </c>
      <c r="E13" t="n">
        <v>-73.990092</v>
      </c>
      <c r="F13" t="inlineStr">
        <is>
          <t>unknown</t>
        </is>
      </c>
      <c r="G13" t="inlineStr"/>
      <c r="H13" t="inlineStr">
        <is>
          <t>unknown</t>
        </is>
      </c>
      <c r="I13" t="inlineStr"/>
      <c r="J13" t="n">
        <v>1</v>
      </c>
      <c r="K13" t="inlineStr"/>
      <c r="L13" s="3" t="inlineStr">
        <is>
          <t>[S1] In-box (Union Sq West / Broadway at E 17th). Six stories, 1926, Gordon Property Group. Coworking: Industrious (27,630 sf incl. 5th floor from Q1 2025, CO 2024-04). Retail: Uniqlo flagship. Rows: Selldorf Architects, Valon (4th), Kaltura (3rd).</t>
        </is>
      </c>
      <c r="M13" t="inlineStr">
        <is>
          <t>1008460026</t>
        </is>
      </c>
      <c r="N13" t="inlineStr"/>
      <c r="O13" t="inlineStr">
        <is>
          <t>10003</t>
        </is>
      </c>
      <c r="P13" t="inlineStr">
        <is>
          <t>Y</t>
        </is>
      </c>
      <c r="Q13" t="inlineStr">
        <is>
          <t>B-C-027</t>
        </is>
      </c>
      <c r="R13" t="n">
        <v>2</v>
      </c>
      <c r="S13" t="inlineStr">
        <is>
          <t>B-W-003</t>
        </is>
      </c>
      <c r="T13" t="inlineStr"/>
      <c r="U13" t="n">
        <v>6</v>
      </c>
      <c r="V13" t="n">
        <v>1884</v>
      </c>
      <c r="W13" t="inlineStr">
        <is>
          <t>O5</t>
        </is>
      </c>
      <c r="X13" t="n">
        <v>64799</v>
      </c>
      <c r="Y13" t="inlineStr">
        <is>
          <t>860 BROADWAY</t>
        </is>
      </c>
      <c r="Z13" t="inlineStr">
        <is>
          <t>PLUTO lot 860 BROADWAY, centroid 26 m from pin; Review round 2: corner lot: the lot-centroid pin sat 24 m from E 17 ST but 43 m from BROADWAY, so it was moved to the BROADWAY frontage near the corner (15 m from the BROADWAY centreline, 27 m from E 17 ST; 29 m from the old pin). Tax lot unchanged.</t>
        </is>
      </c>
      <c r="AA13" t="inlineStr">
        <is>
          <t>Corner building: the address is on Broadway, and the building also fronts East 17th Street. The pin sits on the Broadway side; check which door takes deliveries.</t>
        </is>
      </c>
      <c r="AB13" t="inlineStr">
        <is>
          <t>S1</t>
        </is>
      </c>
    </row>
    <row r="14">
      <c r="A14" t="inlineStr">
        <is>
          <t>B-B-016</t>
        </is>
      </c>
      <c r="B14" t="inlineStr">
        <is>
          <t>215 Park Avenue South</t>
        </is>
      </c>
      <c r="C14" t="inlineStr">
        <is>
          <t>215 Park Avenue South (SL Green managed)</t>
        </is>
      </c>
      <c r="D14" t="n">
        <v>40.73686</v>
      </c>
      <c r="E14" t="n">
        <v>-73.988546</v>
      </c>
      <c r="F14" t="inlineStr">
        <is>
          <t>security desk</t>
        </is>
      </c>
      <c r="G14" s="2" t="inlineStr">
        <is>
          <t>https://www.metro-manhattan.com/buildings/215-park-avenue-south/</t>
        </is>
      </c>
      <c r="H14" t="inlineStr">
        <is>
          <t>unknown</t>
        </is>
      </c>
      <c r="I14" t="inlineStr"/>
      <c r="J14" t="n">
        <v>7</v>
      </c>
      <c r="K14" t="inlineStr"/>
      <c r="L14" s="3" t="inlineStr">
        <is>
          <t>[S1] In-box (E side of PAS, 17th-18th). Metro Manhattan: renovated lobby, '24/7 access and security'. 20 stories, 346,216 sf, 89.9% leased to 25 tenants per SEC CMBS prospectus rent roll 2026-02-05; managed by SL Green. Coworking: Industrious NYC holds three floors (51,765 sf, to 2035). Candidate rows: Nayya, Cognitiv, Stellar Health, Global Strategy Group, Baseten, Rakuten USA, Charlie Health, Matador Content, Stone Source. Also Kimball International Brands (showroom) and CVS (retail). [S2] Broker page (modified 2025-10-24): renovated lobby, 24/7 access and security. Tenants recorded by S1 (Nayya, Stellar Health, Global Strategy Group and others); Industrious coworking here.</t>
        </is>
      </c>
      <c r="M14" t="inlineStr">
        <is>
          <t>1008730067</t>
        </is>
      </c>
      <c r="N14" t="inlineStr"/>
      <c r="O14" t="inlineStr">
        <is>
          <t>10003</t>
        </is>
      </c>
      <c r="P14" t="inlineStr">
        <is>
          <t>Y</t>
        </is>
      </c>
      <c r="Q14" t="inlineStr">
        <is>
          <t>B-C-033; B-C-034; B-C-035; B-C-036; B-C-037; B-C-038; B-C-039</t>
        </is>
      </c>
      <c r="R14" t="n">
        <v>2</v>
      </c>
      <c r="S14" t="inlineStr">
        <is>
          <t>B-W-005</t>
        </is>
      </c>
      <c r="T14" t="inlineStr"/>
      <c r="U14" t="n">
        <v>20</v>
      </c>
      <c r="V14" t="n">
        <v>1910</v>
      </c>
      <c r="W14" t="inlineStr">
        <is>
          <t>O4</t>
        </is>
      </c>
      <c r="X14" t="n">
        <v>275213</v>
      </c>
      <c r="Y14" t="inlineStr">
        <is>
          <t>215 PARK AVENUE SOUTH</t>
        </is>
      </c>
      <c r="Z14" t="inlineStr">
        <is>
          <t>PLUTO lot 215 PARK AVENUE SOUTH, centroid 24 m from pin; Review round 2: corner lot: the lot-centroid pin sat 20 m from E 18 ST but 39 m from PARK AVE S, so it was moved to the PARK AVE S frontage near the corner (14 m from the PARK AVE S centreline, 26 m from E 18 ST; 26 m from the old pin). Tax lot unchanged.</t>
        </is>
      </c>
      <c r="AA14" t="inlineStr">
        <is>
          <t>Corner building: the address is on Park Avenue South, and the building also fronts East 18th Street. The pin sits on the Park Avenue South side; check which door takes deliveries.</t>
        </is>
      </c>
      <c r="AB14" t="inlineStr">
        <is>
          <t>S1;S2</t>
        </is>
      </c>
    </row>
    <row r="15">
      <c r="A15" t="inlineStr">
        <is>
          <t>B-B-015</t>
        </is>
      </c>
      <c r="B15" t="inlineStr">
        <is>
          <t>10 West 18th Street</t>
        </is>
      </c>
      <c r="C15" t="inlineStr">
        <is>
          <t>10 West 18th Street</t>
        </is>
      </c>
      <c r="D15" t="n">
        <v>40.738754</v>
      </c>
      <c r="E15" t="n">
        <v>-73.99292199999999</v>
      </c>
      <c r="F15" t="inlineStr">
        <is>
          <t>unknown</t>
        </is>
      </c>
      <c r="G15" t="inlineStr"/>
      <c r="H15" t="inlineStr">
        <is>
          <t>unknown</t>
        </is>
      </c>
      <c r="I15" t="inlineStr"/>
      <c r="J15" t="n">
        <v>1</v>
      </c>
      <c r="K15" t="inlineStr"/>
      <c r="L15" s="3" t="inlineStr">
        <is>
          <t>[S1] In-box. Moinian Group. Row: Roboflow (2025). Oden Technologies renewed 3,000 sf on 5th in 2024 but Built In shows 37 employees (under 40), skipped.</t>
        </is>
      </c>
      <c r="M15" t="inlineStr">
        <is>
          <t>1008190052</t>
        </is>
      </c>
      <c r="N15" t="inlineStr"/>
      <c r="O15" t="inlineStr">
        <is>
          <t>10011</t>
        </is>
      </c>
      <c r="P15" t="inlineStr">
        <is>
          <t>Y</t>
        </is>
      </c>
      <c r="Q15" t="inlineStr">
        <is>
          <t>B-C-032</t>
        </is>
      </c>
      <c r="R15" t="n">
        <v>0</v>
      </c>
      <c r="S15" t="inlineStr"/>
      <c r="T15" t="inlineStr"/>
      <c r="U15" t="n">
        <v>9</v>
      </c>
      <c r="V15" t="n">
        <v>1901</v>
      </c>
      <c r="W15" t="inlineStr">
        <is>
          <t>O6</t>
        </is>
      </c>
      <c r="X15" t="n">
        <v>17980</v>
      </c>
      <c r="Y15" t="inlineStr">
        <is>
          <t>10 WEST 18 STREET</t>
        </is>
      </c>
      <c r="Z15" t="inlineStr">
        <is>
          <t>PLUTO lot 10 WEST 18 STREET, centroid 1 m from pin</t>
        </is>
      </c>
      <c r="AA15" t="inlineStr"/>
      <c r="AB15" t="inlineStr">
        <is>
          <t>S1</t>
        </is>
      </c>
    </row>
    <row r="16">
      <c r="A16" t="inlineStr">
        <is>
          <t>B-B-013</t>
        </is>
      </c>
      <c r="B16" t="inlineStr">
        <is>
          <t>44 West 18th Street</t>
        </is>
      </c>
      <c r="C16" t="inlineStr">
        <is>
          <t>44 West 18th Street</t>
        </is>
      </c>
      <c r="D16" t="n">
        <v>40.739342</v>
      </c>
      <c r="E16" t="n">
        <v>-73.994287</v>
      </c>
      <c r="F16" t="inlineStr">
        <is>
          <t>unknown</t>
        </is>
      </c>
      <c r="G16" t="inlineStr"/>
      <c r="H16" t="inlineStr">
        <is>
          <t>unknown</t>
        </is>
      </c>
      <c r="I16" t="inlineStr"/>
      <c r="J16" t="n">
        <v>1</v>
      </c>
      <c r="K16" t="inlineStr"/>
      <c r="L16" s="3" t="inlineStr">
        <is>
          <t>[S2] Dashlane U.S. office (4th fl); Hex Technologies' prior NYC office.</t>
        </is>
      </c>
      <c r="M16" t="inlineStr">
        <is>
          <t>1008190010</t>
        </is>
      </c>
      <c r="N16" t="inlineStr"/>
      <c r="O16" t="inlineStr">
        <is>
          <t>10011</t>
        </is>
      </c>
      <c r="P16" t="inlineStr">
        <is>
          <t>Y</t>
        </is>
      </c>
      <c r="Q16" t="inlineStr">
        <is>
          <t>B-C-031</t>
        </is>
      </c>
      <c r="R16" t="n">
        <v>0</v>
      </c>
      <c r="S16" t="inlineStr"/>
      <c r="T16" t="inlineStr"/>
      <c r="U16" t="n">
        <v>12</v>
      </c>
      <c r="V16" t="n">
        <v>1907</v>
      </c>
      <c r="W16" t="inlineStr">
        <is>
          <t>O6</t>
        </is>
      </c>
      <c r="X16" t="n">
        <v>165186</v>
      </c>
      <c r="Y16" t="inlineStr">
        <is>
          <t>47 WEST 17 STREET</t>
        </is>
      </c>
      <c r="Z16" t="inlineStr">
        <is>
          <t>PLUTO lot 47 WEST 17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AA16" t="inlineStr"/>
      <c r="AB16" t="inlineStr">
        <is>
          <t>S2</t>
        </is>
      </c>
    </row>
    <row r="17">
      <c r="A17" t="inlineStr">
        <is>
          <t>B-B-014</t>
        </is>
      </c>
      <c r="B17" t="inlineStr">
        <is>
          <t>18 West 18th Street</t>
        </is>
      </c>
      <c r="C17" t="inlineStr">
        <is>
          <t>18 West 18th Street</t>
        </is>
      </c>
      <c r="D17" t="n">
        <v>40.738939</v>
      </c>
      <c r="E17" t="n">
        <v>-73.993331</v>
      </c>
      <c r="F17" t="inlineStr">
        <is>
          <t>unknown</t>
        </is>
      </c>
      <c r="G17" t="inlineStr"/>
      <c r="H17" t="inlineStr">
        <is>
          <t>unknown</t>
        </is>
      </c>
      <c r="I17" t="inlineStr"/>
      <c r="J17" t="n">
        <v>0</v>
      </c>
      <c r="K17" t="inlineStr"/>
      <c r="L17" s="3" t="inlineStr">
        <is>
          <t>[S2] WW International principal executive offices, 7th floor (10-Q, Aug 2026).</t>
        </is>
      </c>
      <c r="M17" t="inlineStr">
        <is>
          <t>1008190056</t>
        </is>
      </c>
      <c r="N17" t="inlineStr"/>
      <c r="O17" t="inlineStr">
        <is>
          <t>10011</t>
        </is>
      </c>
      <c r="P17" t="inlineStr">
        <is>
          <t>Y</t>
        </is>
      </c>
      <c r="Q17" t="inlineStr"/>
      <c r="R17" t="n">
        <v>1</v>
      </c>
      <c r="S17" t="inlineStr">
        <is>
          <t>B-W-004</t>
        </is>
      </c>
      <c r="T17" t="inlineStr"/>
      <c r="U17" t="n">
        <v>11</v>
      </c>
      <c r="V17" t="n">
        <v>1904</v>
      </c>
      <c r="W17" t="inlineStr">
        <is>
          <t>O6</t>
        </is>
      </c>
      <c r="X17" t="n">
        <v>157500</v>
      </c>
      <c r="Y17" t="inlineStr">
        <is>
          <t>18 WEST 18 STREET</t>
        </is>
      </c>
      <c r="Z17" t="inlineStr">
        <is>
          <t>PLUTO lot 18 WEST 18 STREET, centroid 17 m from pin;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AA17" t="inlineStr"/>
      <c r="AB17" t="inlineStr">
        <is>
          <t>S2</t>
        </is>
      </c>
    </row>
    <row r="18">
      <c r="A18" t="inlineStr">
        <is>
          <t>B-B-019</t>
        </is>
      </c>
      <c r="B18" t="inlineStr">
        <is>
          <t>37 East 18th Street</t>
        </is>
      </c>
      <c r="C18" t="inlineStr">
        <is>
          <t>37 East 18th Street (Zar Property NY)</t>
        </is>
      </c>
      <c r="D18" t="n">
        <v>40.737722</v>
      </c>
      <c r="E18" t="n">
        <v>-73.989367</v>
      </c>
      <c r="F18" t="inlineStr">
        <is>
          <t>unknown</t>
        </is>
      </c>
      <c r="G18" t="inlineStr"/>
      <c r="H18" t="inlineStr">
        <is>
          <t>unknown</t>
        </is>
      </c>
      <c r="I18" t="inlineStr"/>
      <c r="J18" t="n">
        <v>2</v>
      </c>
      <c r="K18" t="inlineStr"/>
      <c r="L18" s="3" t="inlineStr">
        <is>
          <t>[S1] Margin (north side of E 18th between Broadway and Park Ave S, tax block 847). Zar Property NY. Row: Phia (penthouse, 2026). [S2] 10-story office building bought by Zar in 2024. Tenants: Phia (PH), Aterian (formerly Mohawk Group), Color Aid; Ann Sacks retail.</t>
        </is>
      </c>
      <c r="M18" t="inlineStr">
        <is>
          <t>1008470029</t>
        </is>
      </c>
      <c r="N18" t="inlineStr"/>
      <c r="O18" t="inlineStr">
        <is>
          <t>10003</t>
        </is>
      </c>
      <c r="P18" t="inlineStr">
        <is>
          <t>Y</t>
        </is>
      </c>
      <c r="Q18" t="inlineStr">
        <is>
          <t>B-C-048; B-C-049</t>
        </is>
      </c>
      <c r="R18" t="n">
        <v>0</v>
      </c>
      <c r="S18" t="inlineStr"/>
      <c r="T18" t="inlineStr"/>
      <c r="U18" t="n">
        <v>10</v>
      </c>
      <c r="V18" t="n">
        <v>1897</v>
      </c>
      <c r="W18" t="inlineStr">
        <is>
          <t>O6</t>
        </is>
      </c>
      <c r="X18" t="n">
        <v>45328</v>
      </c>
      <c r="Y18" t="inlineStr">
        <is>
          <t>37 EAST 18 STREET</t>
        </is>
      </c>
      <c r="Z18" t="inlineStr">
        <is>
          <t>PLUTO lot 37 EAST 18 STREET, centroid 2 m from pin</t>
        </is>
      </c>
      <c r="AA18" t="inlineStr"/>
      <c r="AB18" t="inlineStr">
        <is>
          <t>S1;S2</t>
        </is>
      </c>
    </row>
    <row r="19">
      <c r="A19" t="inlineStr">
        <is>
          <t>B-B-017</t>
        </is>
      </c>
      <c r="B19" t="inlineStr">
        <is>
          <t>130 Fifth Avenue</t>
        </is>
      </c>
      <c r="C19" t="inlineStr">
        <is>
          <t>130 Fifth Avenue (Olnick Organization)</t>
        </is>
      </c>
      <c r="D19" t="n">
        <v>40.738793</v>
      </c>
      <c r="E19" t="n">
        <v>-73.991823</v>
      </c>
      <c r="F19" t="inlineStr">
        <is>
          <t>unknown</t>
        </is>
      </c>
      <c r="G19" t="inlineStr"/>
      <c r="H19" t="inlineStr">
        <is>
          <t>unknown</t>
        </is>
      </c>
      <c r="I19" t="inlineStr"/>
      <c r="J19" t="n">
        <v>3</v>
      </c>
      <c r="K19" t="inlineStr"/>
      <c r="L19" s="3" t="inlineStr">
        <is>
          <t>[S2] At W 18th St; 100% leased (CO 2024-12). Tenants: Airbnb (3), Fresh, Farmacy Beauty (4), VidMob.</t>
        </is>
      </c>
      <c r="M19" t="inlineStr">
        <is>
          <t>1008200038</t>
        </is>
      </c>
      <c r="N19" t="inlineStr"/>
      <c r="O19" t="inlineStr">
        <is>
          <t>10011</t>
        </is>
      </c>
      <c r="P19" t="inlineStr">
        <is>
          <t>Y</t>
        </is>
      </c>
      <c r="Q19" t="inlineStr">
        <is>
          <t>B-C-040; B-C-041; B-C-042</t>
        </is>
      </c>
      <c r="R19" t="n">
        <v>1</v>
      </c>
      <c r="S19" t="inlineStr"/>
      <c r="T19" t="inlineStr"/>
      <c r="U19" t="n">
        <v>11</v>
      </c>
      <c r="V19" t="n">
        <v>1903</v>
      </c>
      <c r="W19" t="inlineStr">
        <is>
          <t>O6</t>
        </is>
      </c>
      <c r="X19" t="n">
        <v>104140</v>
      </c>
      <c r="Y19" t="inlineStr">
        <is>
          <t>130 5 AVENUE</t>
        </is>
      </c>
      <c r="Z19" t="inlineStr">
        <is>
          <t>PLUTO lot 130 5 AVENUE, centroid 19 m from pin; Review round 2: corner lot: the lot-centroid pin sat 21 m from W 18 ST but 36 m from 5 AVE, so it was moved to the 5 AVE frontage near the corner (17 m from the 5 AVE centreline, 26 m from W 18 ST; 19 m from the old pin). Tax lot unchanged.</t>
        </is>
      </c>
      <c r="AA19" t="inlineStr">
        <is>
          <t>Corner building: the address is on Fifth Avenue, and the building also fronts West 18th Street. The pin sits on the Fifth Avenue side; check which door takes deliveries.</t>
        </is>
      </c>
      <c r="AB19" t="inlineStr">
        <is>
          <t>S2</t>
        </is>
      </c>
    </row>
    <row r="20">
      <c r="A20" t="inlineStr">
        <is>
          <t>B-B-018</t>
        </is>
      </c>
      <c r="B20" t="inlineStr">
        <is>
          <t>111 Fifth Avenue</t>
        </is>
      </c>
      <c r="C20" t="inlineStr">
        <is>
          <t>111 Fifth Avenue (Winter Organization)</t>
        </is>
      </c>
      <c r="D20" t="n">
        <v>40.73865</v>
      </c>
      <c r="E20" t="n">
        <v>-73.991471</v>
      </c>
      <c r="F20" t="inlineStr">
        <is>
          <t>unknown</t>
        </is>
      </c>
      <c r="G20" t="inlineStr"/>
      <c r="H20" t="inlineStr">
        <is>
          <t>unknown</t>
        </is>
      </c>
      <c r="I20" t="inlineStr"/>
      <c r="J20" t="n">
        <v>4</v>
      </c>
      <c r="K20" t="inlineStr"/>
      <c r="L20" s="3" t="inlineStr">
        <is>
          <t>[S1] Margin (E side of Fifth, 18th-19th). 13 stories, Winter Organization, joined to 115 Fifth on the 4th floor. Rows: Radar, Galvanize Climate Solutions (3rd); Adyen taking floors 4-5 (2026). [S2] 13-story; conjoined with 115 Fifth. Tenants: The Vita Coco Company (HQ, 2nd fl per FY2025 10-K), LoveShackFancy (8), Adyen (4-5), Galvanize (3), Radar (12), Douglas Elliman teams; H&amp;M retail. S1 also covers this building.</t>
        </is>
      </c>
      <c r="M20" t="inlineStr">
        <is>
          <t>1008470001</t>
        </is>
      </c>
      <c r="N20" t="inlineStr"/>
      <c r="O20" t="inlineStr">
        <is>
          <t>10003</t>
        </is>
      </c>
      <c r="P20" t="inlineStr">
        <is>
          <t>Y</t>
        </is>
      </c>
      <c r="Q20" t="inlineStr">
        <is>
          <t>B-C-044; B-C-045; B-C-046; B-C-047</t>
        </is>
      </c>
      <c r="R20" t="n">
        <v>0</v>
      </c>
      <c r="S20" t="inlineStr"/>
      <c r="T20" t="inlineStr"/>
      <c r="U20" t="n">
        <v>13</v>
      </c>
      <c r="V20" t="n">
        <v>1895</v>
      </c>
      <c r="W20" t="inlineStr">
        <is>
          <t>O6</t>
        </is>
      </c>
      <c r="X20" t="n">
        <v>189151</v>
      </c>
      <c r="Y20" t="inlineStr">
        <is>
          <t>109 5 AVENUE</t>
        </is>
      </c>
      <c r="Z20" t="inlineStr">
        <is>
          <t>PLUTO lot 109 5 AVENUE, centroid 28 m from pin; Review round 2: corner lot: the lot-centroid pin sat 24 m from E 18 ST but 45 m from 5 AVE, so it was moved to the 5 AVE frontage near the corner (17 m from the 5 AVE centreline, 27 m from E 18 ST; 29 m from the old pin). Tax lot unchanged.</t>
        </is>
      </c>
      <c r="AA20" t="inlineStr">
        <is>
          <t>Corner building: the address is on Fifth Avenue, and the building also fronts East 18th Street. The pin sits on the Fifth Avenue side; check which door takes deliveries.</t>
        </is>
      </c>
      <c r="AB20" t="inlineStr">
        <is>
          <t>S1;S2</t>
        </is>
      </c>
    </row>
    <row r="21">
      <c r="A21" t="inlineStr">
        <is>
          <t>B-B-020</t>
        </is>
      </c>
      <c r="B21" t="inlineStr">
        <is>
          <t>625 Avenue of the Americas</t>
        </is>
      </c>
      <c r="C21" t="inlineStr">
        <is>
          <t>625 Avenue of the Americas (Taub family)</t>
        </is>
      </c>
      <c r="D21" t="n">
        <v>40.74024</v>
      </c>
      <c r="E21" t="n">
        <v>-73.994996</v>
      </c>
      <c r="F21" t="inlineStr">
        <is>
          <t>unknown</t>
        </is>
      </c>
      <c r="G21" t="inlineStr"/>
      <c r="H21" t="inlineStr">
        <is>
          <t>unknown</t>
        </is>
      </c>
      <c r="I21" t="inlineStr"/>
      <c r="J21" t="n">
        <v>1</v>
      </c>
      <c r="K21" t="inlineStr"/>
      <c r="L21" s="3" t="inlineStr">
        <is>
          <t>[S2] Five-story, between W 18th and W 19th St; renovated lobby (no staffing stated). Ro HQ (4), GTS (3).</t>
        </is>
      </c>
      <c r="M21" t="inlineStr">
        <is>
          <t>1007940030</t>
        </is>
      </c>
      <c r="N21" t="inlineStr"/>
      <c r="O21" t="inlineStr">
        <is>
          <t>10011</t>
        </is>
      </c>
      <c r="P21" t="inlineStr">
        <is>
          <t>Y</t>
        </is>
      </c>
      <c r="Q21" t="inlineStr">
        <is>
          <t>B-C-050</t>
        </is>
      </c>
      <c r="R21" t="n">
        <v>1</v>
      </c>
      <c r="S21" t="inlineStr"/>
      <c r="T21" t="inlineStr"/>
      <c r="U21" t="n">
        <v>5</v>
      </c>
      <c r="V21" t="n">
        <v>1877</v>
      </c>
      <c r="W21" t="inlineStr">
        <is>
          <t>O5</t>
        </is>
      </c>
      <c r="X21" t="n">
        <v>77005</v>
      </c>
      <c r="Y21" t="inlineStr">
        <is>
          <t>615 AVENUE OF THE AMERICAS</t>
        </is>
      </c>
      <c r="Z21" t="inlineStr">
        <is>
          <t>PLUTO lot 615 AVENUE OF THE AMERICAS, centroid 19 m from pin;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AA21" t="inlineStr">
        <is>
          <t>Corner building: the address is on Avenue of the Americas, and the building also fronts West 19th Street. The pin sits on the Avenue of the Americas side; check which door takes deliveries.</t>
        </is>
      </c>
      <c r="AB21" t="inlineStr">
        <is>
          <t>S2</t>
        </is>
      </c>
    </row>
    <row r="22">
      <c r="A22" t="inlineStr">
        <is>
          <t>B-B-021</t>
        </is>
      </c>
      <c r="B22" t="inlineStr">
        <is>
          <t>620 Avenue of the Americas</t>
        </is>
      </c>
      <c r="C22" t="inlineStr">
        <is>
          <t>Siegel-Cooper Building (RXR / Hudson Bay)</t>
        </is>
      </c>
      <c r="D22" t="n">
        <v>40.740084</v>
      </c>
      <c r="E22" t="n">
        <v>-73.994613</v>
      </c>
      <c r="F22" t="inlineStr">
        <is>
          <t>loading dock</t>
        </is>
      </c>
      <c r="G22" s="2" t="inlineStr">
        <is>
          <t>https://www.metro-manhattan.com/buildings/620-avenue-of-the-americas/</t>
        </is>
      </c>
      <c r="H22" t="inlineStr">
        <is>
          <t>unknown</t>
        </is>
      </c>
      <c r="I22" t="inlineStr"/>
      <c r="J22" t="n">
        <v>1</v>
      </c>
      <c r="K22" t="inlineStr"/>
      <c r="L22" s="3" t="inlineStr">
        <is>
          <t>[S1] Margin (east side of Sixth Ave, 18th-19th; 25 West 18th St is its 18th St side). Seven stories, RXR. WeWork leased 212,387 sf in 2019 and handed spaces to tenants after its 2023 bankruptcy (CO 2024-05). Rows: SEIU 32BJ, Cole Haan, Palantir. Current (fintech) is leaving for Penn 2 (CO 2025-11). Retail: Burlington, Ulta. [S2] Broker page (modified 2025-06-16): seven loading docks and a redesigned atrium lobby. 25 and 45 West 18th Street are the same tax lot. Office tenants: Cole Haan (3), 32BJ union and benefit funds, Palantir (S1); big-box retail below.</t>
        </is>
      </c>
      <c r="M22" t="inlineStr">
        <is>
          <t>1008207505</t>
        </is>
      </c>
      <c r="N22" t="inlineStr"/>
      <c r="O22" t="inlineStr">
        <is>
          <t>10011</t>
        </is>
      </c>
      <c r="P22" t="inlineStr">
        <is>
          <t>Y</t>
        </is>
      </c>
      <c r="Q22" t="inlineStr">
        <is>
          <t>B-C-043</t>
        </is>
      </c>
      <c r="R22" t="n">
        <v>2</v>
      </c>
      <c r="S22" t="inlineStr"/>
      <c r="T22" t="inlineStr"/>
      <c r="U22" t="n">
        <v>7</v>
      </c>
      <c r="V22" t="n">
        <v>1900</v>
      </c>
      <c r="W22" t="inlineStr">
        <is>
          <t>RB</t>
        </is>
      </c>
      <c r="X22" t="n">
        <v>210854</v>
      </c>
      <c r="Y22" t="inlineStr">
        <is>
          <t>620 AVENUE OF THE AMERICAS</t>
        </is>
      </c>
      <c r="Z22" t="inlineStr">
        <is>
          <t>PLUTO lot 620 AVENUE OF THE AMERICAS, centroid 70 m from pin;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AA22" t="inlineStr">
        <is>
          <t>Corner building: the address is on Avenue of the Americas, and the building also fronts West 19th Street. The pin sits on the Avenue of the Americas side; check which door takes deliveries.</t>
        </is>
      </c>
      <c r="AB22" t="inlineStr">
        <is>
          <t>S1;S2</t>
        </is>
      </c>
    </row>
    <row r="23">
      <c r="A23" t="inlineStr">
        <is>
          <t>B-B-023</t>
        </is>
      </c>
      <c r="B23" t="inlineStr">
        <is>
          <t>115 Fifth Avenue</t>
        </is>
      </c>
      <c r="C23" t="inlineStr">
        <is>
          <t>115 Fifth Avenue / 881 Broadway (Arnold Constable block)</t>
        </is>
      </c>
      <c r="D23" t="n">
        <v>40.738809</v>
      </c>
      <c r="E23" t="n">
        <v>-73.991356</v>
      </c>
      <c r="F23" t="inlineStr">
        <is>
          <t>security desk</t>
        </is>
      </c>
      <c r="G23" s="2" t="inlineStr">
        <is>
          <t>https://www.metro-manhattan.com/buildings/115-fifth-avenue/</t>
        </is>
      </c>
      <c r="H23" t="inlineStr">
        <is>
          <t>unknown</t>
        </is>
      </c>
      <c r="I23" t="inlineStr"/>
      <c r="J23" t="n">
        <v>1</v>
      </c>
      <c r="K23" t="inlineStr"/>
      <c r="L23" s="3" t="inlineStr">
        <is>
          <t>[S1] Margin (Fifth at E 19th). 12 stories, Winter Organization. Row: Prophet; Adyen taking the 4th floor (2026). [S2] 115 Fifth and 881 Broadway share tax lot 1008470062. Broker page (modified 2023-12-21) lists 24/7 security and access and one freight elevator. Tenants: Bombas (881 Broadway per Built In), Perkins Eastman (NY studio), Prophet, Adyen (4th fl).</t>
        </is>
      </c>
      <c r="M23" t="inlineStr">
        <is>
          <t>1008470062</t>
        </is>
      </c>
      <c r="N23" t="inlineStr"/>
      <c r="O23" t="inlineStr">
        <is>
          <t>10003</t>
        </is>
      </c>
      <c r="P23" t="inlineStr">
        <is>
          <t>Y</t>
        </is>
      </c>
      <c r="Q23" t="inlineStr">
        <is>
          <t>B-C-052</t>
        </is>
      </c>
      <c r="R23" t="n">
        <v>2</v>
      </c>
      <c r="S23" t="inlineStr"/>
      <c r="T23" t="inlineStr"/>
      <c r="U23" t="n">
        <v>7</v>
      </c>
      <c r="V23" t="n">
        <v>1896</v>
      </c>
      <c r="W23" t="inlineStr">
        <is>
          <t>O6</t>
        </is>
      </c>
      <c r="X23" t="n">
        <v>208000</v>
      </c>
      <c r="Y23" t="inlineStr">
        <is>
          <t>881 BROADWAY</t>
        </is>
      </c>
      <c r="Z23" t="inlineStr">
        <is>
          <t>PLUTO lot 881 BROADWAY, centroid 58 m from pin;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AA23" t="inlineStr">
        <is>
          <t>Corner building: the address is on Fifth Avenue, and the building also fronts East 19th Street. The pin sits on the Fifth Avenue side; check which door takes deliveries.</t>
        </is>
      </c>
      <c r="AB23" t="inlineStr">
        <is>
          <t>S1;S2</t>
        </is>
      </c>
    </row>
    <row r="24">
      <c r="A24" t="inlineStr">
        <is>
          <t>B-B-022</t>
        </is>
      </c>
      <c r="B24" t="inlineStr">
        <is>
          <t>22 West 19th Street</t>
        </is>
      </c>
      <c r="C24" t="inlineStr">
        <is>
          <t>Cluett Building (Kaufman Organization)</t>
        </is>
      </c>
      <c r="D24" t="n">
        <v>40.739487</v>
      </c>
      <c r="E24" t="n">
        <v>-73.99283</v>
      </c>
      <c r="F24" t="inlineStr">
        <is>
          <t>unknown</t>
        </is>
      </c>
      <c r="G24" t="inlineStr"/>
      <c r="H24" t="inlineStr">
        <is>
          <t>unknown</t>
        </is>
      </c>
      <c r="I24" t="inlineStr"/>
      <c r="J24" t="n">
        <v>1</v>
      </c>
      <c r="K24" t="inlineStr"/>
      <c r="L24" s="3" t="inlineStr">
        <is>
          <t>[S1] Margin (south side of 19th, between Fifth and Sixth). 191,400 sf, Kaufman Organization; lobby recently renovated with a tenant entrance on West 18th St (CO 2023-10). Rows: Morning Brew (low). 32BJ Health Fund has 37,650 sf here (see Benefit Funds row at 25 W 18th). [S2] 215,000 sf; 24/7 key-card access and restored lobby, staffing not stated (broker page 2025-06-16). Morning Brew HQ (floors 3-4).</t>
        </is>
      </c>
      <c r="M24" t="inlineStr">
        <is>
          <t>1008200026</t>
        </is>
      </c>
      <c r="N24" t="inlineStr"/>
      <c r="O24" t="inlineStr">
        <is>
          <t>10011</t>
        </is>
      </c>
      <c r="P24" t="inlineStr">
        <is>
          <t>Y</t>
        </is>
      </c>
      <c r="Q24" t="inlineStr">
        <is>
          <t>B-C-051</t>
        </is>
      </c>
      <c r="R24" t="n">
        <v>0</v>
      </c>
      <c r="S24" t="inlineStr"/>
      <c r="T24" t="inlineStr"/>
      <c r="U24" t="n">
        <v>11</v>
      </c>
      <c r="V24" t="n">
        <v>1902</v>
      </c>
      <c r="W24" t="inlineStr">
        <is>
          <t>O6</t>
        </is>
      </c>
      <c r="X24" t="n">
        <v>165500</v>
      </c>
      <c r="Y24" t="inlineStr">
        <is>
          <t>23 WEST 18 STREET</t>
        </is>
      </c>
      <c r="Z24" t="inlineStr">
        <is>
          <t>PLUTO lot 23 WEST 18 STREET, centroid 15 m from pin;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AA24" t="inlineStr"/>
      <c r="AB24" t="inlineStr">
        <is>
          <t>S1;S2</t>
        </is>
      </c>
    </row>
    <row r="25">
      <c r="A25" t="inlineStr">
        <is>
          <t>B-B-025</t>
        </is>
      </c>
      <c r="B25" t="inlineStr">
        <is>
          <t>39 West 19th Street</t>
        </is>
      </c>
      <c r="C25" t="inlineStr">
        <is>
          <t>39 West 19th Street (Rosen family)</t>
        </is>
      </c>
      <c r="D25" t="n">
        <v>40.740157</v>
      </c>
      <c r="E25" t="n">
        <v>-73.993377</v>
      </c>
      <c r="F25" t="inlineStr">
        <is>
          <t>unknown</t>
        </is>
      </c>
      <c r="G25" t="inlineStr"/>
      <c r="H25" t="inlineStr">
        <is>
          <t>unknown</t>
        </is>
      </c>
      <c r="I25" t="inlineStr"/>
      <c r="J25" t="n">
        <v>1</v>
      </c>
      <c r="K25" t="inlineStr"/>
      <c r="L25" s="3" t="inlineStr">
        <is>
          <t>[S2] 12-story. ZGF Architects (12th fl penthouse), Left/Right (7, 9-10).</t>
        </is>
      </c>
      <c r="M25" t="inlineStr">
        <is>
          <t>1008210014</t>
        </is>
      </c>
      <c r="N25" t="inlineStr"/>
      <c r="O25" t="inlineStr">
        <is>
          <t>10011</t>
        </is>
      </c>
      <c r="P25" t="inlineStr">
        <is>
          <t>Y</t>
        </is>
      </c>
      <c r="Q25" t="inlineStr">
        <is>
          <t>B-C-054</t>
        </is>
      </c>
      <c r="R25" t="n">
        <v>1</v>
      </c>
      <c r="S25" t="inlineStr"/>
      <c r="T25" t="inlineStr"/>
      <c r="U25" t="n">
        <v>12</v>
      </c>
      <c r="V25" t="n">
        <v>1910</v>
      </c>
      <c r="W25" t="inlineStr">
        <is>
          <t>O6</t>
        </is>
      </c>
      <c r="X25" t="n">
        <v>97652</v>
      </c>
      <c r="Y25" t="inlineStr">
        <is>
          <t>39 WEST 19 STREET</t>
        </is>
      </c>
      <c r="Z25" t="inlineStr">
        <is>
          <t>PLUTO lot 39 WEST 19 STREET, centroid 0 m from pin</t>
        </is>
      </c>
      <c r="AA25" t="inlineStr"/>
      <c r="AB25" t="inlineStr">
        <is>
          <t>S2</t>
        </is>
      </c>
    </row>
    <row r="26">
      <c r="A26" t="inlineStr">
        <is>
          <t>B-B-024</t>
        </is>
      </c>
      <c r="B26" t="inlineStr">
        <is>
          <t>119 Fifth Avenue</t>
        </is>
      </c>
      <c r="C26" t="inlineStr">
        <is>
          <t>119 Fifth Avenue</t>
        </is>
      </c>
      <c r="D26" t="n">
        <v>40.739228</v>
      </c>
      <c r="E26" t="n">
        <v>-73.99105</v>
      </c>
      <c r="F26" t="inlineStr">
        <is>
          <t>unknown</t>
        </is>
      </c>
      <c r="G26" t="inlineStr"/>
      <c r="H26" t="inlineStr">
        <is>
          <t>unknown</t>
        </is>
      </c>
      <c r="I26" t="inlineStr"/>
      <c r="J26" t="n">
        <v>1</v>
      </c>
      <c r="K26" t="inlineStr"/>
      <c r="L26" s="3" t="inlineStr">
        <is>
          <t>[S2] 1906 building at E 19th St, owned by the Haddad family per CO. Extend AI took the full 6th floor (2026).</t>
        </is>
      </c>
      <c r="M26" t="inlineStr">
        <is>
          <t>1008480001</t>
        </is>
      </c>
      <c r="N26" t="inlineStr"/>
      <c r="O26" t="inlineStr">
        <is>
          <t>10003</t>
        </is>
      </c>
      <c r="P26" t="inlineStr">
        <is>
          <t>Y</t>
        </is>
      </c>
      <c r="Q26" t="inlineStr">
        <is>
          <t>B-C-053</t>
        </is>
      </c>
      <c r="R26" t="n">
        <v>0</v>
      </c>
      <c r="S26" t="inlineStr"/>
      <c r="T26" t="inlineStr"/>
      <c r="U26" t="n">
        <v>8</v>
      </c>
      <c r="V26" t="n">
        <v>1906</v>
      </c>
      <c r="W26" t="inlineStr">
        <is>
          <t>O6</t>
        </is>
      </c>
      <c r="X26" t="n">
        <v>50031</v>
      </c>
      <c r="Y26" t="inlineStr">
        <is>
          <t>119 5 AVENUE</t>
        </is>
      </c>
      <c r="Z26" t="inlineStr">
        <is>
          <t>PLUTO lot 119 5 AVENUE, centroid 21 m from pin; Review round 2: corner lot: the lot-centroid pin sat 17 m from E 19 ST but 37 m from 5 AVE, so it was moved to the 5 AVE frontage near the corner (17 m from the 5 AVE centreline, 26 m from E 19 ST; 22 m from the old pin). Tax lot unchanged.</t>
        </is>
      </c>
      <c r="AA26" t="inlineStr">
        <is>
          <t>Corner building: the address is on Fifth Avenue, and the building also fronts East 19th Street. The pin sits on the Fifth Avenue side; check which door takes deliveries.</t>
        </is>
      </c>
      <c r="AB26" t="inlineStr">
        <is>
          <t>S2</t>
        </is>
      </c>
    </row>
    <row r="27">
      <c r="A27" t="inlineStr">
        <is>
          <t>B-B-026</t>
        </is>
      </c>
      <c r="B27" t="inlineStr">
        <is>
          <t>641 Avenue of the Americas</t>
        </is>
      </c>
      <c r="C27" t="inlineStr">
        <is>
          <t>635-641 Avenue of the Americas (Spear Street Capital)</t>
        </is>
      </c>
      <c r="D27" t="n">
        <v>40.7409</v>
      </c>
      <c r="E27" t="n">
        <v>-73.994512</v>
      </c>
      <c r="F27" t="inlineStr">
        <is>
          <t>unknown</t>
        </is>
      </c>
      <c r="G27" t="inlineStr"/>
      <c r="H27" t="inlineStr">
        <is>
          <t>unknown</t>
        </is>
      </c>
      <c r="I27" t="inlineStr"/>
      <c r="J27" t="n">
        <v>1</v>
      </c>
      <c r="K27" t="inlineStr"/>
      <c r="L27" s="3" t="inlineStr">
        <is>
          <t>[S2] Eight-story Beaux Arts building between W 19th and W 20th St. Tenants: Stash (part 6), Infor, dsm-firmenich.</t>
        </is>
      </c>
      <c r="M27" t="inlineStr">
        <is>
          <t>1007950044</t>
        </is>
      </c>
      <c r="N27" t="inlineStr"/>
      <c r="O27" t="inlineStr">
        <is>
          <t>10011</t>
        </is>
      </c>
      <c r="P27" t="inlineStr">
        <is>
          <t>Y</t>
        </is>
      </c>
      <c r="Q27" t="inlineStr">
        <is>
          <t>B-C-055</t>
        </is>
      </c>
      <c r="R27" t="n">
        <v>2</v>
      </c>
      <c r="S27" t="inlineStr"/>
      <c r="T27" t="inlineStr"/>
      <c r="U27" t="n">
        <v>8</v>
      </c>
      <c r="V27" t="n">
        <v>1902</v>
      </c>
      <c r="W27" t="inlineStr">
        <is>
          <t>O6</t>
        </is>
      </c>
      <c r="X27" t="n">
        <v>121885</v>
      </c>
      <c r="Y27" t="inlineStr">
        <is>
          <t>641 AVENUE OF THE AMERICAS</t>
        </is>
      </c>
      <c r="Z27" t="inlineStr">
        <is>
          <t>PLUTO lot 641 AVENUE OF THE AMERICAS, centroid 21 m from pin;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AA27" t="inlineStr">
        <is>
          <t>Corner building: the address is on Avenue of the Americas, and the building also fronts West 20th Street. The pin sits on the Avenue of the Americas side; check which door takes deliveries.</t>
        </is>
      </c>
      <c r="AB27" t="inlineStr">
        <is>
          <t>S2</t>
        </is>
      </c>
    </row>
    <row r="28">
      <c r="A28" t="inlineStr">
        <is>
          <t>B-B-027</t>
        </is>
      </c>
      <c r="B28" t="inlineStr">
        <is>
          <t>895 Broadway</t>
        </is>
      </c>
      <c r="C28" t="inlineStr">
        <is>
          <t>Equinox Building</t>
        </is>
      </c>
      <c r="D28" t="n">
        <v>40.739015</v>
      </c>
      <c r="E28" t="n">
        <v>-73.989998</v>
      </c>
      <c r="F28" t="inlineStr">
        <is>
          <t>unknown</t>
        </is>
      </c>
      <c r="G28" t="inlineStr"/>
      <c r="H28" t="inlineStr">
        <is>
          <t>unknown</t>
        </is>
      </c>
      <c r="I28" t="inlineStr"/>
      <c r="J28" t="n">
        <v>0</v>
      </c>
      <c r="K28" t="inlineStr"/>
      <c r="L28" s="3" t="inlineStr">
        <is>
          <t>[S2] The Malin Flatiron coworking, 32,700 sf on two floors (opened 2025): coworking location, see coworking list.</t>
        </is>
      </c>
      <c r="M28" t="inlineStr">
        <is>
          <t>1008480015</t>
        </is>
      </c>
      <c r="N28" t="inlineStr"/>
      <c r="O28" t="inlineStr">
        <is>
          <t>10003</t>
        </is>
      </c>
      <c r="P28" t="inlineStr">
        <is>
          <t>Y</t>
        </is>
      </c>
      <c r="Q28" t="inlineStr"/>
      <c r="R28" t="n">
        <v>0</v>
      </c>
      <c r="S28" t="inlineStr">
        <is>
          <t>B-W-006</t>
        </is>
      </c>
      <c r="T28" t="inlineStr"/>
      <c r="U28" t="n">
        <v>5</v>
      </c>
      <c r="V28" t="n">
        <v>1869</v>
      </c>
      <c r="W28" t="inlineStr">
        <is>
          <t>O5</t>
        </is>
      </c>
      <c r="X28" t="n">
        <v>49930</v>
      </c>
      <c r="Y28" t="inlineStr">
        <is>
          <t>895 BROADWAY</t>
        </is>
      </c>
      <c r="Z28" t="inlineStr">
        <is>
          <t>PLUTO lot 895 BROADWAY, centroid 17 m from pin; Review round 2: corner lot: the lot-centroid pin sat 28 m from E 20 ST but 34 m from BROADWAY, so it was moved to the BROADWAY frontage near the corner (15 m from the BROADWAY centreline, 26 m from E 20 ST; 19 m from the old pin). Tax lot unchanged.</t>
        </is>
      </c>
      <c r="AA28" t="inlineStr">
        <is>
          <t>Corner building: the address is on Broadway, and the building also fronts East 20th Street. The pin sits on the Broadway side; check which door takes deliveries.</t>
        </is>
      </c>
      <c r="AB28" t="inlineStr">
        <is>
          <t>S2</t>
        </is>
      </c>
    </row>
    <row r="29">
      <c r="A29" t="inlineStr">
        <is>
          <t>B-B-028</t>
        </is>
      </c>
      <c r="B29" t="inlineStr">
        <is>
          <t>250 Park Avenue South</t>
        </is>
      </c>
      <c r="C29" t="inlineStr">
        <is>
          <t>250 Park Avenue South (Feil Organization)</t>
        </is>
      </c>
      <c r="D29" t="n">
        <v>40.73827</v>
      </c>
      <c r="E29" t="n">
        <v>-73.98819899999999</v>
      </c>
      <c r="F29" t="inlineStr">
        <is>
          <t>unknown</t>
        </is>
      </c>
      <c r="G29" t="inlineStr"/>
      <c r="H29" t="inlineStr">
        <is>
          <t>unknown</t>
        </is>
      </c>
      <c r="I29" t="inlineStr"/>
      <c r="J29" t="n">
        <v>3</v>
      </c>
      <c r="K29" t="inlineStr"/>
      <c r="L29" s="3" t="inlineStr">
        <is>
          <t>[S2] 12-story Feil building at E 20th St. Tenants: Hex Technologies (fl 7), Wilson Daniels (fl 8), Pentagram; Gramercy Park Digestive Disease Center; retail Barbounia, Ligne Roset (CO 2026-01-09). Vita Coco left for 111 Fifth. SEC lists Kaltura's business address here (10th fl); S1 records Kaltura at 860 Broadway.</t>
        </is>
      </c>
      <c r="M29" t="inlineStr">
        <is>
          <t>1008480043</t>
        </is>
      </c>
      <c r="N29" t="inlineStr"/>
      <c r="O29" t="inlineStr">
        <is>
          <t>10003</t>
        </is>
      </c>
      <c r="P29" t="inlineStr">
        <is>
          <t>Y</t>
        </is>
      </c>
      <c r="Q29" t="inlineStr">
        <is>
          <t>B-C-056; B-C-057; B-C-058</t>
        </is>
      </c>
      <c r="R29" t="n">
        <v>0</v>
      </c>
      <c r="S29" t="inlineStr"/>
      <c r="T29" t="inlineStr"/>
      <c r="U29" t="n">
        <v>12</v>
      </c>
      <c r="V29" t="n">
        <v>1911</v>
      </c>
      <c r="W29" t="inlineStr">
        <is>
          <t>O6</t>
        </is>
      </c>
      <c r="X29" t="n">
        <v>103069</v>
      </c>
      <c r="Y29" t="inlineStr">
        <is>
          <t>242 PARK AVENUE SOUTH</t>
        </is>
      </c>
      <c r="Z29" t="inlineStr">
        <is>
          <t>PLUTO lot 242 PARK AVENUE SOUTH, centroid 3 m from pin</t>
        </is>
      </c>
      <c r="AA29" t="inlineStr"/>
      <c r="AB29" t="inlineStr">
        <is>
          <t>S2</t>
        </is>
      </c>
    </row>
    <row r="30">
      <c r="A30" t="inlineStr">
        <is>
          <t>B-B-030</t>
        </is>
      </c>
      <c r="B30" t="inlineStr">
        <is>
          <t>37 West 20th Street</t>
        </is>
      </c>
      <c r="C30" t="inlineStr">
        <is>
          <t>37 West 20th Street</t>
        </is>
      </c>
      <c r="D30" t="n">
        <v>40.740813</v>
      </c>
      <c r="E30" t="n">
        <v>-73.99310699999999</v>
      </c>
      <c r="F30" t="inlineStr">
        <is>
          <t>security desk</t>
        </is>
      </c>
      <c r="G30" s="2" t="inlineStr">
        <is>
          <t>https://www.metro-manhattan.com/buildings/37-west-20th-street-office-space-for-lease/</t>
        </is>
      </c>
      <c r="H30" t="inlineStr">
        <is>
          <t>unknown</t>
        </is>
      </c>
      <c r="I30" t="inlineStr"/>
      <c r="J30" t="n">
        <v>1</v>
      </c>
      <c r="K30" t="inlineStr"/>
      <c r="L30" s="3" t="inlineStr">
        <is>
          <t>[S2] Broker page (modified 2025-10-24): on-site security and management. Broker-listed tenants not verified.</t>
        </is>
      </c>
      <c r="M30" t="inlineStr">
        <is>
          <t>1008220009</t>
        </is>
      </c>
      <c r="N30" t="inlineStr"/>
      <c r="O30" t="inlineStr">
        <is>
          <t>10011</t>
        </is>
      </c>
      <c r="P30" t="inlineStr">
        <is>
          <t>Y</t>
        </is>
      </c>
      <c r="Q30" t="inlineStr">
        <is>
          <t>B-C-061</t>
        </is>
      </c>
      <c r="R30" t="n">
        <v>0</v>
      </c>
      <c r="S30" t="inlineStr"/>
      <c r="T30" t="inlineStr"/>
      <c r="U30" t="n">
        <v>12</v>
      </c>
      <c r="V30" t="n">
        <v>1910</v>
      </c>
      <c r="W30" t="inlineStr">
        <is>
          <t>O6</t>
        </is>
      </c>
      <c r="X30" t="n">
        <v>96942</v>
      </c>
      <c r="Y30" t="inlineStr">
        <is>
          <t>37 WEST 20 STREET</t>
        </is>
      </c>
      <c r="Z30" t="inlineStr">
        <is>
          <t>PLUTO lot 37 WEST 20 STREET, centroid 1 m from pin</t>
        </is>
      </c>
      <c r="AA30" t="inlineStr"/>
      <c r="AB30" t="inlineStr">
        <is>
          <t>S2</t>
        </is>
      </c>
    </row>
    <row r="31">
      <c r="A31" t="inlineStr">
        <is>
          <t>B-B-029</t>
        </is>
      </c>
      <c r="B31" t="inlineStr">
        <is>
          <t>156 Fifth Avenue</t>
        </is>
      </c>
      <c r="C31" t="inlineStr">
        <is>
          <t>Presbyterian Building / Flatiron Suites (HRC)</t>
        </is>
      </c>
      <c r="D31" t="n">
        <v>40.739961</v>
      </c>
      <c r="E31" t="n">
        <v>-73.990971</v>
      </c>
      <c r="F31" t="inlineStr">
        <is>
          <t>unknown</t>
        </is>
      </c>
      <c r="G31" t="inlineStr"/>
      <c r="H31" t="inlineStr">
        <is>
          <t>unknown</t>
        </is>
      </c>
      <c r="I31" t="inlineStr"/>
      <c r="J31" t="n">
        <v>2</v>
      </c>
      <c r="K31" t="inlineStr"/>
      <c r="L31" s="3" t="inlineStr">
        <is>
          <t>[S2] 13-story; 100% occupied after Warp's expansion (CO 2026-08); new 3rd-floor amenity space. Tenants: Warp (7-8), Christie's International Real Estate Group (9); Codat and Encourage Capital (2022).</t>
        </is>
      </c>
      <c r="M31" t="inlineStr">
        <is>
          <t>1008220031</t>
        </is>
      </c>
      <c r="N31" t="inlineStr"/>
      <c r="O31" t="inlineStr">
        <is>
          <t>10010</t>
        </is>
      </c>
      <c r="P31" t="inlineStr">
        <is>
          <t>Y</t>
        </is>
      </c>
      <c r="Q31" t="inlineStr">
        <is>
          <t>B-C-059; B-C-060</t>
        </is>
      </c>
      <c r="R31" t="n">
        <v>0</v>
      </c>
      <c r="S31" t="inlineStr">
        <is>
          <t>B-W-007</t>
        </is>
      </c>
      <c r="T31" t="inlineStr"/>
      <c r="U31" t="n">
        <v>13</v>
      </c>
      <c r="V31" t="n">
        <v>1895</v>
      </c>
      <c r="W31" t="inlineStr">
        <is>
          <t>O6</t>
        </is>
      </c>
      <c r="X31" t="n">
        <v>169109</v>
      </c>
      <c r="Y31" t="inlineStr">
        <is>
          <t>154 5 AVENUE</t>
        </is>
      </c>
      <c r="Z31" t="inlineStr">
        <is>
          <t>PLUTO lot 154 5 AVENUE, centroid 27 m from pin; Review round 2: corner lot: the lot-centroid pin sat 16 m from W 20 ST but 53 m from 5 AVE, so it was moved to the 5 AVE frontage near the corner (17 m from the 5 AVE centreline, 26 m from W 20 ST; 37 m from the old pin). Tax lot unchanged.</t>
        </is>
      </c>
      <c r="AA31" t="inlineStr">
        <is>
          <t>Corner building: the address is on Fifth Avenue, and the building also fronts West 20th Street. The pin sits on the Fifth Avenue side; check which door takes deliveries.</t>
        </is>
      </c>
      <c r="AB31" t="inlineStr">
        <is>
          <t>S2</t>
        </is>
      </c>
    </row>
    <row r="32">
      <c r="A32" t="inlineStr">
        <is>
          <t>B-B-031</t>
        </is>
      </c>
      <c r="B32" t="inlineStr">
        <is>
          <t>902 Broadway</t>
        </is>
      </c>
      <c r="C32" t="inlineStr">
        <is>
          <t>902 Broadway (Rosen family / Koeppel Rosen)</t>
        </is>
      </c>
      <c r="D32" t="n">
        <v>40.739363</v>
      </c>
      <c r="E32" t="n">
        <v>-73.98953400000001</v>
      </c>
      <c r="F32" t="inlineStr">
        <is>
          <t>security desk</t>
        </is>
      </c>
      <c r="G32" s="2" t="inlineStr">
        <is>
          <t>https://www.metro-manhattan.com/buildings/902-broadway/</t>
        </is>
      </c>
      <c r="H32" t="inlineStr">
        <is>
          <t>unknown</t>
        </is>
      </c>
      <c r="I32" t="inlineStr"/>
      <c r="J32" t="n">
        <v>3</v>
      </c>
      <c r="K32" t="inlineStr"/>
      <c r="L32" s="3" t="inlineStr">
        <is>
          <t>[S2] 20-story, spans Broadway between E 20th and E 21st St. Broker page: 24/7 security, freight entrance at 20 East 21st Street, three freight elevators. Tenants: Fenwick &amp; West, William Grant &amp; Sons (2-3), Industrious coworking (7), Manifest Law (8), Hudson Companies and Broadway Builders (12), MD2.</t>
        </is>
      </c>
      <c r="M32" t="inlineStr">
        <is>
          <t>1008490016</t>
        </is>
      </c>
      <c r="N32" t="inlineStr"/>
      <c r="O32" t="inlineStr">
        <is>
          <t>10010</t>
        </is>
      </c>
      <c r="P32" t="inlineStr">
        <is>
          <t>Y</t>
        </is>
      </c>
      <c r="Q32" t="inlineStr">
        <is>
          <t>B-C-062; B-C-063; B-C-064</t>
        </is>
      </c>
      <c r="R32" t="n">
        <v>2</v>
      </c>
      <c r="S32" t="inlineStr">
        <is>
          <t>B-W-008</t>
        </is>
      </c>
      <c r="T32" t="inlineStr"/>
      <c r="U32" t="n">
        <v>20</v>
      </c>
      <c r="V32" t="n">
        <v>1913</v>
      </c>
      <c r="W32" t="inlineStr">
        <is>
          <t>O4</t>
        </is>
      </c>
      <c r="X32" t="n">
        <v>309550</v>
      </c>
      <c r="Y32" t="inlineStr">
        <is>
          <t>902 BROADWAY</t>
        </is>
      </c>
      <c r="Z32" t="inlineStr">
        <is>
          <t>PLUTO lot 902 BROADWAY, centroid 15 m from pin; Review round 2: corner lot: the lot-centroid pin sat 27 m from E 20 ST but 31 m from BROADWAY, so it was moved to the BROADWAY frontage near the corner (15 m from the BROADWAY centreline, 27 m from E 20 ST; 16 m from the old pin). Tax lot unchanged.</t>
        </is>
      </c>
      <c r="AA32" t="inlineStr">
        <is>
          <t>Corner building: the address is on Broadway, and the building also fronts East 20th Street. The pin sits on the Broadway side; check which door takes deliveries.</t>
        </is>
      </c>
      <c r="AB32" t="inlineStr">
        <is>
          <t>S2</t>
        </is>
      </c>
    </row>
    <row r="33">
      <c r="A33" t="inlineStr">
        <is>
          <t>B-B-034</t>
        </is>
      </c>
      <c r="B33" t="inlineStr">
        <is>
          <t>915 Broadway</t>
        </is>
      </c>
      <c r="C33" t="inlineStr">
        <is>
          <t>915 Broadway (ABS Partners)</t>
        </is>
      </c>
      <c r="D33" t="n">
        <v>40.739695</v>
      </c>
      <c r="E33" t="n">
        <v>-73.989816</v>
      </c>
      <c r="F33" t="inlineStr">
        <is>
          <t>security desk</t>
        </is>
      </c>
      <c r="G33" s="2" t="inlineStr">
        <is>
          <t>https://www.metro-manhattan.com/buildings/915-broadway-office-space-for-lease/</t>
        </is>
      </c>
      <c r="H33" t="inlineStr">
        <is>
          <t>unknown</t>
        </is>
      </c>
      <c r="I33" t="inlineStr"/>
      <c r="J33" t="n">
        <v>2</v>
      </c>
      <c r="K33" t="inlineStr"/>
      <c r="L33" s="3" t="inlineStr">
        <is>
          <t>[S2] 20-story at E 21st St. Broker page (modified 2025-10-29): two lobbies including a renovated marble lobby with concierge service. Tenants: General Assembly (2-4), Stanford in New York; Athena Club moved out in 2026.</t>
        </is>
      </c>
      <c r="M33" t="inlineStr">
        <is>
          <t>1008490070</t>
        </is>
      </c>
      <c r="N33" t="inlineStr"/>
      <c r="O33" t="inlineStr">
        <is>
          <t>10010</t>
        </is>
      </c>
      <c r="P33" t="inlineStr">
        <is>
          <t>Y</t>
        </is>
      </c>
      <c r="Q33" t="inlineStr">
        <is>
          <t>B-C-074; B-C-075</t>
        </is>
      </c>
      <c r="R33" t="n">
        <v>0</v>
      </c>
      <c r="S33" t="inlineStr"/>
      <c r="T33" t="inlineStr"/>
      <c r="U33" t="n">
        <v>20</v>
      </c>
      <c r="V33" t="n">
        <v>1926</v>
      </c>
      <c r="W33" t="inlineStr">
        <is>
          <t>O4</t>
        </is>
      </c>
      <c r="X33" t="n">
        <v>197340</v>
      </c>
      <c r="Y33" t="inlineStr">
        <is>
          <t>915 BROADWAY</t>
        </is>
      </c>
      <c r="Z33" t="inlineStr">
        <is>
          <t>PLUTO lot 915 BROADWAY, centroid 20 m from pin; Review round 2: corner lot: the lot-centroid pin sat 22 m from E 21 ST but 34 m from BROADWAY, so it was moved to the BROADWAY frontage near the corner (15 m from the BROADWAY centreline, 27 m from E 21 ST; 21 m from the old pin). Tax lot unchanged.</t>
        </is>
      </c>
      <c r="AA33" t="inlineStr">
        <is>
          <t>Corner building: the address is on Broadway, and the building also fronts East 21st Street. The pin sits on the Broadway side; check which door takes deliveries.</t>
        </is>
      </c>
      <c r="AB33" t="inlineStr">
        <is>
          <t>S2</t>
        </is>
      </c>
    </row>
    <row r="34">
      <c r="A34" t="inlineStr">
        <is>
          <t>B-B-032</t>
        </is>
      </c>
      <c r="B34" t="inlineStr">
        <is>
          <t>257 Park Avenue South</t>
        </is>
      </c>
      <c r="C34" t="inlineStr">
        <is>
          <t>Gramercy Park Building (Feil Organization)</t>
        </is>
      </c>
      <c r="D34" t="n">
        <v>40.738577</v>
      </c>
      <c r="E34" t="n">
        <v>-73.987151</v>
      </c>
      <c r="F34" t="inlineStr">
        <is>
          <t>unknown</t>
        </is>
      </c>
      <c r="G34" t="inlineStr"/>
      <c r="H34" t="inlineStr">
        <is>
          <t>unknown</t>
        </is>
      </c>
      <c r="I34" t="inlineStr"/>
      <c r="J34" t="n">
        <v>7</v>
      </c>
      <c r="K34" t="inlineStr"/>
      <c r="L34" s="3" t="inlineStr">
        <is>
          <t>[S2] 20-story Art Deco, 238,000 sf, 97% leased (CO 2026-07). Tenants: AngelList (18), Options Group (7), Argentic (20), ISAIA (10), Phipps Houses (11-12, 15), Pei Architects (19), Paul Smith (5), Beachwold (13); Maharam and AIS showrooms.</t>
        </is>
      </c>
      <c r="M34" t="inlineStr">
        <is>
          <t>1008767504</t>
        </is>
      </c>
      <c r="N34" t="inlineStr"/>
      <c r="O34" t="inlineStr">
        <is>
          <t>10010</t>
        </is>
      </c>
      <c r="P34" t="inlineStr">
        <is>
          <t>Y</t>
        </is>
      </c>
      <c r="Q34" t="inlineStr">
        <is>
          <t>B-C-065; B-C-066; B-C-067; B-C-068; B-C-069; B-C-070; B-C-071</t>
        </is>
      </c>
      <c r="R34" t="n">
        <v>1</v>
      </c>
      <c r="S34" t="inlineStr"/>
      <c r="T34" t="inlineStr"/>
      <c r="U34" t="n">
        <v>20</v>
      </c>
      <c r="V34" t="n">
        <v>1913</v>
      </c>
      <c r="W34" t="inlineStr">
        <is>
          <t>RB</t>
        </is>
      </c>
      <c r="X34" t="n">
        <v>189547</v>
      </c>
      <c r="Y34" t="inlineStr">
        <is>
          <t>257 PARK AVENUE SOUTH</t>
        </is>
      </c>
      <c r="Z34" t="inlineStr">
        <is>
          <t>PLUTO lot 257 PARK AVENUE SOUTH, centroid 1 m from pin</t>
        </is>
      </c>
      <c r="AA34" t="inlineStr"/>
      <c r="AB34" t="inlineStr">
        <is>
          <t>S2</t>
        </is>
      </c>
    </row>
    <row r="35">
      <c r="A35" t="inlineStr">
        <is>
          <t>B-B-033</t>
        </is>
      </c>
      <c r="B35" t="inlineStr">
        <is>
          <t>30 West 21st Street</t>
        </is>
      </c>
      <c r="C35" t="inlineStr">
        <is>
          <t>30 West 21st Street (Skyway Development Group)</t>
        </is>
      </c>
      <c r="D35" t="n">
        <v>40.74082</v>
      </c>
      <c r="E35" t="n">
        <v>-73.992366</v>
      </c>
      <c r="F35" t="inlineStr">
        <is>
          <t>unknown</t>
        </is>
      </c>
      <c r="G35" t="inlineStr"/>
      <c r="H35" t="inlineStr">
        <is>
          <t>unknown</t>
        </is>
      </c>
      <c r="I35" t="inlineStr"/>
      <c r="J35" t="n">
        <v>2</v>
      </c>
      <c r="K35" t="inlineStr"/>
      <c r="L35" s="3" t="inlineStr">
        <is>
          <t>[S2] 15-story. Tenants: Actively AI (9-10), Vivaldi (12), Reaktor (14), New York Stone.</t>
        </is>
      </c>
      <c r="M35" t="inlineStr">
        <is>
          <t>1008220058</t>
        </is>
      </c>
      <c r="N35" t="inlineStr"/>
      <c r="O35" t="inlineStr">
        <is>
          <t>10010</t>
        </is>
      </c>
      <c r="P35" t="inlineStr">
        <is>
          <t>Y</t>
        </is>
      </c>
      <c r="Q35" t="inlineStr">
        <is>
          <t>B-C-072; B-C-073</t>
        </is>
      </c>
      <c r="R35" t="n">
        <v>1</v>
      </c>
      <c r="S35" t="inlineStr"/>
      <c r="T35" t="inlineStr"/>
      <c r="U35" t="n">
        <v>15</v>
      </c>
      <c r="V35" t="n">
        <v>1907</v>
      </c>
      <c r="W35" t="inlineStr">
        <is>
          <t>O6</t>
        </is>
      </c>
      <c r="X35" t="n">
        <v>58280</v>
      </c>
      <c r="Y35" t="inlineStr">
        <is>
          <t>30 WEST 21 STREET</t>
        </is>
      </c>
      <c r="Z35" t="inlineStr">
        <is>
          <t>PLUTO lot 30 WEST 21 STREET, centroid 2 m from pin</t>
        </is>
      </c>
      <c r="AA35" t="inlineStr"/>
      <c r="AB35" t="inlineStr">
        <is>
          <t>S2</t>
        </is>
      </c>
    </row>
    <row r="36">
      <c r="A36" t="inlineStr">
        <is>
          <t>B-B-036</t>
        </is>
      </c>
      <c r="B36" t="inlineStr">
        <is>
          <t>53 West 21st Street</t>
        </is>
      </c>
      <c r="C36" t="inlineStr">
        <is>
          <t>53-55 West 21st Street (Moinian Group)</t>
        </is>
      </c>
      <c r="D36" t="n">
        <v>40.741548</v>
      </c>
      <c r="E36" t="n">
        <v>-73.99300700000001</v>
      </c>
      <c r="F36" t="inlineStr">
        <is>
          <t>unknown</t>
        </is>
      </c>
      <c r="G36" t="inlineStr"/>
      <c r="H36" t="inlineStr">
        <is>
          <t>unknown</t>
        </is>
      </c>
      <c r="I36" t="inlineStr"/>
      <c r="J36" t="n">
        <v>3</v>
      </c>
      <c r="K36" t="inlineStr"/>
      <c r="L36" s="3" t="inlineStr">
        <is>
          <t>[S2] Moinian furnished short-term office suites. Tenants: Instant, Cobalt Service Partners, PlayPlay.</t>
        </is>
      </c>
      <c r="M36" t="inlineStr">
        <is>
          <t>1008230009</t>
        </is>
      </c>
      <c r="N36" t="inlineStr"/>
      <c r="O36" t="inlineStr">
        <is>
          <t>10010</t>
        </is>
      </c>
      <c r="P36" t="inlineStr">
        <is>
          <t>Y</t>
        </is>
      </c>
      <c r="Q36" t="inlineStr">
        <is>
          <t>B-C-077; B-C-078; B-C-079</t>
        </is>
      </c>
      <c r="R36" t="n">
        <v>0</v>
      </c>
      <c r="S36" t="inlineStr"/>
      <c r="T36" t="inlineStr"/>
      <c r="U36" t="n">
        <v>6</v>
      </c>
      <c r="V36" t="n">
        <v>1902</v>
      </c>
      <c r="W36" t="inlineStr">
        <is>
          <t>K4</t>
        </is>
      </c>
      <c r="X36" t="n">
        <v>10000</v>
      </c>
      <c r="Y36" t="inlineStr">
        <is>
          <t>53 WEST 21 STREET</t>
        </is>
      </c>
      <c r="Z36" t="inlineStr">
        <is>
          <t>PLUTO lot 53 WEST 21 STREET, centroid 1 m from pin</t>
        </is>
      </c>
      <c r="AA36" t="inlineStr"/>
      <c r="AB36" t="inlineStr">
        <is>
          <t>S2</t>
        </is>
      </c>
    </row>
    <row r="37">
      <c r="A37" t="inlineStr">
        <is>
          <t>B-B-035</t>
        </is>
      </c>
      <c r="B37" t="inlineStr">
        <is>
          <t>149 Fifth Avenue</t>
        </is>
      </c>
      <c r="C37" t="inlineStr">
        <is>
          <t>149 Fifth Avenue</t>
        </is>
      </c>
      <c r="D37" t="n">
        <v>40.740407</v>
      </c>
      <c r="E37" t="n">
        <v>-73.990193</v>
      </c>
      <c r="F37" t="inlineStr">
        <is>
          <t>unknown</t>
        </is>
      </c>
      <c r="G37" t="inlineStr"/>
      <c r="H37" t="inlineStr">
        <is>
          <t>unknown</t>
        </is>
      </c>
      <c r="I37" t="inlineStr"/>
      <c r="J37" t="n">
        <v>1</v>
      </c>
      <c r="K37" t="inlineStr"/>
      <c r="L37" s="3" t="inlineStr">
        <is>
          <t>[S2] 16-story, between E 21st and E 22nd St (William Colavito Inc.). Tenants: Euclidean Capital (two floors), Core real estate, Arc'teryx retail; small biotechs MiNK and Protagenic file SEC reports from Suite 500.</t>
        </is>
      </c>
      <c r="M37" t="inlineStr">
        <is>
          <t>1008500001</t>
        </is>
      </c>
      <c r="N37" t="inlineStr"/>
      <c r="O37" t="inlineStr">
        <is>
          <t>10010</t>
        </is>
      </c>
      <c r="P37" t="inlineStr">
        <is>
          <t>Y</t>
        </is>
      </c>
      <c r="Q37" t="inlineStr">
        <is>
          <t>B-C-076</t>
        </is>
      </c>
      <c r="R37" t="n">
        <v>0</v>
      </c>
      <c r="S37" t="inlineStr"/>
      <c r="T37" t="inlineStr"/>
      <c r="U37" t="n">
        <v>16</v>
      </c>
      <c r="V37" t="n">
        <v>1918</v>
      </c>
      <c r="W37" t="inlineStr">
        <is>
          <t>O6</t>
        </is>
      </c>
      <c r="X37" t="n">
        <v>165619</v>
      </c>
      <c r="Y37" t="inlineStr">
        <is>
          <t>149 5 AVENUE</t>
        </is>
      </c>
      <c r="Z37" t="inlineStr">
        <is>
          <t>PLUTO lot 149 5 AVENUE, centroid 28 m from pin;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AA37" t="inlineStr">
        <is>
          <t>Corner building: the address is on Fifth Avenue, and the building also fronts East 21st Street. The pin sits on the Fifth Avenue side; check which door takes deliveries.</t>
        </is>
      </c>
      <c r="AB37" t="inlineStr">
        <is>
          <t>S2</t>
        </is>
      </c>
    </row>
    <row r="38">
      <c r="A38" t="inlineStr">
        <is>
          <t>B-B-037</t>
        </is>
      </c>
      <c r="B38" t="inlineStr">
        <is>
          <t>155 Fifth Avenue</t>
        </is>
      </c>
      <c r="C38" t="inlineStr">
        <is>
          <t>Scribner Building</t>
        </is>
      </c>
      <c r="D38" t="n">
        <v>40.740438</v>
      </c>
      <c r="E38" t="n">
        <v>-73.99003399999999</v>
      </c>
      <c r="F38" t="inlineStr">
        <is>
          <t>unknown</t>
        </is>
      </c>
      <c r="G38" t="inlineStr"/>
      <c r="H38" t="inlineStr">
        <is>
          <t>unknown</t>
        </is>
      </c>
      <c r="I38" t="inlineStr"/>
      <c r="J38" t="n">
        <v>2</v>
      </c>
      <c r="K38" t="inlineStr"/>
      <c r="L38" s="3" t="inlineStr">
        <is>
          <t>[S2] Six-story, between E 21st and E 22nd St. Tenants: Vitesse PSP, Varley offices (CO 2025-04).</t>
        </is>
      </c>
      <c r="M38" t="inlineStr">
        <is>
          <t>1008500004</t>
        </is>
      </c>
      <c r="N38" t="inlineStr"/>
      <c r="O38" t="inlineStr">
        <is>
          <t>10010</t>
        </is>
      </c>
      <c r="P38" t="inlineStr">
        <is>
          <t>Y</t>
        </is>
      </c>
      <c r="Q38" t="inlineStr">
        <is>
          <t>B-C-080; B-C-081</t>
        </is>
      </c>
      <c r="R38" t="n">
        <v>0</v>
      </c>
      <c r="S38" t="inlineStr"/>
      <c r="T38" t="inlineStr"/>
      <c r="U38" t="n">
        <v>7</v>
      </c>
      <c r="V38" t="n">
        <v>1894</v>
      </c>
      <c r="W38" t="inlineStr">
        <is>
          <t>O6</t>
        </is>
      </c>
      <c r="X38" t="n">
        <v>31788</v>
      </c>
      <c r="Y38" t="inlineStr">
        <is>
          <t>153 5 AVENUE</t>
        </is>
      </c>
      <c r="Z38" t="inlineStr">
        <is>
          <t>PLUTO lot 153 5 AVENUE, centroid 1 m from pin</t>
        </is>
      </c>
      <c r="AA38" t="inlineStr"/>
      <c r="AB38" t="inlineStr">
        <is>
          <t>S2</t>
        </is>
      </c>
    </row>
    <row r="39">
      <c r="A39" t="inlineStr">
        <is>
          <t>B-B-038</t>
        </is>
      </c>
      <c r="B39" t="inlineStr">
        <is>
          <t>675 Avenue of the Americas</t>
        </is>
      </c>
      <c r="C39" t="inlineStr">
        <is>
          <t>Adams Dry Goods / Mattel Building (GFP Real Estate)</t>
        </is>
      </c>
      <c r="D39" t="n">
        <v>40.742014</v>
      </c>
      <c r="E39" t="n">
        <v>-73.99370500000001</v>
      </c>
      <c r="F39" t="inlineStr">
        <is>
          <t>unknown</t>
        </is>
      </c>
      <c r="G39" t="inlineStr"/>
      <c r="H39" t="inlineStr">
        <is>
          <t>unknown</t>
        </is>
      </c>
      <c r="I39" t="inlineStr"/>
      <c r="J39" t="n">
        <v>2</v>
      </c>
      <c r="K39" t="inlineStr"/>
      <c r="L39" s="3" t="inlineStr">
        <is>
          <t>[S2] Between W 21st and W 22nd St. Tenants: Synthesia (50,000 sf, future HQ), Candid Health (3), CompStak (4); Built In lists WeightWatchers HQ here; Trader Joe's and DXL retail.</t>
        </is>
      </c>
      <c r="M39" t="inlineStr">
        <is>
          <t>1007970037</t>
        </is>
      </c>
      <c r="N39" t="inlineStr"/>
      <c r="O39" t="inlineStr">
        <is>
          <t>10010</t>
        </is>
      </c>
      <c r="P39" t="inlineStr">
        <is>
          <t>Y</t>
        </is>
      </c>
      <c r="Q39" t="inlineStr">
        <is>
          <t>B-C-082; B-C-083</t>
        </is>
      </c>
      <c r="R39" t="n">
        <v>1</v>
      </c>
      <c r="S39" t="inlineStr"/>
      <c r="T39" t="inlineStr">
        <is>
          <t>B-R-008</t>
        </is>
      </c>
      <c r="U39" t="n">
        <v>6</v>
      </c>
      <c r="V39" t="n">
        <v>1902</v>
      </c>
      <c r="W39" t="inlineStr">
        <is>
          <t>O5</t>
        </is>
      </c>
      <c r="X39" t="n">
        <v>200000</v>
      </c>
      <c r="Y39" t="inlineStr">
        <is>
          <t>675 AVENUE OF THE AMERICAS</t>
        </is>
      </c>
      <c r="Z39" t="inlineStr">
        <is>
          <t>PLUTO lot 675 AVENUE OF THE AMERICAS, centroid 27 m from pin;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AA39" t="inlineStr">
        <is>
          <t>Corner building: the address is on Avenue of the Americas, and the building also fronts West 21st Street. The pin sits on the Avenue of the Americas side; check which door takes deliveries.</t>
        </is>
      </c>
      <c r="AB39" t="inlineStr">
        <is>
          <t>S2</t>
        </is>
      </c>
    </row>
    <row r="40">
      <c r="A40" t="inlineStr">
        <is>
          <t>B-B-039</t>
        </is>
      </c>
      <c r="B40" t="inlineStr">
        <is>
          <t>56 West 22nd Street</t>
        </is>
      </c>
      <c r="C40" t="inlineStr">
        <is>
          <t>56 West 22nd Street (Kaufman Organization)</t>
        </is>
      </c>
      <c r="D40" t="n">
        <v>40.741838</v>
      </c>
      <c r="E40" t="n">
        <v>-73.992892</v>
      </c>
      <c r="F40" t="inlineStr">
        <is>
          <t>unknown</t>
        </is>
      </c>
      <c r="G40" t="inlineStr"/>
      <c r="H40" t="inlineStr">
        <is>
          <t>unknown</t>
        </is>
      </c>
      <c r="I40" t="inlineStr"/>
      <c r="J40" t="n">
        <v>2</v>
      </c>
      <c r="K40" t="inlineStr"/>
      <c r="L40" s="3" t="inlineStr">
        <is>
          <t>[S2] 12-story. Empathy HQ (PH), Sharma Brands (11), Hope Street Capital (10, 2021).</t>
        </is>
      </c>
      <c r="M40" t="inlineStr">
        <is>
          <t>1008230073</t>
        </is>
      </c>
      <c r="N40" t="inlineStr"/>
      <c r="O40" t="inlineStr">
        <is>
          <t>10010</t>
        </is>
      </c>
      <c r="P40" t="inlineStr">
        <is>
          <t>Y</t>
        </is>
      </c>
      <c r="Q40" t="inlineStr">
        <is>
          <t>B-C-085; B-C-086</t>
        </is>
      </c>
      <c r="R40" t="n">
        <v>0</v>
      </c>
      <c r="S40" t="inlineStr"/>
      <c r="T40" t="inlineStr"/>
      <c r="U40" t="n">
        <v>12</v>
      </c>
      <c r="V40" t="n">
        <v>1908</v>
      </c>
      <c r="W40" t="inlineStr">
        <is>
          <t>O6</t>
        </is>
      </c>
      <c r="X40" t="n">
        <v>50600</v>
      </c>
      <c r="Y40" t="inlineStr">
        <is>
          <t>56 WEST 22 STREET</t>
        </is>
      </c>
      <c r="Z40" t="inlineStr">
        <is>
          <t>PLUTO lot 56 WEST 22 STREET, centroid 2 m from pin</t>
        </is>
      </c>
      <c r="AA40" t="inlineStr"/>
      <c r="AB40" t="inlineStr">
        <is>
          <t>S2</t>
        </is>
      </c>
    </row>
    <row r="41">
      <c r="A41" t="inlineStr">
        <is>
          <t>B-B-040</t>
        </is>
      </c>
      <c r="B41" t="inlineStr">
        <is>
          <t>20 West 22nd Street</t>
        </is>
      </c>
      <c r="C41" t="inlineStr">
        <is>
          <t>20 West 22nd Street (ABS Partners, managing agent)</t>
        </is>
      </c>
      <c r="D41" t="n">
        <v>40.74129</v>
      </c>
      <c r="E41" t="n">
        <v>-73.991589</v>
      </c>
      <c r="F41" t="inlineStr">
        <is>
          <t>security desk</t>
        </is>
      </c>
      <c r="G41" s="2" t="inlineStr">
        <is>
          <t>https://commercialobserver.com/2022/06/the-information-20-west-22nd-street/</t>
        </is>
      </c>
      <c r="H41" t="inlineStr">
        <is>
          <t>unknown</t>
        </is>
      </c>
      <c r="I41" t="inlineStr"/>
      <c r="J41" t="n">
        <v>1</v>
      </c>
      <c r="K41" t="inlineStr"/>
      <c r="L41" s="3" t="inlineStr">
        <is>
          <t>[S2] 16-story, 175,000 sf. Tenant broker quoted in CO (2022): 'they have a doorman and security'. The Information East Coast bureau (Suite 1006). [S3] 16-story 1911 multi-tenant building described as multi-tenant with about 72 tenants (CommercialCafe listing seen in search results; page returned 403, unverified, founder to confirm); 97% leased in 2023 (FNP Nov 2023 roundup). The Information's East Coast bureau is in Suite 1006 (theinformation.com/about, live); CO 2022-06-15 quotes its broker saying the building has 'a doorman and security'. S2 records The Information.</t>
        </is>
      </c>
      <c r="M41" t="inlineStr">
        <is>
          <t>1008230055</t>
        </is>
      </c>
      <c r="N41" t="inlineStr"/>
      <c r="O41" t="inlineStr">
        <is>
          <t>10010</t>
        </is>
      </c>
      <c r="P41" t="inlineStr">
        <is>
          <t>Y</t>
        </is>
      </c>
      <c r="Q41" t="inlineStr">
        <is>
          <t>B-C-087</t>
        </is>
      </c>
      <c r="R41" t="n">
        <v>0</v>
      </c>
      <c r="S41" t="inlineStr"/>
      <c r="T41" t="inlineStr"/>
      <c r="U41" t="n">
        <v>16</v>
      </c>
      <c r="V41" t="n">
        <v>1911</v>
      </c>
      <c r="W41" t="inlineStr">
        <is>
          <t>O6</t>
        </is>
      </c>
      <c r="X41" t="n">
        <v>144393</v>
      </c>
      <c r="Y41" t="inlineStr">
        <is>
          <t>20 WEST 22 STREET</t>
        </is>
      </c>
      <c r="Z41" t="inlineStr">
        <is>
          <t>PLUTO lot 20 WEST 22 STREET, centroid 2 m from pin</t>
        </is>
      </c>
      <c r="AA41" t="inlineStr"/>
      <c r="AB41" t="inlineStr">
        <is>
          <t>S2;S3</t>
        </is>
      </c>
    </row>
    <row r="42">
      <c r="A42" t="inlineStr">
        <is>
          <t>B-B-041</t>
        </is>
      </c>
      <c r="B42" t="inlineStr">
        <is>
          <t>16 West 22nd Street</t>
        </is>
      </c>
      <c r="C42" t="inlineStr">
        <is>
          <t>16 West 22nd Street (Meysar Realty / GFP)</t>
        </is>
      </c>
      <c r="D42" t="n">
        <v>40.74118</v>
      </c>
      <c r="E42" t="n">
        <v>-73.99129000000001</v>
      </c>
      <c r="F42" t="inlineStr">
        <is>
          <t>unknown</t>
        </is>
      </c>
      <c r="G42" t="inlineStr"/>
      <c r="H42" t="inlineStr">
        <is>
          <t>unknown</t>
        </is>
      </c>
      <c r="I42" t="inlineStr"/>
      <c r="J42" t="n">
        <v>2</v>
      </c>
      <c r="K42" t="inlineStr"/>
      <c r="L42" s="3" t="inlineStr">
        <is>
          <t>[S2] 1910 building. Tenants: e.l.f. Beauty (39,000 sf), M&amp;C Saatchi (9), Heard City (5), Sussex Publishers (2). [S3] 12-story 1910 neo-Renaissance loft building, about 165,000 sf (CO 2024-08-27). Tenants: e.l.f. Beauty (NYC HQ office, 4th floor per elfbeauty.com/contact-us, 39,000 sf total; S2 recorded it), M&amp;C Saatchi Group (entire 9th floor, about 13,000 sf, per Built In and FNP Jan 2024), Sussex Publishers / Psychology Today (3,285 sf) and Heard City (5th floor) (both recorded by S2).</t>
        </is>
      </c>
      <c r="M42" t="inlineStr">
        <is>
          <t>1008230029</t>
        </is>
      </c>
      <c r="N42" t="inlineStr"/>
      <c r="O42" t="inlineStr">
        <is>
          <t>10010</t>
        </is>
      </c>
      <c r="P42" t="inlineStr">
        <is>
          <t>Y</t>
        </is>
      </c>
      <c r="Q42" t="inlineStr">
        <is>
          <t>B-C-088; B-C-089</t>
        </is>
      </c>
      <c r="R42" t="n">
        <v>2</v>
      </c>
      <c r="S42" t="inlineStr"/>
      <c r="T42" t="inlineStr"/>
      <c r="U42" t="n">
        <v>12</v>
      </c>
      <c r="V42" t="n">
        <v>1910</v>
      </c>
      <c r="W42" t="inlineStr">
        <is>
          <t>O6</t>
        </is>
      </c>
      <c r="X42" t="n">
        <v>117007</v>
      </c>
      <c r="Y42" t="inlineStr">
        <is>
          <t>15 WEST 21 STREET</t>
        </is>
      </c>
      <c r="Z42" t="inlineStr">
        <is>
          <t>PLUTO lot 15 WEST 21 STREET, centroid 19 m from pin;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AA42" t="inlineStr"/>
      <c r="AB42" t="inlineStr">
        <is>
          <t>S2;S3</t>
        </is>
      </c>
    </row>
    <row r="43">
      <c r="A43" t="inlineStr">
        <is>
          <t>B-B-043</t>
        </is>
      </c>
      <c r="B43" t="inlineStr">
        <is>
          <t>7 West 22nd Street</t>
        </is>
      </c>
      <c r="C43" t="inlineStr">
        <is>
          <t>7 West 22nd Street</t>
        </is>
      </c>
      <c r="D43" t="n">
        <v>40.741355</v>
      </c>
      <c r="E43" t="n">
        <v>-73.99059800000001</v>
      </c>
      <c r="F43" t="inlineStr">
        <is>
          <t>unknown</t>
        </is>
      </c>
      <c r="G43" t="inlineStr"/>
      <c r="H43" t="inlineStr">
        <is>
          <t>unknown</t>
        </is>
      </c>
      <c r="I43" t="inlineStr"/>
      <c r="J43" t="n">
        <v>1</v>
      </c>
      <c r="K43" t="inlineStr"/>
      <c r="L43" s="3" t="inlineStr">
        <is>
          <t>[S2] Hungryroot took the 6th floor in 2019 (not re-confirmed).</t>
        </is>
      </c>
      <c r="M43" t="inlineStr">
        <is>
          <t>1008240032</t>
        </is>
      </c>
      <c r="N43" t="inlineStr"/>
      <c r="O43" t="inlineStr">
        <is>
          <t>10010</t>
        </is>
      </c>
      <c r="P43" t="inlineStr">
        <is>
          <t>Y</t>
        </is>
      </c>
      <c r="Q43" t="inlineStr">
        <is>
          <t>B-C-090</t>
        </is>
      </c>
      <c r="R43" t="n">
        <v>0</v>
      </c>
      <c r="S43" t="inlineStr"/>
      <c r="T43" t="inlineStr"/>
      <c r="U43" t="n">
        <v>10</v>
      </c>
      <c r="V43" t="n">
        <v>1901</v>
      </c>
      <c r="W43" t="inlineStr">
        <is>
          <t>O6</t>
        </is>
      </c>
      <c r="X43" t="n">
        <v>80999</v>
      </c>
      <c r="Y43" t="inlineStr">
        <is>
          <t>3 WEST 22 STREET</t>
        </is>
      </c>
      <c r="Z43" t="inlineStr">
        <is>
          <t>PLUTO lot 3 WEST 22 STREET, centroid 1 m from pin</t>
        </is>
      </c>
      <c r="AA43" t="inlineStr"/>
      <c r="AB43" t="inlineStr">
        <is>
          <t>S2</t>
        </is>
      </c>
    </row>
    <row r="44">
      <c r="A44" t="inlineStr">
        <is>
          <t>B-B-045</t>
        </is>
      </c>
      <c r="B44" t="inlineStr">
        <is>
          <t>25 East 22nd Street</t>
        </is>
      </c>
      <c r="C44" t="inlineStr">
        <is>
          <t>25 East 22nd Street (owner-occupied by Kodansha)</t>
        </is>
      </c>
      <c r="D44" t="n">
        <v>40.740287</v>
      </c>
      <c r="E44" t="n">
        <v>-73.98805</v>
      </c>
      <c r="F44" t="inlineStr">
        <is>
          <t>unknown</t>
        </is>
      </c>
      <c r="G44" t="inlineStr"/>
      <c r="H44" t="inlineStr">
        <is>
          <t>unknown</t>
        </is>
      </c>
      <c r="I44" t="inlineStr"/>
      <c r="J44" t="n">
        <v>1</v>
      </c>
      <c r="K44" t="inlineStr"/>
      <c r="L44" s="3" t="inlineStr">
        <is>
          <t>[S3] Six-story, about 17,000 sf building bought by Japanese publisher Kodansha (FNP Feb 2024 roundup citing Crain's).</t>
        </is>
      </c>
      <c r="M44" t="inlineStr">
        <is>
          <t>1008510022</t>
        </is>
      </c>
      <c r="N44" t="inlineStr"/>
      <c r="O44" t="inlineStr">
        <is>
          <t>10010</t>
        </is>
      </c>
      <c r="P44" t="inlineStr">
        <is>
          <t>Y</t>
        </is>
      </c>
      <c r="Q44" t="inlineStr">
        <is>
          <t>B-C-093</t>
        </is>
      </c>
      <c r="R44" t="n">
        <v>0</v>
      </c>
      <c r="S44" t="inlineStr"/>
      <c r="T44" t="inlineStr"/>
      <c r="U44" t="n">
        <v>6</v>
      </c>
      <c r="V44" t="n">
        <v>1904</v>
      </c>
      <c r="W44" t="inlineStr">
        <is>
          <t>O2</t>
        </is>
      </c>
      <c r="X44" t="n">
        <v>16894</v>
      </c>
      <c r="Y44" t="inlineStr">
        <is>
          <t>25 EAST 22 STREET</t>
        </is>
      </c>
      <c r="Z44" t="inlineStr">
        <is>
          <t>PLUTO lot 25 EAST 22 STREET, centroid 3 m from pin</t>
        </is>
      </c>
      <c r="AA44" t="inlineStr"/>
      <c r="AB44" t="inlineStr">
        <is>
          <t>S3</t>
        </is>
      </c>
    </row>
    <row r="45">
      <c r="A45" t="inlineStr">
        <is>
          <t>B-B-044</t>
        </is>
      </c>
      <c r="B45" t="inlineStr">
        <is>
          <t>300 Park Avenue South</t>
        </is>
      </c>
      <c r="C45" t="inlineStr">
        <is>
          <t>300 Park Avenue South (Rockrose); also addressed 290 Park Avenue South</t>
        </is>
      </c>
      <c r="D45" t="n">
        <v>40.739819</v>
      </c>
      <c r="E45" t="n">
        <v>-73.986885</v>
      </c>
      <c r="F45" t="inlineStr">
        <is>
          <t>security desk</t>
        </is>
      </c>
      <c r="G45" s="2" t="inlineStr">
        <is>
          <t>https://rockrose.com/office/300-park-ave-s/</t>
        </is>
      </c>
      <c r="H45" t="inlineStr">
        <is>
          <t>unknown</t>
        </is>
      </c>
      <c r="I45" t="inlineStr"/>
      <c r="J45" t="n">
        <v>2</v>
      </c>
      <c r="K45" t="inlineStr"/>
      <c r="L45" s="3" t="inlineStr">
        <is>
          <t>[S2] Margin (22nd-23rd St block). 15-story. Flexible Finance (top 3 floors), 1stDibs (10, recorded by S3), FanDuel (S3), AppsFlyer (2021). [S3] Rockrose page: '24-hour Attended Lobby'; 13,671 sf floor plates; subway entrance in front. Major office tenants listed: FanDuel and William Grant &amp; Sons. William Grant announced its US HQ move to 902 Broadway (FNP Jan 2025 roundup citing NY Business Journal), so that listing looks stale; not recorded as a company row.</t>
        </is>
      </c>
      <c r="M45" t="inlineStr">
        <is>
          <t>1008510035</t>
        </is>
      </c>
      <c r="N45" t="inlineStr"/>
      <c r="O45" t="inlineStr">
        <is>
          <t>10010</t>
        </is>
      </c>
      <c r="P45" t="inlineStr">
        <is>
          <t>Y</t>
        </is>
      </c>
      <c r="Q45" t="inlineStr">
        <is>
          <t>B-C-091; B-C-092</t>
        </is>
      </c>
      <c r="R45" t="n">
        <v>1</v>
      </c>
      <c r="S45" t="inlineStr"/>
      <c r="T45" t="inlineStr"/>
      <c r="U45" t="n">
        <v>14</v>
      </c>
      <c r="V45" t="n">
        <v>1911</v>
      </c>
      <c r="W45" t="inlineStr">
        <is>
          <t>O6</t>
        </is>
      </c>
      <c r="X45" t="n">
        <v>148400</v>
      </c>
      <c r="Y45" t="inlineStr">
        <is>
          <t>286 PARK AVENUE SOUTH</t>
        </is>
      </c>
      <c r="Z45" t="inlineStr">
        <is>
          <t>PLUTO lot 286 PARK AVENUE SOUTH, centroid 11 m from pin; Review round 2: corner lot: the lot-centroid pin sat 24 m from E 22 ST but 25 m from PARK AVE S, so it was moved to the PARK AVE S frontage near the corner (13 m from the PARK AVE S centreline, 27 m from E 22 ST; 12 m from the old pin). Tax lot unchanged.</t>
        </is>
      </c>
      <c r="AA45" t="inlineStr">
        <is>
          <t>Corner building: the address is on Park Avenue South, and the building also fronts East 22nd Street. The pin sits on the Park Avenue South side; check which door takes deliveries.</t>
        </is>
      </c>
      <c r="AB45" t="inlineStr">
        <is>
          <t>S2;S3</t>
        </is>
      </c>
    </row>
    <row r="46">
      <c r="A46" t="inlineStr">
        <is>
          <t>B-B-042</t>
        </is>
      </c>
      <c r="B46" t="inlineStr">
        <is>
          <t>287 Park Avenue South</t>
        </is>
      </c>
      <c r="C46" t="inlineStr">
        <is>
          <t>United Charities Building</t>
        </is>
      </c>
      <c r="D46" t="n">
        <v>40.739654</v>
      </c>
      <c r="E46" t="n">
        <v>-73.98649</v>
      </c>
      <c r="F46" t="inlineStr">
        <is>
          <t>unknown</t>
        </is>
      </c>
      <c r="G46" t="inlineStr"/>
      <c r="H46" t="inlineStr">
        <is>
          <t>unknown</t>
        </is>
      </c>
      <c r="I46" t="inlineStr"/>
      <c r="J46" t="n">
        <v>0</v>
      </c>
      <c r="K46" t="inlineStr"/>
      <c r="L46" s="3" t="inlineStr">
        <is>
          <t>[S2] Margin (E 22nd St corner, 22nd-23rd block). Spaces (IWG) leased the whole office portion, floors 2-9, about 100,613 sf (CO 2018). Current operation not re-confirmed; coworking location, see coworking list.</t>
        </is>
      </c>
      <c r="M46" t="inlineStr">
        <is>
          <t>1008780001</t>
        </is>
      </c>
      <c r="N46" t="inlineStr"/>
      <c r="O46" t="inlineStr">
        <is>
          <t>10010</t>
        </is>
      </c>
      <c r="P46" t="inlineStr">
        <is>
          <t>Y</t>
        </is>
      </c>
      <c r="Q46" t="inlineStr"/>
      <c r="R46" t="n">
        <v>0</v>
      </c>
      <c r="S46" t="inlineStr">
        <is>
          <t>B-W-009</t>
        </is>
      </c>
      <c r="T46" t="inlineStr"/>
      <c r="U46" t="n">
        <v>9</v>
      </c>
      <c r="V46" t="n">
        <v>1893</v>
      </c>
      <c r="W46" t="inlineStr">
        <is>
          <t>O6</t>
        </is>
      </c>
      <c r="X46" t="n">
        <v>96453</v>
      </c>
      <c r="Y46" t="inlineStr">
        <is>
          <t>287 PARK AVENUE SOUTH</t>
        </is>
      </c>
      <c r="Z46" t="inlineStr">
        <is>
          <t>PLUTO lot 287 PARK AVENUE SOUTH, centroid 22 m from pin; Review round 2: corner lot: the lot-centroid pin sat 16 m from E 22 ST but 28 m from PARK AVE S, so it was moved to the PARK AVE S frontage near the corner (13 m from the PARK AVE S centreline, 27 m from E 22 ST; 18 m from the old pin). Tax lot unchanged.</t>
        </is>
      </c>
      <c r="AA46" t="inlineStr">
        <is>
          <t>Corner building: the address is on Park Avenue South, and the building also fronts East 22nd Street. The pin sits on the Park Avenue South side; check which door takes deliveries.</t>
        </is>
      </c>
      <c r="AB46" t="inlineStr">
        <is>
          <t>S2</t>
        </is>
      </c>
    </row>
    <row r="47">
      <c r="A47" t="inlineStr">
        <is>
          <t>B-B-046</t>
        </is>
      </c>
      <c r="B47" t="inlineStr">
        <is>
          <t>50 West 23rd Street</t>
        </is>
      </c>
      <c r="C47" t="inlineStr">
        <is>
          <t>50 West 23rd Street (Two Trees Management)</t>
        </is>
      </c>
      <c r="D47" t="n">
        <v>40.742199</v>
      </c>
      <c r="E47" t="n">
        <v>-73.99172</v>
      </c>
      <c r="F47" t="inlineStr">
        <is>
          <t>security desk</t>
        </is>
      </c>
      <c r="G47" s="2" t="inlineStr">
        <is>
          <t>https://nyrej.com/index.php/two-new-leases-signed-at-50-west-23rd-st</t>
        </is>
      </c>
      <c r="H47" t="inlineStr">
        <is>
          <t>unknown</t>
        </is>
      </c>
      <c r="I47" t="inlineStr"/>
      <c r="J47" t="n">
        <v>2</v>
      </c>
      <c r="K47" t="inlineStr"/>
      <c r="L47" s="3" t="inlineStr">
        <is>
          <t>[S3] 13-story, 341,000 sf Beaux-Arts loft building, fully leased per Two Trees (NYREJ 2025-10-14): 'newly renovated lobby with a 24/7 attendant', bicycle entry, rooftop garden. Tenants: BuzzFeed HQ, Foursquare HQ, MSQ Partners NA HQ, Instacart, Trustpilot, BMF, Curex (small), Clinch (2023 lease; Built In now lists Clinch HQ at 37 W 20th St).</t>
        </is>
      </c>
      <c r="M47" t="inlineStr">
        <is>
          <t>1008240015</t>
        </is>
      </c>
      <c r="N47" t="inlineStr"/>
      <c r="O47" t="inlineStr">
        <is>
          <t>10010</t>
        </is>
      </c>
      <c r="P47" t="inlineStr">
        <is>
          <t>Y</t>
        </is>
      </c>
      <c r="Q47" t="inlineStr">
        <is>
          <t>B-C-094; B-C-095</t>
        </is>
      </c>
      <c r="R47" t="n">
        <v>4</v>
      </c>
      <c r="S47" t="inlineStr"/>
      <c r="T47" t="inlineStr"/>
      <c r="U47" t="n">
        <v>13</v>
      </c>
      <c r="V47" t="n">
        <v>1906</v>
      </c>
      <c r="W47" t="inlineStr">
        <is>
          <t>O6</t>
        </is>
      </c>
      <c r="X47" t="n">
        <v>262598</v>
      </c>
      <c r="Y47" t="inlineStr">
        <is>
          <t>37 WEST 22 STREET</t>
        </is>
      </c>
      <c r="Z47" t="inlineStr">
        <is>
          <t>PLUTO lot 37 WEST 22 STREET, centroid 27 m from pin;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AA47" t="inlineStr"/>
      <c r="AB47" t="inlineStr">
        <is>
          <t>S3</t>
        </is>
      </c>
    </row>
    <row r="48">
      <c r="A48" t="inlineStr">
        <is>
          <t>B-B-050</t>
        </is>
      </c>
      <c r="B48" t="inlineStr">
        <is>
          <t>53 West 23rd Street</t>
        </is>
      </c>
      <c r="C48" t="inlineStr">
        <is>
          <t>49-53 West 23rd Street (Adams &amp; Company)</t>
        </is>
      </c>
      <c r="D48" t="n">
        <v>40.742654</v>
      </c>
      <c r="E48" t="n">
        <v>-73.991559</v>
      </c>
      <c r="F48" t="inlineStr">
        <is>
          <t>security desk</t>
        </is>
      </c>
      <c r="G48" s="2" t="inlineStr">
        <is>
          <t>https://www.adamsre.com/collections/madison-square-park/products/53-west-23rd</t>
        </is>
      </c>
      <c r="H48" t="inlineStr">
        <is>
          <t>unknown</t>
        </is>
      </c>
      <c r="I48" t="inlineStr"/>
      <c r="J48" t="n">
        <v>2</v>
      </c>
      <c r="K48" t="inlineStr"/>
      <c r="L48" s="3" t="inlineStr">
        <is>
          <t>[S3] 49 and 53 West 23rd St geocode to the same tax lot (bbl 1008250012). 53 W 23rd: 12 stories, tenants Huge (8), TileBar (3-4), LaForce (PR), P.C. Richard &amp; Son ground-floor retail (CO 2025-10-02). 49 W 23rd: AI One (about 20 staff per Built In), Publishers Weekly, JB Drax Honore, a dentist, The Pack gym (CO 2025-12-12). theSkimm is listed at 53 W 23rd on Built In but its legal pages point to parent Ziff Davis/Everyday Health at 360 PAS, so not recorded here. Adams &amp; Co site (live): 53 W 23rd is one of three attached buildings in its '23rd Street Complex' (with 49 W 23rd and 30 W 24th); lobby renovated 2018, '24/7 guard service', 'card-access controlled with turnstiles', 3 passenger and 2 freight elevators; 49 W 23rd also lists 24/7 guard and 1 freight elevator.</t>
        </is>
      </c>
      <c r="M48" t="inlineStr">
        <is>
          <t>1008250012</t>
        </is>
      </c>
      <c r="N48" t="inlineStr"/>
      <c r="O48" t="inlineStr">
        <is>
          <t>10010</t>
        </is>
      </c>
      <c r="P48" t="inlineStr">
        <is>
          <t>Y</t>
        </is>
      </c>
      <c r="Q48" t="inlineStr">
        <is>
          <t>B-C-100; B-C-101</t>
        </is>
      </c>
      <c r="R48" t="n">
        <v>2</v>
      </c>
      <c r="S48" t="inlineStr"/>
      <c r="T48" t="inlineStr"/>
      <c r="U48" t="n">
        <v>12</v>
      </c>
      <c r="V48" t="n">
        <v>1916</v>
      </c>
      <c r="W48" t="inlineStr">
        <is>
          <t>O6</t>
        </is>
      </c>
      <c r="X48" t="n">
        <v>299600</v>
      </c>
      <c r="Y48" t="inlineStr">
        <is>
          <t>49 WEST 23 STREET</t>
        </is>
      </c>
      <c r="Z48" t="inlineStr">
        <is>
          <t>PLUTO lot 49 WEST 23 STREET, centroid 20 m from pin;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AA48" t="inlineStr"/>
      <c r="AB48" t="inlineStr">
        <is>
          <t>S3</t>
        </is>
      </c>
    </row>
    <row r="49">
      <c r="A49" t="inlineStr">
        <is>
          <t>B-B-049</t>
        </is>
      </c>
      <c r="B49" t="inlineStr">
        <is>
          <t>43 West 23rd Street</t>
        </is>
      </c>
      <c r="C49" t="inlineStr">
        <is>
          <t>43 West 23rd Street (Castro Properties)</t>
        </is>
      </c>
      <c r="D49" t="n">
        <v>40.742498</v>
      </c>
      <c r="E49" t="n">
        <v>-73.99118799999999</v>
      </c>
      <c r="F49" t="inlineStr">
        <is>
          <t>unknown</t>
        </is>
      </c>
      <c r="G49" t="inlineStr"/>
      <c r="H49" t="inlineStr">
        <is>
          <t>unknown</t>
        </is>
      </c>
      <c r="I49" t="inlineStr"/>
      <c r="J49" t="n">
        <v>1</v>
      </c>
      <c r="K49" t="inlineStr"/>
      <c r="L49" s="3" t="inlineStr">
        <is>
          <t>[S3] Eight-story building one block west of the Flatiron Building; 100% leased after Chalk's 26,607 sf lease (CO 2026-07).</t>
        </is>
      </c>
      <c r="M49" t="inlineStr">
        <is>
          <t>1008250017</t>
        </is>
      </c>
      <c r="N49" t="inlineStr"/>
      <c r="O49" t="inlineStr">
        <is>
          <t>10010</t>
        </is>
      </c>
      <c r="P49" t="inlineStr">
        <is>
          <t>Y</t>
        </is>
      </c>
      <c r="Q49" t="inlineStr">
        <is>
          <t>B-C-099</t>
        </is>
      </c>
      <c r="R49" t="n">
        <v>0</v>
      </c>
      <c r="S49" t="inlineStr"/>
      <c r="T49" t="inlineStr"/>
      <c r="U49" t="n">
        <v>8</v>
      </c>
      <c r="V49" t="n">
        <v>1894</v>
      </c>
      <c r="W49" t="inlineStr">
        <is>
          <t>O6</t>
        </is>
      </c>
      <c r="X49" t="n">
        <v>77000</v>
      </c>
      <c r="Y49" t="inlineStr">
        <is>
          <t>43 WEST 23 STREET</t>
        </is>
      </c>
      <c r="Z49" t="inlineStr">
        <is>
          <t>PLUTO lot 43 WEST 23 STREET, centroid 18 m from pin;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AA49" t="inlineStr"/>
      <c r="AB49" t="inlineStr">
        <is>
          <t>S3</t>
        </is>
      </c>
    </row>
    <row r="50">
      <c r="A50" t="inlineStr">
        <is>
          <t>B-B-047</t>
        </is>
      </c>
      <c r="B50" t="inlineStr">
        <is>
          <t>61 West 23rd Street</t>
        </is>
      </c>
      <c r="C50" t="inlineStr">
        <is>
          <t>61 West 23rd Street (Zegna family; Taconic development partner)</t>
        </is>
      </c>
      <c r="D50" t="n">
        <v>40.742771</v>
      </c>
      <c r="E50" t="n">
        <v>-73.991782</v>
      </c>
      <c r="F50" t="inlineStr">
        <is>
          <t>unknown</t>
        </is>
      </c>
      <c r="G50" t="inlineStr"/>
      <c r="H50" t="inlineStr">
        <is>
          <t>unknown</t>
        </is>
      </c>
      <c r="I50" t="inlineStr"/>
      <c r="J50" t="n">
        <v>2</v>
      </c>
      <c r="K50" t="inlineStr"/>
      <c r="L50" s="3" t="inlineStr">
        <is>
          <t>[S3] Seven-story building between Fifth and Sixth Aves owned by the Zegna family (CO 2026-09-21). 2026 full-floor leases: Inspiren (moved in Sept 2026) and Normal Computing (moving Nov 2026, about 30 staff). An 8,367 sf lease here in 2023 (REBusiness 2023-04-11) was reported by CO as The Action Network, but Built In now lists that company's HQ at 275 Madison Ave, so it is not recorded.</t>
        </is>
      </c>
      <c r="M50" t="inlineStr">
        <is>
          <t>1008250009</t>
        </is>
      </c>
      <c r="N50" t="inlineStr"/>
      <c r="O50" t="inlineStr">
        <is>
          <t>10010</t>
        </is>
      </c>
      <c r="P50" t="inlineStr">
        <is>
          <t>Y</t>
        </is>
      </c>
      <c r="Q50" t="inlineStr">
        <is>
          <t>B-C-096; B-C-097</t>
        </is>
      </c>
      <c r="R50" t="n">
        <v>0</v>
      </c>
      <c r="S50" t="inlineStr"/>
      <c r="T50" t="inlineStr"/>
      <c r="U50" t="n">
        <v>7</v>
      </c>
      <c r="V50" t="n">
        <v>1920</v>
      </c>
      <c r="W50" t="inlineStr">
        <is>
          <t>O6</t>
        </is>
      </c>
      <c r="X50" t="n">
        <v>39990</v>
      </c>
      <c r="Y50" t="inlineStr">
        <is>
          <t>61 WEST 23 STREET</t>
        </is>
      </c>
      <c r="Z50" t="inlineStr">
        <is>
          <t>PLUTO lot 61 WEST 23 STREET, centroid 0 m from pin</t>
        </is>
      </c>
      <c r="AA50" t="inlineStr"/>
      <c r="AB50" t="inlineStr">
        <is>
          <t>S3</t>
        </is>
      </c>
    </row>
    <row r="51">
      <c r="A51" t="inlineStr">
        <is>
          <t>B-B-048</t>
        </is>
      </c>
      <c r="B51" t="inlineStr">
        <is>
          <t>71 West 23rd Street</t>
        </is>
      </c>
      <c r="C51" t="inlineStr">
        <is>
          <t>71 West 23rd Street</t>
        </is>
      </c>
      <c r="D51" t="n">
        <v>40.743043</v>
      </c>
      <c r="E51" t="n">
        <v>-73.99233</v>
      </c>
      <c r="F51" t="inlineStr">
        <is>
          <t>unknown</t>
        </is>
      </c>
      <c r="G51" t="inlineStr"/>
      <c r="H51" t="inlineStr">
        <is>
          <t>unknown</t>
        </is>
      </c>
      <c r="I51" t="inlineStr"/>
      <c r="J51" t="n">
        <v>1</v>
      </c>
      <c r="K51" t="inlineStr"/>
      <c r="L51" s="3" t="inlineStr">
        <is>
          <t>[S3] BrainPOP is on the 17th floor (brainpop.com terms and privacy pages, live). Built In also lists Roland Foods here (12th floor), but rolandfoods.com/contact gives 115 W 18th St Fl 5, so Roland is not recorded. The Fader moved out to Dumbo (CO tag page, Sept 2025).</t>
        </is>
      </c>
      <c r="M51" t="inlineStr">
        <is>
          <t>1008250001</t>
        </is>
      </c>
      <c r="N51" t="inlineStr"/>
      <c r="O51" t="inlineStr">
        <is>
          <t>10010</t>
        </is>
      </c>
      <c r="P51" t="inlineStr">
        <is>
          <t>Y</t>
        </is>
      </c>
      <c r="Q51" t="inlineStr">
        <is>
          <t>B-C-098</t>
        </is>
      </c>
      <c r="R51" t="n">
        <v>0</v>
      </c>
      <c r="S51" t="inlineStr"/>
      <c r="T51" t="inlineStr"/>
      <c r="U51" t="n">
        <v>19</v>
      </c>
      <c r="V51" t="n">
        <v>1912</v>
      </c>
      <c r="W51" t="inlineStr">
        <is>
          <t>P2</t>
        </is>
      </c>
      <c r="X51" t="n">
        <v>207718</v>
      </c>
      <c r="Y51" t="inlineStr">
        <is>
          <t>716 AVENUE OF THE AMERICAS</t>
        </is>
      </c>
      <c r="Z51" t="inlineStr">
        <is>
          <t>PLUTO lot 716 AVENUE OF THE AMERICAS, centroid 19 m from pin</t>
        </is>
      </c>
      <c r="AA51" t="inlineStr"/>
      <c r="AB51" t="inlineStr">
        <is>
          <t>S3</t>
        </is>
      </c>
    </row>
    <row r="52">
      <c r="A52" t="inlineStr">
        <is>
          <t>B-B-052</t>
        </is>
      </c>
      <c r="B52" t="inlineStr">
        <is>
          <t>11 Madison Avenue</t>
        </is>
      </c>
      <c r="C52" t="inlineStr">
        <is>
          <t>11 Madison Avenue (SL Green); Sony Music uses 25 Madison Ave entrance</t>
        </is>
      </c>
      <c r="D52" t="n">
        <v>40.741761</v>
      </c>
      <c r="E52" t="n">
        <v>-73.987033</v>
      </c>
      <c r="F52" t="inlineStr">
        <is>
          <t>loading dock</t>
        </is>
      </c>
      <c r="G52" s="2" t="inlineStr">
        <is>
          <t>https://en.wikipedia.org/wiki/11_Madison_Avenue</t>
        </is>
      </c>
      <c r="H52" t="inlineStr">
        <is>
          <t>unknown</t>
        </is>
      </c>
      <c r="I52" t="inlineStr"/>
      <c r="J52" t="n">
        <v>1</v>
      </c>
      <c r="K52" t="inlineStr"/>
      <c r="L52" s="3" t="inlineStr">
        <is>
          <t>[S3] 30-story full-block tower between E 24th and E 25th St, Madison Ave to PAS; 100% leased (CO 2026-07-23). Wikipedia: three-story main lobby, four corner entrances plus a mid-block 24th St entrance, and 'numerous loading docks' on the 25th Street side (security desk not described, so lobby_type set to loading dock). Tenants: Sony (Sony Music uses 25 Madison Ave; CO Oct 2026 reports Sony in talks to anchor 99 Hudson Blvd), UBS, Jim Beam Brands (Suntory Global Spirits), WME, Pinterest (13), Tempus AI, Clay (14-16, from 2026), Legora (11, from 2026), Madison Square Park Conservancy (15). Yelp was a tenant per a 2017 citation on Wikipedia (not recorded).</t>
        </is>
      </c>
      <c r="M52" t="inlineStr">
        <is>
          <t>1008547501</t>
        </is>
      </c>
      <c r="N52" t="inlineStr"/>
      <c r="O52" t="inlineStr">
        <is>
          <t>10010</t>
        </is>
      </c>
      <c r="P52" t="inlineStr">
        <is>
          <t>Y</t>
        </is>
      </c>
      <c r="Q52" t="inlineStr">
        <is>
          <t>B-C-104</t>
        </is>
      </c>
      <c r="R52" t="n">
        <v>8</v>
      </c>
      <c r="S52" t="inlineStr"/>
      <c r="T52" t="inlineStr"/>
      <c r="U52" t="n">
        <v>30</v>
      </c>
      <c r="V52" t="n">
        <v>1932</v>
      </c>
      <c r="W52" t="inlineStr">
        <is>
          <t>RB</t>
        </is>
      </c>
      <c r="X52" t="n">
        <v>14622</v>
      </c>
      <c r="Y52" t="inlineStr">
        <is>
          <t>11 MADISON AVENUE</t>
        </is>
      </c>
      <c r="Z52" t="inlineStr">
        <is>
          <t>PLUTO lot 11 MADISON AVENUE, centroid 54 m from pin;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AA52" t="inlineStr"/>
      <c r="AB52" t="inlineStr">
        <is>
          <t>S3</t>
        </is>
      </c>
    </row>
    <row r="53">
      <c r="A53" t="inlineStr">
        <is>
          <t>B-B-056</t>
        </is>
      </c>
      <c r="B53" t="inlineStr">
        <is>
          <t>1115 Broadway</t>
        </is>
      </c>
      <c r="C53" t="inlineStr">
        <is>
          <t>16 Madison Square West / 1115 Broadway (Adams &amp; Company)</t>
        </is>
      </c>
      <c r="D53" t="n">
        <v>40.74285</v>
      </c>
      <c r="E53" t="n">
        <v>-73.98934800000001</v>
      </c>
      <c r="F53" t="inlineStr">
        <is>
          <t>security desk</t>
        </is>
      </c>
      <c r="G53" s="2" t="inlineStr">
        <is>
          <t>https://www.adamsre.com/collections/madison-square-park/products/16-madison-square-west</t>
        </is>
      </c>
      <c r="H53" t="inlineStr">
        <is>
          <t>unknown</t>
        </is>
      </c>
      <c r="I53" t="inlineStr"/>
      <c r="J53" t="n">
        <v>3</v>
      </c>
      <c r="K53" t="inlineStr"/>
      <c r="L53" s="3" t="inlineStr">
        <is>
          <t>[S3] 12-story building on Madison Square Park at W 25th St, owned by Adams &amp; Co since Aug 2023 (CO 2026-01-08). Tenants: Purple PR (full floor, 2026), Wellcom Worldwide, Pilot Fiber (12), Raycon (12; about 35 staff per Built In, not recorded), Green Mountain Energy NYC office. Adams &amp; Co site (live): 12 floors, 3 passenger and 4 freight elevators, '24/7 Guard' and '24/7 security'.</t>
        </is>
      </c>
      <c r="M53" t="inlineStr">
        <is>
          <t>1008260046</t>
        </is>
      </c>
      <c r="N53" t="inlineStr"/>
      <c r="O53" t="inlineStr">
        <is>
          <t>10010</t>
        </is>
      </c>
      <c r="P53" t="inlineStr">
        <is>
          <t>Y</t>
        </is>
      </c>
      <c r="Q53" t="inlineStr">
        <is>
          <t>B-C-109; B-C-110; B-C-111</t>
        </is>
      </c>
      <c r="R53" t="n">
        <v>1</v>
      </c>
      <c r="S53" t="inlineStr">
        <is>
          <t>B-W-011</t>
        </is>
      </c>
      <c r="T53" t="inlineStr"/>
      <c r="U53" t="n">
        <v>12</v>
      </c>
      <c r="V53" t="n">
        <v>1914</v>
      </c>
      <c r="W53" t="inlineStr">
        <is>
          <t>O6</t>
        </is>
      </c>
      <c r="X53" t="n">
        <v>241749</v>
      </c>
      <c r="Y53" t="inlineStr">
        <is>
          <t>1115 BROADWAY</t>
        </is>
      </c>
      <c r="Z53" t="inlineStr">
        <is>
          <t>PLUTO lot 1115 BROADWAY, centroid 41 m from pin; Review round 2: corner lot: the lot-centroid pin sat 16 m from W 25 ST but 26 m from BROADWAY, so it was moved to the BROADWAY frontage near the corner (13 m from the BROADWAY centreline, 26 m from W 25 ST; 20 m from the old pin). Tax lot unchanged.</t>
        </is>
      </c>
      <c r="AA53" t="inlineStr">
        <is>
          <t>Corner building: the address is on Broadway, and the building also fronts West 25th Street. The pin sits on the Broadway side; check which door takes deliveries.</t>
        </is>
      </c>
      <c r="AB53" t="inlineStr">
        <is>
          <t>S3</t>
        </is>
      </c>
    </row>
    <row r="54">
      <c r="A54" t="inlineStr">
        <is>
          <t>B-B-053</t>
        </is>
      </c>
      <c r="B54" t="inlineStr">
        <is>
          <t>40 West 25th Street</t>
        </is>
      </c>
      <c r="C54" t="inlineStr">
        <is>
          <t>40 West 25th Street (Kaufman Investments / Two Sigma Real Estate)</t>
        </is>
      </c>
      <c r="D54" t="n">
        <v>40.743613</v>
      </c>
      <c r="E54" t="n">
        <v>-73.991062</v>
      </c>
      <c r="F54" t="inlineStr">
        <is>
          <t>unknown</t>
        </is>
      </c>
      <c r="G54" t="inlineStr"/>
      <c r="H54" t="inlineStr">
        <is>
          <t>unknown</t>
        </is>
      </c>
      <c r="I54" t="inlineStr"/>
      <c r="J54" t="n">
        <v>1</v>
      </c>
      <c r="K54" t="inlineStr"/>
      <c r="L54" s="3" t="inlineStr">
        <is>
          <t>[S3] 12-story landmarked building; Kaufman bought it in 2020 for 48.5M (CO 2026-09-09) and again with Two Sigma Real Estate for about 52M in 2026 (CO 2026-06-08). Tenants: Orbital (entire 6th floor, 2026), Hearts of Gold (vintage retail, 2023).</t>
        </is>
      </c>
      <c r="M54" t="inlineStr">
        <is>
          <t>1008260065</t>
        </is>
      </c>
      <c r="N54" t="inlineStr"/>
      <c r="O54" t="inlineStr">
        <is>
          <t>10010</t>
        </is>
      </c>
      <c r="P54" t="inlineStr">
        <is>
          <t>Y</t>
        </is>
      </c>
      <c r="Q54" t="inlineStr">
        <is>
          <t>B-C-105</t>
        </is>
      </c>
      <c r="R54" t="n">
        <v>0</v>
      </c>
      <c r="S54" t="inlineStr"/>
      <c r="T54" t="inlineStr"/>
      <c r="U54" t="n">
        <v>12</v>
      </c>
      <c r="V54" t="n">
        <v>1913</v>
      </c>
      <c r="W54" t="inlineStr">
        <is>
          <t>O6</t>
        </is>
      </c>
      <c r="X54" t="n">
        <v>95498</v>
      </c>
      <c r="Y54" t="inlineStr">
        <is>
          <t>40 WEST 25 STREET</t>
        </is>
      </c>
      <c r="Z54" t="inlineStr">
        <is>
          <t>PLUTO lot 40 WEST 25 STREET, centroid 2 m from pin</t>
        </is>
      </c>
      <c r="AA54" t="inlineStr"/>
      <c r="AB54" t="inlineStr">
        <is>
          <t>S3</t>
        </is>
      </c>
    </row>
    <row r="55">
      <c r="A55" t="inlineStr">
        <is>
          <t>B-B-054</t>
        </is>
      </c>
      <c r="B55" t="inlineStr">
        <is>
          <t>48 West 25th Street</t>
        </is>
      </c>
      <c r="C55" t="inlineStr">
        <is>
          <t>48 West 25th Street (Kaufman Organization; part of former Savanna 'Madison Square Collection')</t>
        </is>
      </c>
      <c r="D55" t="n">
        <v>40.743751</v>
      </c>
      <c r="E55" t="n">
        <v>-73.99137399999999</v>
      </c>
      <c r="F55" t="inlineStr">
        <is>
          <t>unknown</t>
        </is>
      </c>
      <c r="G55" t="inlineStr"/>
      <c r="H55" t="inlineStr">
        <is>
          <t>unknown</t>
        </is>
      </c>
      <c r="I55" t="inlineStr"/>
      <c r="J55" t="n">
        <v>3</v>
      </c>
      <c r="K55" t="inlineStr"/>
      <c r="L55" s="3" t="inlineStr">
        <is>
          <t>[S3] 12-story office building. Kaufman went under contract in June 2026 to buy it with 24-28 West 25th St from Savanna for about 125M (CO 2026-06-08). Tenants: Sapien AI (entire 5th floor, 2026, from 184 Fifth Ave), MediaCo Holding / HOT 97 and WBLS (25,000 sf, 16-yr lease from 2023) (CO 2026-08-03).</t>
        </is>
      </c>
      <c r="M55" t="inlineStr">
        <is>
          <t>1008260069</t>
        </is>
      </c>
      <c r="N55" t="inlineStr"/>
      <c r="O55" t="inlineStr">
        <is>
          <t>10010</t>
        </is>
      </c>
      <c r="P55" t="inlineStr">
        <is>
          <t>Y</t>
        </is>
      </c>
      <c r="Q55" t="inlineStr">
        <is>
          <t>B-C-106; B-C-107; B-C-108</t>
        </is>
      </c>
      <c r="R55" t="n">
        <v>0</v>
      </c>
      <c r="S55" t="inlineStr"/>
      <c r="T55" t="inlineStr"/>
      <c r="U55" t="n">
        <v>12</v>
      </c>
      <c r="V55" t="n">
        <v>1920</v>
      </c>
      <c r="W55" t="inlineStr">
        <is>
          <t>O6</t>
        </is>
      </c>
      <c r="X55" t="n">
        <v>81656</v>
      </c>
      <c r="Y55" t="inlineStr">
        <is>
          <t>48 WEST 25 STREET</t>
        </is>
      </c>
      <c r="Z55" t="inlineStr">
        <is>
          <t>PLUTO lot 48 WEST 25 STREET, centroid 2 m from pin</t>
        </is>
      </c>
      <c r="AA55" t="inlineStr"/>
      <c r="AB55" t="inlineStr">
        <is>
          <t>S3</t>
        </is>
      </c>
    </row>
    <row r="56">
      <c r="A56" t="inlineStr">
        <is>
          <t>B-B-055</t>
        </is>
      </c>
      <c r="B56" t="inlineStr">
        <is>
          <t>104 East 25th Street</t>
        </is>
      </c>
      <c r="C56" t="inlineStr">
        <is>
          <t>104 East 25th Street (Williams Equities; NeueHouse Madison Square)</t>
        </is>
      </c>
      <c r="D56" t="n">
        <v>40.741024</v>
      </c>
      <c r="E56" t="n">
        <v>-73.984936</v>
      </c>
      <c r="F56" t="inlineStr">
        <is>
          <t>unknown</t>
        </is>
      </c>
      <c r="G56" t="inlineStr"/>
      <c r="H56" t="inlineStr">
        <is>
          <t>unknown</t>
        </is>
      </c>
      <c r="I56" t="inlineStr"/>
      <c r="J56" t="n">
        <v>0</v>
      </c>
      <c r="K56" t="inlineStr"/>
      <c r="L56" s="3" t="inlineStr">
        <is>
          <t>[S3] Margin (east of Park Ave S). Williams Equities page (live) describes the building as home to NeueHouse, a private workspace club (coworking; coworking_research.csv lists NeueHouse Madison Square at 110 E 25th St, operator Convene Hospitality Group). Not a direct-office candidate.</t>
        </is>
      </c>
      <c r="M56" t="inlineStr">
        <is>
          <t>1008800084</t>
        </is>
      </c>
      <c r="N56" t="inlineStr"/>
      <c r="O56" t="inlineStr">
        <is>
          <t>10010</t>
        </is>
      </c>
      <c r="P56" t="inlineStr">
        <is>
          <t>Y</t>
        </is>
      </c>
      <c r="Q56" t="inlineStr"/>
      <c r="R56" t="n">
        <v>0</v>
      </c>
      <c r="S56" t="inlineStr">
        <is>
          <t>B-W-010</t>
        </is>
      </c>
      <c r="T56" t="inlineStr"/>
      <c r="U56" t="n">
        <v>12</v>
      </c>
      <c r="V56" t="n">
        <v>1913</v>
      </c>
      <c r="W56" t="inlineStr">
        <is>
          <t>O6</t>
        </is>
      </c>
      <c r="X56" t="n">
        <v>97146</v>
      </c>
      <c r="Y56" t="inlineStr">
        <is>
          <t>104 EAST 25 STREET</t>
        </is>
      </c>
      <c r="Z56" t="inlineStr">
        <is>
          <t>PLUTO lot 104 EAST 25 STREET, centroid 0 m from pin</t>
        </is>
      </c>
      <c r="AA56" t="inlineStr"/>
      <c r="AB56" t="inlineStr">
        <is>
          <t>S3</t>
        </is>
      </c>
    </row>
    <row r="57">
      <c r="A57" t="inlineStr">
        <is>
          <t>B-B-057</t>
        </is>
      </c>
      <c r="B57" t="inlineStr">
        <is>
          <t>41 Madison Avenue</t>
        </is>
      </c>
      <c r="C57" t="inlineStr">
        <is>
          <t>41 Madison Avenue (Rudin)</t>
        </is>
      </c>
      <c r="D57" t="n">
        <v>40.742477</v>
      </c>
      <c r="E57" t="n">
        <v>-73.986608</v>
      </c>
      <c r="F57" t="inlineStr">
        <is>
          <t>security desk</t>
        </is>
      </c>
      <c r="G57" s="2" t="inlineStr">
        <is>
          <t>https://www.metro-manhattan.com/buildings/41-madison-avenue-forty-one-madison-office-space/</t>
        </is>
      </c>
      <c r="H57" t="inlineStr">
        <is>
          <t>unknown</t>
        </is>
      </c>
      <c r="I57" t="inlineStr"/>
      <c r="J57" t="n">
        <v>7</v>
      </c>
      <c r="K57" t="inlineStr"/>
      <c r="L57" s="3" t="inlineStr">
        <is>
          <t>[S4] 42-story Rudin tower at E 26th St overlooking Madison Square Park (CO 2026-03-09). Tenants: BrightTower (32), SharkNinja creative hub; Zip moves in April 2027 (CO 2026-09-17). Other tenants: Urban Atelier (12-13), TenBerke (17), Kensington Vanguard (21, 2023), Clarick Gueron Reisbaum (23, 2024), Polar (36 now, 33 next), Mphasis (35-36). Metro Manhattan (undated broker page): round-the-clock security, guarded 24/7. Coworking in building per coworking_research.csv: Regus, 31st floor (low confidence there).</t>
        </is>
      </c>
      <c r="M57" t="inlineStr">
        <is>
          <t>1008550037</t>
        </is>
      </c>
      <c r="N57" t="inlineStr"/>
      <c r="O57" t="inlineStr">
        <is>
          <t>10010</t>
        </is>
      </c>
      <c r="P57" t="inlineStr">
        <is>
          <t>Y</t>
        </is>
      </c>
      <c r="Q57" t="inlineStr">
        <is>
          <t>B-C-112; B-C-113; B-C-114; B-C-115; B-C-116; B-C-117; B-C-118</t>
        </is>
      </c>
      <c r="R57" t="n">
        <v>2</v>
      </c>
      <c r="S57" t="inlineStr">
        <is>
          <t>B-W-012</t>
        </is>
      </c>
      <c r="T57" t="inlineStr"/>
      <c r="U57" t="n">
        <v>43</v>
      </c>
      <c r="V57" t="n">
        <v>1971</v>
      </c>
      <c r="W57" t="inlineStr">
        <is>
          <t>O4</t>
        </is>
      </c>
      <c r="X57" t="n">
        <v>519737</v>
      </c>
      <c r="Y57" t="inlineStr">
        <is>
          <t>35 MADISON AVENUE</t>
        </is>
      </c>
      <c r="Z57" t="inlineStr">
        <is>
          <t>PLUTO lot 35 MADISON AVENUE, centroid 30 m from pin; Review round 2: corner lot: the lot-centroid pin sat 30 m from E 26 ST but 44 m from MADISON AVE, so it was moved to the MADISON AVE frontage near the corner (16 m from the MADISON AVE centreline, 30 m from E 26 ST; 29 m from the old pin). Tax lot unchanged.</t>
        </is>
      </c>
      <c r="AA57" t="inlineStr">
        <is>
          <t>Corner building: the address is on Madison Avenue, and the building also fronts East 26th Street. The pin sits on the Madison Avenue side; check which door takes deliveries.</t>
        </is>
      </c>
      <c r="AB57" t="inlineStr">
        <is>
          <t>S4</t>
        </is>
      </c>
    </row>
    <row r="58">
      <c r="A58" t="inlineStr">
        <is>
          <t>B-B-058</t>
        </is>
      </c>
      <c r="B58" t="inlineStr">
        <is>
          <t>345 Park Avenue South</t>
        </is>
      </c>
      <c r="C58" t="inlineStr">
        <is>
          <t>345 Park Avenue South (Deerfield Management; home of Cure)</t>
        </is>
      </c>
      <c r="D58" t="n">
        <v>40.741737</v>
      </c>
      <c r="E58" t="n">
        <v>-73.98485599999999</v>
      </c>
      <c r="F58" t="inlineStr">
        <is>
          <t>unknown</t>
        </is>
      </c>
      <c r="G58" t="inlineStr"/>
      <c r="H58" t="inlineStr">
        <is>
          <t>unknown</t>
        </is>
      </c>
      <c r="I58" t="inlineStr"/>
      <c r="J58" t="n">
        <v>0</v>
      </c>
      <c r="K58" t="inlineStr"/>
      <c r="L58" s="3" t="inlineStr">
        <is>
          <t>[S3] Deerfield's HQ building (bought May 2019, Wikipedia). Cure, a Deerfield-run healthcare innovation hub, operates coworking ('Collaboration Residency') with hot desks, private offices, wet and dry labs, an on-site NaCl Cafe, gym and a 'fully stocked pantry' (wewillcure.com, live). Cure is effectively a coworking operator here and is not in coworking_research.csv; companies in its residency are flagged in_coworking=Y. Residents listed: Advancium Health Network, ANVIA, Apertura, Ascertain, Buckle Therapeutics, CobiCure MedTech, Concerto Care, Deerfield Catalyst, Deerfield Management, Helaina, Hop Labs, Insilico Medicine, Lexeo Therapeutics, Panacea Capital, Plum Alley Ventures, Protara Therapeutics, Sparian Biosciences, Wandercraft.</t>
        </is>
      </c>
      <c r="M58" t="inlineStr">
        <is>
          <t>1008810001</t>
        </is>
      </c>
      <c r="N58" t="inlineStr"/>
      <c r="O58" t="inlineStr">
        <is>
          <t>10010</t>
        </is>
      </c>
      <c r="P58" t="inlineStr">
        <is>
          <t>Y</t>
        </is>
      </c>
      <c r="Q58" t="inlineStr"/>
      <c r="R58" t="n">
        <v>3</v>
      </c>
      <c r="S58" t="inlineStr">
        <is>
          <t>B-W-013</t>
        </is>
      </c>
      <c r="T58" t="inlineStr"/>
      <c r="U58" t="n">
        <v>12</v>
      </c>
      <c r="V58" t="n">
        <v>1913</v>
      </c>
      <c r="W58" t="inlineStr">
        <is>
          <t>O6</t>
        </is>
      </c>
      <c r="X58" t="n">
        <v>217377</v>
      </c>
      <c r="Y58" t="inlineStr">
        <is>
          <t>351 PARK AVENUE SOUTH</t>
        </is>
      </c>
      <c r="Z58" t="inlineStr">
        <is>
          <t>PLUTO lot 351 PARK AVENUE SOUTH, centroid 9 m from pin</t>
        </is>
      </c>
      <c r="AA58" t="inlineStr"/>
      <c r="AB58" t="inlineStr">
        <is>
          <t>S3</t>
        </is>
      </c>
    </row>
    <row r="59">
      <c r="A59" t="inlineStr">
        <is>
          <t>B-B-059</t>
        </is>
      </c>
      <c r="B59" t="inlineStr">
        <is>
          <t>360 Park Avenue South</t>
        </is>
      </c>
      <c r="C59" t="inlineStr">
        <is>
          <t>360 Park Avenue South (BXP)</t>
        </is>
      </c>
      <c r="D59" t="n">
        <v>40.741968</v>
      </c>
      <c r="E59" t="n">
        <v>-73.985327</v>
      </c>
      <c r="F59" t="inlineStr">
        <is>
          <t>unknown</t>
        </is>
      </c>
      <c r="G59" t="inlineStr"/>
      <c r="H59" t="inlineStr">
        <is>
          <t>unknown</t>
        </is>
      </c>
      <c r="I59" t="inlineStr"/>
      <c r="J59" t="n">
        <v>5</v>
      </c>
      <c r="K59" t="inlineStr"/>
      <c r="L59" s="3" t="inlineStr">
        <is>
          <t>[S3] 20-story, about 470,000 sf tower between E 25th and E 26th St, fully leased (CO 2026-09-22). BXP page (live): 'Dual Lobbies with Lounge and Coffee Bar', communal rooftop, conference center with work lounge, chef-led restaurant; security desk not described. Tenants: Optiver, Rogo (7 plus one more floor), Vercel (9 plus expansion), Betches (6), Grammarly, Marriott Luxury Group (14), Hunter Point Capital, Trexquant, Ziff Davis (17), ICONIQ. S4 also records this building. [S4] 20-story, 450,000 SF near Madison Square Park at E 26th St (CO 2025-05-20). S4 tenants: Optiver (12), Ziff Davis, ICONIQ Capital. S3 also records seven tenants here (Betches Media, Rogo, Vercel, Hunter Point Capital, Trexquant, Grammarly, Marriott luxury group), with no duplicate names; S3 has no building row for this BBL, so count candidate companies across both files.</t>
        </is>
      </c>
      <c r="M59" t="inlineStr">
        <is>
          <t>1008550024</t>
        </is>
      </c>
      <c r="N59" t="inlineStr"/>
      <c r="O59" t="inlineStr">
        <is>
          <t>10010</t>
        </is>
      </c>
      <c r="P59" t="inlineStr">
        <is>
          <t>Y</t>
        </is>
      </c>
      <c r="Q59" t="inlineStr">
        <is>
          <t>B-C-119; B-C-120; B-C-121; B-C-122; B-C-123</t>
        </is>
      </c>
      <c r="R59" t="n">
        <v>5</v>
      </c>
      <c r="S59" t="inlineStr"/>
      <c r="T59" t="inlineStr"/>
      <c r="U59" t="n">
        <v>21</v>
      </c>
      <c r="V59" t="n">
        <v>1913</v>
      </c>
      <c r="W59" t="inlineStr">
        <is>
          <t>O4</t>
        </is>
      </c>
      <c r="X59" t="n">
        <v>439002</v>
      </c>
      <c r="Y59" t="inlineStr">
        <is>
          <t>354 PARK AVENUE SOUTH</t>
        </is>
      </c>
      <c r="Z59" t="inlineStr">
        <is>
          <t>PLUTO lot 354 PARK AVENUE SOUTH, centroid 26 m from pin; Review round 2: corner lot: the lot-centroid pin sat 22 m from E 26 ST but 36 m from PARK AVE S, so it was moved to the PARK AVE S frontage near the corner (13 m from the PARK AVE S centreline, 27 m from E 26 ST; 23 m from the old pin). Tax lot unchanged.</t>
        </is>
      </c>
      <c r="AA59" t="inlineStr">
        <is>
          <t>Corner building: the address is on Park Avenue South, and the building also fronts East 26th Street. The pin sits on the Park Avenue South side; check which door takes deliveries.</t>
        </is>
      </c>
      <c r="AB59" t="inlineStr">
        <is>
          <t>S3;S4</t>
        </is>
      </c>
    </row>
    <row r="60">
      <c r="A60" t="inlineStr">
        <is>
          <t>B-B-061</t>
        </is>
      </c>
      <c r="B60" t="inlineStr">
        <is>
          <t>25 West 26th Street</t>
        </is>
      </c>
      <c r="C60" t="inlineStr">
        <is>
          <t>25 West 26th Street</t>
        </is>
      </c>
      <c r="D60" t="n">
        <v>40.744387</v>
      </c>
      <c r="E60" t="n">
        <v>-73.98987099999999</v>
      </c>
      <c r="F60" t="inlineStr">
        <is>
          <t>unknown</t>
        </is>
      </c>
      <c r="G60" t="inlineStr"/>
      <c r="H60" t="inlineStr">
        <is>
          <t>unknown</t>
        </is>
      </c>
      <c r="I60" t="inlineStr"/>
      <c r="J60" t="n">
        <v>1</v>
      </c>
      <c r="K60" t="inlineStr"/>
      <c r="L60" s="3" t="inlineStr">
        <is>
          <t>[S4] Seven-story building between Broadway and Sixth Ave (CO 2022-10-02). OTTO Brand Lab on the top floor.</t>
        </is>
      </c>
      <c r="M60" t="inlineStr">
        <is>
          <t>1008280017</t>
        </is>
      </c>
      <c r="N60" t="inlineStr"/>
      <c r="O60" t="inlineStr">
        <is>
          <t>10010</t>
        </is>
      </c>
      <c r="P60" t="inlineStr">
        <is>
          <t>Y</t>
        </is>
      </c>
      <c r="Q60" t="inlineStr">
        <is>
          <t>B-C-125</t>
        </is>
      </c>
      <c r="R60" t="n">
        <v>0</v>
      </c>
      <c r="S60" t="inlineStr"/>
      <c r="T60" t="inlineStr"/>
      <c r="U60" t="n">
        <v>7</v>
      </c>
      <c r="V60" t="n">
        <v>1900</v>
      </c>
      <c r="W60" t="inlineStr">
        <is>
          <t>O6</t>
        </is>
      </c>
      <c r="X60" t="n">
        <v>23628</v>
      </c>
      <c r="Y60" t="inlineStr">
        <is>
          <t>25 WEST 26 STREET</t>
        </is>
      </c>
      <c r="Z60" t="inlineStr">
        <is>
          <t>PLUTO lot 25 WEST 26 STREET, centroid 1 m from pin</t>
        </is>
      </c>
      <c r="AA60" t="inlineStr"/>
      <c r="AB60" t="inlineStr">
        <is>
          <t>S4</t>
        </is>
      </c>
    </row>
    <row r="61">
      <c r="A61" t="inlineStr">
        <is>
          <t>B-B-062</t>
        </is>
      </c>
      <c r="B61" t="inlineStr">
        <is>
          <t>37 West 26th Street</t>
        </is>
      </c>
      <c r="C61" t="inlineStr">
        <is>
          <t>37 West 26th Street</t>
        </is>
      </c>
      <c r="D61" t="n">
        <v>40.744624</v>
      </c>
      <c r="E61" t="n">
        <v>-73.99041800000001</v>
      </c>
      <c r="F61" t="inlineStr">
        <is>
          <t>unknown</t>
        </is>
      </c>
      <c r="G61" t="inlineStr"/>
      <c r="H61" t="inlineStr">
        <is>
          <t>unknown</t>
        </is>
      </c>
      <c r="I61" t="inlineStr"/>
      <c r="J61" t="n">
        <v>1</v>
      </c>
      <c r="K61" t="inlineStr"/>
      <c r="L61" s="3" t="inlineStr">
        <is>
          <t>[S4] 12-story building between Broadway and Sixth Ave. Idesco (10). Chi Chicken restaurant lease 2025.</t>
        </is>
      </c>
      <c r="M61" t="inlineStr">
        <is>
          <t>1008280009</t>
        </is>
      </c>
      <c r="N61" t="inlineStr"/>
      <c r="O61" t="inlineStr">
        <is>
          <t>10010</t>
        </is>
      </c>
      <c r="P61" t="inlineStr">
        <is>
          <t>Y</t>
        </is>
      </c>
      <c r="Q61" t="inlineStr">
        <is>
          <t>B-C-126</t>
        </is>
      </c>
      <c r="R61" t="n">
        <v>0</v>
      </c>
      <c r="S61" t="inlineStr"/>
      <c r="T61" t="inlineStr"/>
      <c r="U61" t="n">
        <v>12</v>
      </c>
      <c r="V61" t="n">
        <v>1909</v>
      </c>
      <c r="W61" t="inlineStr">
        <is>
          <t>O6</t>
        </is>
      </c>
      <c r="X61" t="n">
        <v>93418</v>
      </c>
      <c r="Y61" t="inlineStr">
        <is>
          <t>37 WEST 26 STREET</t>
        </is>
      </c>
      <c r="Z61" t="inlineStr">
        <is>
          <t>PLUTO lot 37 WEST 26 STREET, centroid 1 m from pin</t>
        </is>
      </c>
      <c r="AA61" t="inlineStr"/>
      <c r="AB61" t="inlineStr">
        <is>
          <t>S4</t>
        </is>
      </c>
    </row>
    <row r="62">
      <c r="A62" t="inlineStr">
        <is>
          <t>B-B-065</t>
        </is>
      </c>
      <c r="B62" t="inlineStr">
        <is>
          <t>11 East 26th Street</t>
        </is>
      </c>
      <c r="C62" t="inlineStr">
        <is>
          <t>11 East 26th Street (Rockrose; joined to 15 East 26th Street)</t>
        </is>
      </c>
      <c r="D62" t="n">
        <v>40.743309</v>
      </c>
      <c r="E62" t="n">
        <v>-73.987329</v>
      </c>
      <c r="F62" t="inlineStr">
        <is>
          <t>unknown</t>
        </is>
      </c>
      <c r="G62" t="inlineStr"/>
      <c r="H62" t="inlineStr">
        <is>
          <t>unknown</t>
        </is>
      </c>
      <c r="I62" t="inlineStr"/>
      <c r="J62" t="n">
        <v>9</v>
      </c>
      <c r="K62" t="inlineStr"/>
      <c r="L62" s="3" t="inlineStr">
        <is>
          <t>[S4] 21-22 story boutique tower facing Madison Square Park, also styled 11 Madison Square North. Lobbies shared with 15 E 26th St. Second-floor tenant amenity club includes a grab-and-go kitchen (CO 2025-06-25, 2026-09-02), which may compete with an office pantry. Many finance tenants plus Activate, Butterfly, Order.co, Sierra.</t>
        </is>
      </c>
      <c r="M62" t="inlineStr">
        <is>
          <t>1008560009</t>
        </is>
      </c>
      <c r="N62" t="inlineStr"/>
      <c r="O62" t="inlineStr">
        <is>
          <t>10010</t>
        </is>
      </c>
      <c r="P62" t="inlineStr">
        <is>
          <t>Y</t>
        </is>
      </c>
      <c r="Q62" t="inlineStr">
        <is>
          <t>B-C-129; B-C-130; B-C-131; B-C-132; B-C-133; B-C-134; B-C-136; B-C-137; B-C-138</t>
        </is>
      </c>
      <c r="R62" t="n">
        <v>3</v>
      </c>
      <c r="S62" t="inlineStr"/>
      <c r="T62" t="inlineStr"/>
      <c r="U62" t="n">
        <v>21</v>
      </c>
      <c r="V62" t="n">
        <v>1913</v>
      </c>
      <c r="W62" t="inlineStr">
        <is>
          <t>O4</t>
        </is>
      </c>
      <c r="X62" t="n">
        <v>206991</v>
      </c>
      <c r="Y62" t="inlineStr">
        <is>
          <t>11 EAST 26 STREET</t>
        </is>
      </c>
      <c r="Z62" t="inlineStr">
        <is>
          <t>PLUTO lot 11 EAST 26 STREET, centroid 17 m from pin;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AA62" t="inlineStr"/>
      <c r="AB62" t="inlineStr">
        <is>
          <t>S4</t>
        </is>
      </c>
    </row>
    <row r="63">
      <c r="A63" t="inlineStr">
        <is>
          <t>B-B-060</t>
        </is>
      </c>
      <c r="B63" t="inlineStr">
        <is>
          <t>220 Fifth Avenue</t>
        </is>
      </c>
      <c r="C63" t="inlineStr">
        <is>
          <t>220 Fifth Avenue</t>
        </is>
      </c>
      <c r="D63" t="n">
        <v>40.743738</v>
      </c>
      <c r="E63" t="n">
        <v>-73.98822</v>
      </c>
      <c r="F63" t="inlineStr">
        <is>
          <t>unknown</t>
        </is>
      </c>
      <c r="G63" t="inlineStr"/>
      <c r="H63" t="inlineStr">
        <is>
          <t>unknown</t>
        </is>
      </c>
      <c r="I63" t="inlineStr"/>
      <c r="J63" t="n">
        <v>1</v>
      </c>
      <c r="K63" t="inlineStr"/>
      <c r="L63" s="3" t="inlineStr">
        <is>
          <t>[S3] Margin (Fifth Ave at 26th St, block north of the slice). At-Bay's NY office is on the 8th floor per its site. Built In also lists AppsFlyer at 220 5th Ave 16th Fl, but AppsFlyer's contact page gives 180 Madison Ave, so not recorded.</t>
        </is>
      </c>
      <c r="M63" t="inlineStr">
        <is>
          <t>1008280035</t>
        </is>
      </c>
      <c r="N63" t="inlineStr"/>
      <c r="O63" t="inlineStr">
        <is>
          <t>10001</t>
        </is>
      </c>
      <c r="P63" t="inlineStr">
        <is>
          <t>Y</t>
        </is>
      </c>
      <c r="Q63" t="inlineStr">
        <is>
          <t>B-C-124</t>
        </is>
      </c>
      <c r="R63" t="n">
        <v>0</v>
      </c>
      <c r="S63" t="inlineStr"/>
      <c r="T63" t="inlineStr"/>
      <c r="U63" t="n">
        <v>21</v>
      </c>
      <c r="V63" t="n">
        <v>1912</v>
      </c>
      <c r="W63" t="inlineStr">
        <is>
          <t>O4</t>
        </is>
      </c>
      <c r="X63" t="n">
        <v>124594</v>
      </c>
      <c r="Y63" t="inlineStr">
        <is>
          <t>218 5 AVENUE</t>
        </is>
      </c>
      <c r="Z63" t="inlineStr">
        <is>
          <t>PLUTO lot 218 5 AVENUE, centroid 20 m from pin; Review round 2: corner lot: the lot-centroid pin sat 17 m from W 26 ST but 33 m from 5 AVE, so it was moved to the 5 AVE frontage near the corner (17 m from the 5 AVE centreline, 26 m from W 26 ST; 18 m from the old pin). Tax lot unchanged.</t>
        </is>
      </c>
      <c r="AA63" t="inlineStr">
        <is>
          <t>Corner building: the address is on Fifth Avenue, and the building also fronts West 26th Street. The pin sits on the Fifth Avenue side; check which door takes deliveries.</t>
        </is>
      </c>
      <c r="AB63" t="inlineStr">
        <is>
          <t>S3</t>
        </is>
      </c>
    </row>
    <row r="64">
      <c r="A64" t="inlineStr">
        <is>
          <t>B-B-063</t>
        </is>
      </c>
      <c r="B64" t="inlineStr">
        <is>
          <t>1140 Broadway</t>
        </is>
      </c>
      <c r="C64" t="inlineStr">
        <is>
          <t>1140 Broadway (Williams Equities)</t>
        </is>
      </c>
      <c r="D64" t="n">
        <v>40.743939</v>
      </c>
      <c r="E64" t="n">
        <v>-73.988677</v>
      </c>
      <c r="F64" t="inlineStr">
        <is>
          <t>security desk</t>
        </is>
      </c>
      <c r="G64" s="2" t="inlineStr">
        <is>
          <t>https://www.metro-manhattan.com/buildings/1140-broadway-office-space-for-lease/</t>
        </is>
      </c>
      <c r="H64" t="inlineStr">
        <is>
          <t>unknown</t>
        </is>
      </c>
      <c r="I64" t="inlineStr"/>
      <c r="J64" t="n">
        <v>1</v>
      </c>
      <c r="K64" t="inlineStr"/>
      <c r="L64" s="3" t="inlineStr">
        <is>
          <t>[S4] 16-story building at the corner of W 26th St (CO 2022-07-07, 2023-04-04). Tenants: accessiBe, Kohler NYC office (8). Metro Manhattan (undated broker page): 24/7 security, keycard access, three passenger elevators and one freight elevator.</t>
        </is>
      </c>
      <c r="M64" t="inlineStr">
        <is>
          <t>1008280033</t>
        </is>
      </c>
      <c r="N64" t="inlineStr"/>
      <c r="O64" t="inlineStr">
        <is>
          <t>10001</t>
        </is>
      </c>
      <c r="P64" t="inlineStr">
        <is>
          <t>Y</t>
        </is>
      </c>
      <c r="Q64" t="inlineStr">
        <is>
          <t>B-C-127</t>
        </is>
      </c>
      <c r="R64" t="n">
        <v>1</v>
      </c>
      <c r="S64" t="inlineStr"/>
      <c r="T64" t="inlineStr"/>
      <c r="U64" t="n">
        <v>16</v>
      </c>
      <c r="V64" t="n">
        <v>1916</v>
      </c>
      <c r="W64" t="inlineStr">
        <is>
          <t>O6</t>
        </is>
      </c>
      <c r="X64" t="n">
        <v>114730</v>
      </c>
      <c r="Y64" t="inlineStr">
        <is>
          <t>1140 BROADWAY</t>
        </is>
      </c>
      <c r="Z64" t="inlineStr">
        <is>
          <t>PLUTO lot 1140 BROADWAY, centroid 2 m from pin</t>
        </is>
      </c>
      <c r="AA64" t="inlineStr"/>
      <c r="AB64" t="inlineStr">
        <is>
          <t>S4</t>
        </is>
      </c>
    </row>
    <row r="65">
      <c r="A65" t="inlineStr">
        <is>
          <t>B-B-064</t>
        </is>
      </c>
      <c r="B65" t="inlineStr">
        <is>
          <t>373 Park Avenue South</t>
        </is>
      </c>
      <c r="C65" t="inlineStr">
        <is>
          <t>373 Park Avenue South (Olmstead Properties and Vertex)</t>
        </is>
      </c>
      <c r="D65" t="n">
        <v>40.742242</v>
      </c>
      <c r="E65" t="n">
        <v>-73.984606</v>
      </c>
      <c r="F65" t="inlineStr">
        <is>
          <t>unknown</t>
        </is>
      </c>
      <c r="G65" t="inlineStr"/>
      <c r="H65" t="inlineStr">
        <is>
          <t>unknown</t>
        </is>
      </c>
      <c r="I65" t="inlineStr"/>
      <c r="J65" t="n">
        <v>1</v>
      </c>
      <c r="K65" t="inlineStr"/>
      <c r="L65" s="3" t="inlineStr">
        <is>
          <t>[S4] 12-story, about 110,000 SF between E 26th and E 27th St (CO 2023-03-06). Tenants: Simplebet (9), Stuut AI (short-term 9,043 SF; Built In shows 20 employees), Mount Sinai cardiology office (medical, skipped), Dos Caminos and Stout NYC (restaurants).</t>
        </is>
      </c>
      <c r="M65" t="inlineStr">
        <is>
          <t>1008820003</t>
        </is>
      </c>
      <c r="N65" t="inlineStr"/>
      <c r="O65" t="inlineStr">
        <is>
          <t>10010</t>
        </is>
      </c>
      <c r="P65" t="inlineStr">
        <is>
          <t>Y</t>
        </is>
      </c>
      <c r="Q65" t="inlineStr">
        <is>
          <t>B-C-128</t>
        </is>
      </c>
      <c r="R65" t="n">
        <v>0</v>
      </c>
      <c r="S65" t="inlineStr"/>
      <c r="T65" t="inlineStr"/>
      <c r="U65" t="n">
        <v>12</v>
      </c>
      <c r="V65" t="n">
        <v>1911</v>
      </c>
      <c r="W65" t="inlineStr">
        <is>
          <t>O6</t>
        </is>
      </c>
      <c r="X65" t="n">
        <v>83411</v>
      </c>
      <c r="Y65" t="inlineStr">
        <is>
          <t>369 PARK AVENUE SOUTH</t>
        </is>
      </c>
      <c r="Z65" t="inlineStr">
        <is>
          <t>PLUTO lot 369 PARK AVENUE SOUTH, centroid 17 m from pin; Review round 2: corner lot: the lot-centroid pin sat 29 m from E 26 ST but 36 m from PARK AVE S, so it was moved to the PARK AVE S frontage near the corner (13 m from the PARK AVE S centreline, 29 m from E 26 ST; 23 m from the old pin). Tax lot unchanged.</t>
        </is>
      </c>
      <c r="AA65" t="inlineStr">
        <is>
          <t>Corner building: the address is on Park Avenue South, and the building also fronts East 26th Street. The pin sits on the Park Avenue South side; check which door takes deliveries.</t>
        </is>
      </c>
      <c r="AB65" t="inlineStr">
        <is>
          <t>S4</t>
        </is>
      </c>
    </row>
    <row r="66">
      <c r="A66" t="inlineStr">
        <is>
          <t>B-B-066</t>
        </is>
      </c>
      <c r="B66" t="inlineStr">
        <is>
          <t>60 Madison Avenue</t>
        </is>
      </c>
      <c r="C66" t="inlineStr">
        <is>
          <t>60 Madison Avenue (Moinian Group)</t>
        </is>
      </c>
      <c r="D66" t="n">
        <v>40.743288</v>
      </c>
      <c r="E66" t="n">
        <v>-73.986627</v>
      </c>
      <c r="F66" t="inlineStr">
        <is>
          <t>unknown</t>
        </is>
      </c>
      <c r="G66" t="inlineStr"/>
      <c r="H66" t="inlineStr">
        <is>
          <t>unknown</t>
        </is>
      </c>
      <c r="I66" t="inlineStr"/>
      <c r="J66" t="n">
        <v>5</v>
      </c>
      <c r="K66" t="inlineStr"/>
      <c r="L66" s="3" t="inlineStr">
        <is>
          <t>[S4] Between E 26th and E 27th St on Madison Square Park. Prebuilt and move-in-ready suites; 68,000 SF of new leases in June 2026 (CO 2026-06-22). Tenants: Spring Health (2-3), Grimshaw (4), Pace (7, Built In shows 12 employees), GovWell (8), Collected Strategies and Arca Financial (10), Full Picture (11), Tenex Labs (12 and penthouse). CO 2026-10 also tags a Fifth Season lease (not opened).</t>
        </is>
      </c>
      <c r="M66" t="inlineStr">
        <is>
          <t>1008560058</t>
        </is>
      </c>
      <c r="N66" t="inlineStr"/>
      <c r="O66" t="inlineStr">
        <is>
          <t>10010</t>
        </is>
      </c>
      <c r="P66" t="inlineStr">
        <is>
          <t>Y</t>
        </is>
      </c>
      <c r="Q66" t="inlineStr">
        <is>
          <t>B-C-139; B-C-140; B-C-141; B-C-142; B-C-143</t>
        </is>
      </c>
      <c r="R66" t="n">
        <v>2</v>
      </c>
      <c r="S66" t="inlineStr"/>
      <c r="T66" t="inlineStr"/>
      <c r="U66" t="n">
        <v>12</v>
      </c>
      <c r="V66" t="n">
        <v>1910</v>
      </c>
      <c r="W66" t="inlineStr">
        <is>
          <t>O6</t>
        </is>
      </c>
      <c r="X66" t="n">
        <v>156333</v>
      </c>
      <c r="Y66" t="inlineStr">
        <is>
          <t>60 MADISON AVENUE</t>
        </is>
      </c>
      <c r="Z66" t="inlineStr">
        <is>
          <t>PLUTO lot 60 MADISON AVENUE, centroid 7 m from pin</t>
        </is>
      </c>
      <c r="AA66" t="inlineStr"/>
      <c r="AB66" t="inlineStr">
        <is>
          <t>S4</t>
        </is>
      </c>
    </row>
    <row r="67">
      <c r="A67" t="inlineStr">
        <is>
          <t>B-B-067</t>
        </is>
      </c>
      <c r="B67" t="inlineStr">
        <is>
          <t>230 Fifth Avenue</t>
        </is>
      </c>
      <c r="C67" t="inlineStr">
        <is>
          <t>230 Fifth Avenue (New York MarketCenter, GFP Real Estate)</t>
        </is>
      </c>
      <c r="D67" t="n">
        <v>40.743942</v>
      </c>
      <c r="E67" t="n">
        <v>-73.988072</v>
      </c>
      <c r="F67" t="inlineStr">
        <is>
          <t>unknown</t>
        </is>
      </c>
      <c r="G67" t="inlineStr"/>
      <c r="H67" t="inlineStr">
        <is>
          <t>unknown</t>
        </is>
      </c>
      <c r="I67" t="inlineStr"/>
      <c r="J67" t="n">
        <v>2</v>
      </c>
      <c r="K67" t="inlineStr"/>
      <c r="L67" s="3" t="inlineStr">
        <is>
          <t>[S4] 20-story home furnishings showroom building (CO 2024-10-09); CO tag page also lists a rooftop bar lease. Mostly showroom tenants such as EnVogue International and SL Home Fashions (14); seven new leases reported in 2024 (FNP roundup 2024-11-06). Few conventional offices. Metro Manhattan: seven passenger and two freight elevators, 24/7 key card access, more than 200 wholesale showrooms; no attended lobby stated.</t>
        </is>
      </c>
      <c r="M67" t="inlineStr">
        <is>
          <t>1008280041</t>
        </is>
      </c>
      <c r="N67" t="inlineStr"/>
      <c r="O67" t="inlineStr">
        <is>
          <t>10001</t>
        </is>
      </c>
      <c r="P67" t="inlineStr">
        <is>
          <t>Y</t>
        </is>
      </c>
      <c r="Q67" t="inlineStr">
        <is>
          <t>B-C-144; B-C-145</t>
        </is>
      </c>
      <c r="R67" t="n">
        <v>0</v>
      </c>
      <c r="S67" t="inlineStr"/>
      <c r="T67" t="inlineStr"/>
      <c r="U67" t="n">
        <v>20</v>
      </c>
      <c r="V67" t="n">
        <v>1915</v>
      </c>
      <c r="W67" t="inlineStr">
        <is>
          <t>O4</t>
        </is>
      </c>
      <c r="X67" t="n">
        <v>383995</v>
      </c>
      <c r="Y67" t="inlineStr">
        <is>
          <t>228 5 AVENUE</t>
        </is>
      </c>
      <c r="Z67" t="inlineStr">
        <is>
          <t>PLUTO lot 228 5 AVENUE, centroid 38 m from pin;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AA67" t="inlineStr">
        <is>
          <t>Corner building: the address is on Fifth Avenue, and the building also fronts West 27th Street. The pin sits on the Fifth Avenue side; check which door takes deliveries.</t>
        </is>
      </c>
      <c r="AB67" t="inlineStr">
        <is>
          <t>S4</t>
        </is>
      </c>
    </row>
    <row r="68">
      <c r="A68" t="inlineStr">
        <is>
          <t>B-B-068</t>
        </is>
      </c>
      <c r="B68" t="inlineStr">
        <is>
          <t>381 Park Avenue South</t>
        </is>
      </c>
      <c r="C68" t="inlineStr">
        <is>
          <t>381 Park Avenue South (Olmstead Properties and Vertex)</t>
        </is>
      </c>
      <c r="D68" t="n">
        <v>40.742417</v>
      </c>
      <c r="E68" t="n">
        <v>-73.984477</v>
      </c>
      <c r="F68" t="inlineStr">
        <is>
          <t>unknown</t>
        </is>
      </c>
      <c r="G68" t="inlineStr"/>
      <c r="H68" t="inlineStr">
        <is>
          <t>unknown</t>
        </is>
      </c>
      <c r="I68" t="inlineStr"/>
      <c r="J68" t="n">
        <v>5</v>
      </c>
      <c r="K68" t="inlineStr"/>
      <c r="L68" s="3" t="inlineStr">
        <is>
          <t>[S4] 244,000 SF at PAS and E 27th St; acquired by Olmstead with Vertex in late 2025 (FNP roundup). Full floors about 14,710 SF. Corcoran moving in summer 2026.</t>
        </is>
      </c>
      <c r="M68" t="inlineStr">
        <is>
          <t>1008820085</t>
        </is>
      </c>
      <c r="N68" t="inlineStr"/>
      <c r="O68" t="inlineStr">
        <is>
          <t>10016</t>
        </is>
      </c>
      <c r="P68" t="inlineStr">
        <is>
          <t>Y</t>
        </is>
      </c>
      <c r="Q68" t="inlineStr">
        <is>
          <t>B-C-146; B-C-147; B-C-148; B-C-149; B-C-150</t>
        </is>
      </c>
      <c r="R68" t="n">
        <v>0</v>
      </c>
      <c r="S68" t="inlineStr"/>
      <c r="T68" t="inlineStr"/>
      <c r="U68" t="n">
        <v>16</v>
      </c>
      <c r="V68" t="n">
        <v>1910</v>
      </c>
      <c r="W68" t="inlineStr">
        <is>
          <t>O6</t>
        </is>
      </c>
      <c r="X68" t="n">
        <v>190895</v>
      </c>
      <c r="Y68" t="inlineStr">
        <is>
          <t>381 PARK AVENUE SOUTH</t>
        </is>
      </c>
      <c r="Z68" t="inlineStr">
        <is>
          <t>PLUTO lot 381 PARK AVENUE SOUTH, centroid 24 m from pin; Review round 2: corner lot: the lot-centroid pin sat 19 m from E 27 ST but 43 m from PARK AVE S, so it was moved to the PARK AVE S frontage near the corner (13 m from the PARK AVE S centreline, 27 m from E 27 ST; 30 m from the old pin). Tax lot unchanged.</t>
        </is>
      </c>
      <c r="AA68" t="inlineStr">
        <is>
          <t>Corner building: the address is on Park Avenue South, and the building also fronts East 27th Street. The pin sits on the Park Avenue South side; check which door takes deliveries.</t>
        </is>
      </c>
      <c r="AB68" t="inlineStr">
        <is>
          <t>S4</t>
        </is>
      </c>
    </row>
    <row r="69">
      <c r="A69" t="inlineStr">
        <is>
          <t>B-B-069</t>
        </is>
      </c>
      <c r="B69" t="inlineStr">
        <is>
          <t>45 West 27th Street</t>
        </is>
      </c>
      <c r="C69" t="inlineStr">
        <is>
          <t>45 West 27th Street</t>
        </is>
      </c>
      <c r="D69" t="n">
        <v>40.745243</v>
      </c>
      <c r="E69" t="n">
        <v>-73.989968</v>
      </c>
      <c r="F69" t="inlineStr">
        <is>
          <t>unknown</t>
        </is>
      </c>
      <c r="G69" t="inlineStr"/>
      <c r="H69" t="inlineStr">
        <is>
          <t>unknown</t>
        </is>
      </c>
      <c r="I69" t="inlineStr"/>
      <c r="J69" t="n">
        <v>1</v>
      </c>
      <c r="K69" t="inlineStr"/>
      <c r="L69" s="3" t="inlineStr">
        <is>
          <t>[S4] Carbyne US office on floor 2.</t>
        </is>
      </c>
      <c r="M69" t="inlineStr">
        <is>
          <t>1008290011</t>
        </is>
      </c>
      <c r="N69" t="inlineStr"/>
      <c r="O69" t="inlineStr">
        <is>
          <t>10001</t>
        </is>
      </c>
      <c r="P69" t="inlineStr">
        <is>
          <t>Y</t>
        </is>
      </c>
      <c r="Q69" t="inlineStr">
        <is>
          <t>B-C-151</t>
        </is>
      </c>
      <c r="R69" t="n">
        <v>0</v>
      </c>
      <c r="S69" t="inlineStr"/>
      <c r="T69" t="inlineStr"/>
      <c r="U69" t="n">
        <v>12</v>
      </c>
      <c r="V69" t="n">
        <v>1910</v>
      </c>
      <c r="W69" t="inlineStr">
        <is>
          <t>O6</t>
        </is>
      </c>
      <c r="X69" t="n">
        <v>50238</v>
      </c>
      <c r="Y69" t="inlineStr">
        <is>
          <t>45 WEST 27 STREET</t>
        </is>
      </c>
      <c r="Z69" t="inlineStr">
        <is>
          <t>PLUTO lot 45 WEST 27 STREET, centroid 0 m from pin</t>
        </is>
      </c>
      <c r="AA69" t="inlineStr"/>
      <c r="AB69" t="inlineStr">
        <is>
          <t>S4</t>
        </is>
      </c>
    </row>
    <row r="70">
      <c r="A70" t="inlineStr">
        <is>
          <t>B-B-070</t>
        </is>
      </c>
      <c r="B70" t="inlineStr">
        <is>
          <t>15 West 27th Street</t>
        </is>
      </c>
      <c r="C70" t="inlineStr">
        <is>
          <t>15 West 27th Street (Kaufman Organization)</t>
        </is>
      </c>
      <c r="D70" t="n">
        <v>40.744515</v>
      </c>
      <c r="E70" t="n">
        <v>-73.988255</v>
      </c>
      <c r="F70" t="inlineStr">
        <is>
          <t>unknown</t>
        </is>
      </c>
      <c r="G70" t="inlineStr"/>
      <c r="H70" t="inlineStr">
        <is>
          <t>unknown</t>
        </is>
      </c>
      <c r="I70" t="inlineStr"/>
      <c r="J70" t="n">
        <v>1</v>
      </c>
      <c r="K70" t="inlineStr"/>
      <c r="L70" s="3" t="inlineStr">
        <is>
          <t>[S4] 11-story building. Seedtag (3) and Everlast (2) leases from 2023 look stale (short terms).</t>
        </is>
      </c>
      <c r="M70" t="inlineStr">
        <is>
          <t>1008290032</t>
        </is>
      </c>
      <c r="N70" t="inlineStr"/>
      <c r="O70" t="inlineStr">
        <is>
          <t>10001</t>
        </is>
      </c>
      <c r="P70" t="inlineStr">
        <is>
          <t>Y</t>
        </is>
      </c>
      <c r="Q70" t="inlineStr">
        <is>
          <t>B-C-152</t>
        </is>
      </c>
      <c r="R70" t="n">
        <v>1</v>
      </c>
      <c r="S70" t="inlineStr"/>
      <c r="T70" t="inlineStr"/>
      <c r="U70" t="n">
        <v>11</v>
      </c>
      <c r="V70" t="n">
        <v>1909</v>
      </c>
      <c r="W70" t="inlineStr">
        <is>
          <t>O6</t>
        </is>
      </c>
      <c r="X70" t="n">
        <v>45668</v>
      </c>
      <c r="Y70" t="inlineStr">
        <is>
          <t>13 WEST 27 STREET</t>
        </is>
      </c>
      <c r="Z70" t="inlineStr">
        <is>
          <t>PLUTO lot 13 WEST 27 STREET, centroid 1 m from pin</t>
        </is>
      </c>
      <c r="AA70" t="inlineStr"/>
      <c r="AB70" t="inlineStr">
        <is>
          <t>S4</t>
        </is>
      </c>
    </row>
    <row r="71">
      <c r="A71" t="inlineStr">
        <is>
          <t>B-B-071</t>
        </is>
      </c>
      <c r="B71" t="inlineStr">
        <is>
          <t>1165 Broadway</t>
        </is>
      </c>
      <c r="C71" t="inlineStr">
        <is>
          <t>1165 Broadway (Thor Equities, bought 2026)</t>
        </is>
      </c>
      <c r="D71" t="n">
        <v>40.744899</v>
      </c>
      <c r="E71" t="n">
        <v>-73.989082</v>
      </c>
      <c r="F71" t="inlineStr">
        <is>
          <t>unknown</t>
        </is>
      </c>
      <c r="G71" t="inlineStr"/>
      <c r="H71" t="inlineStr">
        <is>
          <t>unknown</t>
        </is>
      </c>
      <c r="I71" t="inlineStr"/>
      <c r="J71" t="n">
        <v>2</v>
      </c>
      <c r="K71" t="inlineStr"/>
      <c r="L71" s="3" t="inlineStr">
        <is>
          <t>[S4] 58,000 SF landmarked office and retail building at Broadway and 27th St, fully occupied per Thor (CO 2026-03). Office tenants: Primary Wave (top two floors), Christian Louboutin. Aesop retail on ground floor.</t>
        </is>
      </c>
      <c r="M71" t="inlineStr">
        <is>
          <t>1008290022</t>
        </is>
      </c>
      <c r="N71" t="inlineStr"/>
      <c r="O71" t="inlineStr">
        <is>
          <t>10001</t>
        </is>
      </c>
      <c r="P71" t="inlineStr">
        <is>
          <t>Y</t>
        </is>
      </c>
      <c r="Q71" t="inlineStr">
        <is>
          <t>B-C-154; B-C-155</t>
        </is>
      </c>
      <c r="R71" t="n">
        <v>0</v>
      </c>
      <c r="S71" t="inlineStr"/>
      <c r="T71" t="inlineStr"/>
      <c r="U71" t="n">
        <v>5</v>
      </c>
      <c r="V71" t="n">
        <v>1907</v>
      </c>
      <c r="W71" t="inlineStr">
        <is>
          <t>O5</t>
        </is>
      </c>
      <c r="X71" t="n">
        <v>34400</v>
      </c>
      <c r="Y71" t="inlineStr">
        <is>
          <t>1161 BROADWAY</t>
        </is>
      </c>
      <c r="Z71" t="inlineStr">
        <is>
          <t>PLUTO lot 1161 BROADWAY, centroid 2 m from pin</t>
        </is>
      </c>
      <c r="AA71" t="inlineStr"/>
      <c r="AB71" t="inlineStr">
        <is>
          <t>S4</t>
        </is>
      </c>
    </row>
    <row r="72">
      <c r="A72" t="inlineStr">
        <is>
          <t>B-B-073</t>
        </is>
      </c>
      <c r="B72" t="inlineStr">
        <is>
          <t>387 Park Avenue South</t>
        </is>
      </c>
      <c r="C72" t="inlineStr">
        <is>
          <t>387 Park Avenue South (TF Cornerstone)</t>
        </is>
      </c>
      <c r="D72" t="n">
        <v>40.742833</v>
      </c>
      <c r="E72" t="n">
        <v>-73.984174</v>
      </c>
      <c r="F72" t="inlineStr">
        <is>
          <t>unknown</t>
        </is>
      </c>
      <c r="G72" t="inlineStr"/>
      <c r="H72" t="inlineStr">
        <is>
          <t>unknown</t>
        </is>
      </c>
      <c r="I72" t="inlineStr"/>
      <c r="J72" t="n">
        <v>2</v>
      </c>
      <c r="K72" t="inlineStr"/>
      <c r="L72" s="3" t="inlineStr">
        <is>
          <t>[S4] About 230,000 SF at the corner of PAS and E 27th St (CO 2026-08-12). Tenants: PMG (2-3), Hanover Park (10), Criteo (penthouse, since 2015), K Health (renewal late 2025); Corcoran leaving for 381 PAS in summer 2026. Coworking in building per coworking_research.csv: The Malin NoMad, 5th floor.</t>
        </is>
      </c>
      <c r="M72" t="inlineStr">
        <is>
          <t>1008830001</t>
        </is>
      </c>
      <c r="N72" t="inlineStr"/>
      <c r="O72" t="inlineStr">
        <is>
          <t>10016</t>
        </is>
      </c>
      <c r="P72" t="inlineStr">
        <is>
          <t>Y</t>
        </is>
      </c>
      <c r="Q72" t="inlineStr">
        <is>
          <t>B-C-159; B-C-160</t>
        </is>
      </c>
      <c r="R72" t="n">
        <v>2</v>
      </c>
      <c r="S72" t="inlineStr">
        <is>
          <t>B-W-017</t>
        </is>
      </c>
      <c r="T72" t="inlineStr"/>
      <c r="U72" t="n">
        <v>12</v>
      </c>
      <c r="V72" t="n">
        <v>1910</v>
      </c>
      <c r="W72" t="inlineStr">
        <is>
          <t>O6</t>
        </is>
      </c>
      <c r="X72" t="n">
        <v>158454</v>
      </c>
      <c r="Y72" t="inlineStr">
        <is>
          <t>387 PARK AVENUE SOUTH</t>
        </is>
      </c>
      <c r="Z72" t="inlineStr">
        <is>
          <t>PLUTO lot 387 PARK AVENUE SOUTH, centroid 21 m from pin; Review round 2: corner lot: the lot-centroid pin sat 24 m from E 27 ST but 34 m from PARK AVE S, so it was moved to the PARK AVE S frontage near the corner (13 m from the PARK AVE S centreline, 26 m from E 27 ST; 21 m from the old pin). Tax lot unchanged.</t>
        </is>
      </c>
      <c r="AA72" t="inlineStr">
        <is>
          <t>Corner building: the address is on Park Avenue South, and the building also fronts East 27th Street. The pin sits on the Park Avenue South side; check which door takes deliveries.</t>
        </is>
      </c>
      <c r="AB72" t="inlineStr">
        <is>
          <t>S4</t>
        </is>
      </c>
    </row>
    <row r="73">
      <c r="A73" t="inlineStr">
        <is>
          <t>B-B-072</t>
        </is>
      </c>
      <c r="B73" t="inlineStr">
        <is>
          <t>386 Park Avenue South</t>
        </is>
      </c>
      <c r="C73" t="inlineStr">
        <is>
          <t>386 Park Avenue South (HSR Corporation)</t>
        </is>
      </c>
      <c r="D73" t="n">
        <v>40.743003</v>
      </c>
      <c r="E73" t="n">
        <v>-73.98456899999999</v>
      </c>
      <c r="F73" t="inlineStr">
        <is>
          <t>unknown</t>
        </is>
      </c>
      <c r="G73" t="inlineStr"/>
      <c r="H73" t="inlineStr">
        <is>
          <t>unknown</t>
        </is>
      </c>
      <c r="I73" t="inlineStr"/>
      <c r="J73" t="n">
        <v>2</v>
      </c>
      <c r="K73" t="inlineStr"/>
      <c r="L73" s="3" t="inlineStr">
        <is>
          <t>[S4] 20-story building (CO 2023). 2026 leases: Primary Ventures (13-14), Sigma Computing (5-6), Modern FL (9), and Industrious coworking (18-19, about 23,000 SF, opening date not announced) per CO 2026-02-27. coworking_research.csv also lists Industrious 386 Park Ave S, 18th floor.</t>
        </is>
      </c>
      <c r="M73" t="inlineStr">
        <is>
          <t>1008570038</t>
        </is>
      </c>
      <c r="N73" t="inlineStr"/>
      <c r="O73" t="inlineStr">
        <is>
          <t>10016</t>
        </is>
      </c>
      <c r="P73" t="inlineStr">
        <is>
          <t>Y</t>
        </is>
      </c>
      <c r="Q73" t="inlineStr">
        <is>
          <t>B-C-156; B-C-157</t>
        </is>
      </c>
      <c r="R73" t="n">
        <v>1</v>
      </c>
      <c r="S73" t="inlineStr">
        <is>
          <t>B-W-016</t>
        </is>
      </c>
      <c r="T73" t="inlineStr"/>
      <c r="U73" t="n">
        <v>20</v>
      </c>
      <c r="V73" t="n">
        <v>1927</v>
      </c>
      <c r="W73" t="inlineStr">
        <is>
          <t>O4</t>
        </is>
      </c>
      <c r="X73" t="n">
        <v>225233</v>
      </c>
      <c r="Y73" t="inlineStr">
        <is>
          <t>386 PARK AVENUE SOUTH</t>
        </is>
      </c>
      <c r="Z73" t="inlineStr">
        <is>
          <t>PLUTO lot 386 PARK AVENUE SOUTH, centroid 24 m from pin; Review round 2: corner lot: the lot-centroid pin sat 24 m from E 27 ST but 37 m from PARK AVE S, so it was moved to the PARK AVE S frontage near the corner (13 m from the PARK AVE S centreline, 26 m from E 27 ST; 24 m from the old pin). Tax lot unchanged.</t>
        </is>
      </c>
      <c r="AA73" t="inlineStr">
        <is>
          <t>Corner building: the address is on Park Avenue South, and the building also fronts East 27th Street. The pin sits on the Park Avenue South side; check which door takes deliveries.</t>
        </is>
      </c>
      <c r="AB73" t="inlineStr">
        <is>
          <t>S4</t>
        </is>
      </c>
    </row>
    <row r="74">
      <c r="A74" t="inlineStr">
        <is>
          <t>B-B-074</t>
        </is>
      </c>
      <c r="B74" t="inlineStr">
        <is>
          <t>245 Fifth Avenue</t>
        </is>
      </c>
      <c r="C74" t="inlineStr">
        <is>
          <t>245 Fifth Avenue (Moinian Group)</t>
        </is>
      </c>
      <c r="D74" t="n">
        <v>40.74441</v>
      </c>
      <c r="E74" t="n">
        <v>-73.987275</v>
      </c>
      <c r="F74" t="inlineStr">
        <is>
          <t>security desk</t>
        </is>
      </c>
      <c r="G74" s="2" t="inlineStr">
        <is>
          <t>https://www.metro-manhattan.com/buildings/245-fifth-avenue-office-space-for-lease/</t>
        </is>
      </c>
      <c r="H74" t="inlineStr">
        <is>
          <t>unknown</t>
        </is>
      </c>
      <c r="I74" t="inlineStr"/>
      <c r="J74" t="n">
        <v>2</v>
      </c>
      <c r="K74" t="inlineStr"/>
      <c r="L74" s="3" t="inlineStr">
        <is>
          <t>[S4] MCM Worldwide office (25th floor, CO 2025-11-10). WeWork signed 55,000 SF on floors 2 and 4-6, opening mid-2026 (CO 2025-08-06); opening not confirmed. Institute for Integrative Nutrition (7). Synthesia expanded here in 2025 but signed at 675 Sixth Ave in Oct 2026 (CO tag page). Pixida restaurant on ground floor. Metro Manhattan (undated broker page): daytime reception, 24/7 video surveillance, attended lobby with turnstile security card entry. Named tenants incl. Elite Model Management, Institute for Integrative Nutrition. coworking_research.csv lists WeWork 245 5th Ave.</t>
        </is>
      </c>
      <c r="M74" t="inlineStr">
        <is>
          <t>1008570076</t>
        </is>
      </c>
      <c r="N74" t="inlineStr"/>
      <c r="O74" t="inlineStr">
        <is>
          <t>10016</t>
        </is>
      </c>
      <c r="P74" t="inlineStr">
        <is>
          <t>Y</t>
        </is>
      </c>
      <c r="Q74" t="inlineStr">
        <is>
          <t>B-C-161; B-C-162</t>
        </is>
      </c>
      <c r="R74" t="n">
        <v>0</v>
      </c>
      <c r="S74" t="inlineStr">
        <is>
          <t>B-W-018</t>
        </is>
      </c>
      <c r="T74" t="inlineStr"/>
      <c r="U74" t="n">
        <v>24</v>
      </c>
      <c r="V74" t="n">
        <v>1927</v>
      </c>
      <c r="W74" t="inlineStr">
        <is>
          <t>O4</t>
        </is>
      </c>
      <c r="X74" t="n">
        <v>247639</v>
      </c>
      <c r="Y74" t="inlineStr">
        <is>
          <t>243 5 AVENUE</t>
        </is>
      </c>
      <c r="Z74" t="inlineStr">
        <is>
          <t>PLUTO lot 243 5 AVENUE, centroid 17 m from pin; Review round 2: corner lot: the lot-centroid pin sat 24 m from E 28 ST but 34 m from 5 AVE, so it was moved to the 5 AVE frontage near the corner (17 m from the 5 AVE centreline, 26 m from E 28 ST; 17 m from the old pin). Tax lot unchanged.</t>
        </is>
      </c>
      <c r="AA74" t="inlineStr">
        <is>
          <t>Corner building: the address is on Fifth Avenue, and the building also fronts East 28th Street. The pin sits on the Fifth Avenue side; check which door takes deliveries.</t>
        </is>
      </c>
      <c r="AB74" t="inlineStr">
        <is>
          <t>S4</t>
        </is>
      </c>
    </row>
    <row r="75">
      <c r="A75" t="inlineStr">
        <is>
          <t>B-B-075</t>
        </is>
      </c>
      <c r="B75" t="inlineStr">
        <is>
          <t>44 West 28th Street</t>
        </is>
      </c>
      <c r="C75" t="inlineStr">
        <is>
          <t>44 West 28th Street (Stellar Management)</t>
        </is>
      </c>
      <c r="D75" t="n">
        <v>40.745609</v>
      </c>
      <c r="E75" t="n">
        <v>-73.990014</v>
      </c>
      <c r="F75" t="inlineStr">
        <is>
          <t>unknown</t>
        </is>
      </c>
      <c r="G75" t="inlineStr"/>
      <c r="H75" t="inlineStr">
        <is>
          <t>unknown</t>
        </is>
      </c>
      <c r="I75" t="inlineStr"/>
      <c r="J75" t="n">
        <v>1</v>
      </c>
      <c r="K75" t="inlineStr"/>
      <c r="L75" s="3" t="inlineStr">
        <is>
          <t>[S4] Community Healthcare Network administrative offices on floor 5 (CO 2025-02-04).</t>
        </is>
      </c>
      <c r="M75" t="inlineStr">
        <is>
          <t>1008290068</t>
        </is>
      </c>
      <c r="N75" t="inlineStr"/>
      <c r="O75" t="inlineStr">
        <is>
          <t>10001</t>
        </is>
      </c>
      <c r="P75" t="inlineStr">
        <is>
          <t>Y</t>
        </is>
      </c>
      <c r="Q75" t="inlineStr">
        <is>
          <t>B-C-163</t>
        </is>
      </c>
      <c r="R75" t="n">
        <v>0</v>
      </c>
      <c r="S75" t="inlineStr"/>
      <c r="T75" t="inlineStr"/>
      <c r="U75" t="n">
        <v>16</v>
      </c>
      <c r="V75" t="n">
        <v>1911</v>
      </c>
      <c r="W75" t="inlineStr">
        <is>
          <t>O6</t>
        </is>
      </c>
      <c r="X75" t="n">
        <v>132830</v>
      </c>
      <c r="Y75" t="inlineStr">
        <is>
          <t>44 WEST 28 STREET</t>
        </is>
      </c>
      <c r="Z75" t="inlineStr">
        <is>
          <t>PLUTO lot 44 WEST 28 STREET, centroid 3 m from pin</t>
        </is>
      </c>
      <c r="AA75" t="inlineStr"/>
      <c r="AB75" t="inlineStr">
        <is>
          <t>S4</t>
        </is>
      </c>
    </row>
    <row r="76">
      <c r="A76" t="inlineStr">
        <is>
          <t>B-B-076</t>
        </is>
      </c>
      <c r="B76" t="inlineStr">
        <is>
          <t>27 East 28th Street</t>
        </is>
      </c>
      <c r="C76" t="inlineStr">
        <is>
          <t>79 Madison Avenue / 27 East 28th Street (Williams Equities)</t>
        </is>
      </c>
      <c r="D76" t="n">
        <v>40.744057</v>
      </c>
      <c r="E76" t="n">
        <v>-73.985252</v>
      </c>
      <c r="F76" t="inlineStr">
        <is>
          <t>unknown</t>
        </is>
      </c>
      <c r="G76" t="inlineStr"/>
      <c r="H76" t="inlineStr">
        <is>
          <t>unknown</t>
        </is>
      </c>
      <c r="I76" t="inlineStr"/>
      <c r="J76" t="n">
        <v>0</v>
      </c>
      <c r="K76" t="inlineStr"/>
      <c r="L76" s="3" t="inlineStr">
        <is>
          <t>[S4] Same tax lot as 79 Madison Ave. 17-story, 278,000 SF Art Deco office building marketed in March 2025 as a luxury condo conversion (CO 2025-03-04). Hosts a WeWork (LiquidSpace: 'WeWork | 27 E 28th St', confirmed open). Full Picture has its current HQ at 79 Madison per CO 2026-06-22. Conversion risk: tenants may leave. Not in coworking_research.csv as of 2026-10-23; flag for the coworking list.</t>
        </is>
      </c>
      <c r="M76" t="inlineStr">
        <is>
          <t>1008580022</t>
        </is>
      </c>
      <c r="N76" t="inlineStr"/>
      <c r="O76" t="inlineStr">
        <is>
          <t>10016</t>
        </is>
      </c>
      <c r="P76" t="inlineStr">
        <is>
          <t>Y</t>
        </is>
      </c>
      <c r="Q76" t="inlineStr"/>
      <c r="R76" t="n">
        <v>1</v>
      </c>
      <c r="S76" t="inlineStr">
        <is>
          <t>B-W-020</t>
        </is>
      </c>
      <c r="T76" t="inlineStr"/>
      <c r="U76" t="n">
        <v>16</v>
      </c>
      <c r="V76" t="n">
        <v>1925</v>
      </c>
      <c r="W76" t="inlineStr">
        <is>
          <t>O6</t>
        </is>
      </c>
      <c r="X76" t="n">
        <v>205239</v>
      </c>
      <c r="Y76" t="inlineStr">
        <is>
          <t>79 MADISON AVENUE</t>
        </is>
      </c>
      <c r="Z76" t="inlineStr">
        <is>
          <t>PLUTO lot 79 MADISON AVENUE, centroid 3 m from pin</t>
        </is>
      </c>
      <c r="AA76" t="inlineStr"/>
      <c r="AB76" t="inlineStr">
        <is>
          <t>S4</t>
        </is>
      </c>
    </row>
    <row r="77">
      <c r="A77" t="inlineStr">
        <is>
          <t>B-B-077</t>
        </is>
      </c>
      <c r="B77" t="inlineStr">
        <is>
          <t>261 Fifth Avenue</t>
        </is>
      </c>
      <c r="C77" t="inlineStr">
        <is>
          <t>261 Fifth Avenue (Feil Organization)</t>
        </is>
      </c>
      <c r="D77" t="n">
        <v>40.745027</v>
      </c>
      <c r="E77" t="n">
        <v>-73.986825</v>
      </c>
      <c r="F77" t="inlineStr">
        <is>
          <t>security desk</t>
        </is>
      </c>
      <c r="G77" s="2" t="inlineStr">
        <is>
          <t>https://www.metro-manhattan.com/buildings/261-fifth-avenue-office-space-for-lease/</t>
        </is>
      </c>
      <c r="H77" t="inlineStr">
        <is>
          <t>unknown</t>
        </is>
      </c>
      <c r="I77" t="inlineStr"/>
      <c r="J77" t="n">
        <v>2</v>
      </c>
      <c r="K77" t="inlineStr"/>
      <c r="L77" s="3" t="inlineStr">
        <is>
          <t>[S4] 26-story 1928 Art Deco building at W 29th St, about 450,000 SF. Feil page describes a gold-leaf lobby but not whether it is attended. Prebuilt suites; rooftop amenity. Tenants: MiQ, FCA, Lockton Re and others. Metro Manhattan (undated broker page) says concierge service and 24/7 security; lists tenants incl. Tumi, Blackbird, Tech Briefs Media Group, Maytex.</t>
        </is>
      </c>
      <c r="M77" t="inlineStr">
        <is>
          <t>1008580078</t>
        </is>
      </c>
      <c r="N77" t="inlineStr"/>
      <c r="O77" t="inlineStr">
        <is>
          <t>10016</t>
        </is>
      </c>
      <c r="P77" t="inlineStr">
        <is>
          <t>Y</t>
        </is>
      </c>
      <c r="Q77" t="inlineStr">
        <is>
          <t>B-C-164; B-C-165</t>
        </is>
      </c>
      <c r="R77" t="n">
        <v>2</v>
      </c>
      <c r="S77" t="inlineStr"/>
      <c r="T77" t="inlineStr"/>
      <c r="U77" t="n">
        <v>25</v>
      </c>
      <c r="V77" t="n">
        <v>1929</v>
      </c>
      <c r="W77" t="inlineStr">
        <is>
          <t>O4</t>
        </is>
      </c>
      <c r="X77" t="n">
        <v>426608</v>
      </c>
      <c r="Y77" t="inlineStr">
        <is>
          <t>259 5 AVENUE</t>
        </is>
      </c>
      <c r="Z77" t="inlineStr">
        <is>
          <t>PLUTO lot 259 5 AVENUE, centroid 22 m from pin; Review round 2: corner lot: the lot-centroid pin sat 24 m from E 29 ST but 39 m from 5 AVE, so it was moved to the 5 AVE frontage near the corner (17 m from the 5 AVE centreline, 27 m from E 29 ST; 23 m from the old pin). Tax lot unchanged.</t>
        </is>
      </c>
      <c r="AA77" t="inlineStr">
        <is>
          <t>Corner building: the address is on Fifth Avenue, and the building also fronts East 29th Street. The pin sits on the Fifth Avenue side; check which door takes deliveries.</t>
        </is>
      </c>
      <c r="AB77" t="inlineStr">
        <is>
          <t>S4</t>
        </is>
      </c>
    </row>
    <row r="78">
      <c r="A78" t="inlineStr">
        <is>
          <t>B-B-079</t>
        </is>
      </c>
      <c r="B78" t="inlineStr">
        <is>
          <t>432 Park Avenue South</t>
        </is>
      </c>
      <c r="C78" t="inlineStr">
        <is>
          <t>432 Park Avenue South (Samco Properties)</t>
        </is>
      </c>
      <c r="D78" t="n">
        <v>40.744255</v>
      </c>
      <c r="E78" t="n">
        <v>-73.983762</v>
      </c>
      <c r="F78" t="inlineStr">
        <is>
          <t>unknown</t>
        </is>
      </c>
      <c r="G78" t="inlineStr"/>
      <c r="H78" t="inlineStr">
        <is>
          <t>unknown</t>
        </is>
      </c>
      <c r="I78" t="inlineStr"/>
      <c r="J78" t="n">
        <v>2</v>
      </c>
      <c r="K78" t="inlineStr"/>
      <c r="L78" s="3" t="inlineStr">
        <is>
          <t>[S4] Tenants: Pumpkin Pet Insurance, Mediaplus Group (11).</t>
        </is>
      </c>
      <c r="M78" t="inlineStr">
        <is>
          <t>1008590039</t>
        </is>
      </c>
      <c r="N78" t="inlineStr"/>
      <c r="O78" t="inlineStr">
        <is>
          <t>10016</t>
        </is>
      </c>
      <c r="P78" t="inlineStr">
        <is>
          <t>Y</t>
        </is>
      </c>
      <c r="Q78" t="inlineStr">
        <is>
          <t>B-C-168; B-C-169</t>
        </is>
      </c>
      <c r="R78" t="n">
        <v>0</v>
      </c>
      <c r="S78" t="inlineStr"/>
      <c r="T78" t="inlineStr"/>
      <c r="U78" t="n">
        <v>16</v>
      </c>
      <c r="V78" t="n">
        <v>1913</v>
      </c>
      <c r="W78" t="inlineStr">
        <is>
          <t>O6</t>
        </is>
      </c>
      <c r="X78" t="n">
        <v>119284</v>
      </c>
      <c r="Y78" t="inlineStr">
        <is>
          <t>424 PARK AVENUE SOUTH</t>
        </is>
      </c>
      <c r="Z78" t="inlineStr">
        <is>
          <t>PLUTO lot 424 PARK AVENUE SOUTH, centroid 1 m from pin</t>
        </is>
      </c>
      <c r="AA78" t="inlineStr"/>
      <c r="AB78" t="inlineStr">
        <is>
          <t>S4</t>
        </is>
      </c>
    </row>
    <row r="79">
      <c r="A79" t="inlineStr">
        <is>
          <t>B-B-078</t>
        </is>
      </c>
      <c r="B79" t="inlineStr">
        <is>
          <t>99 Madison Avenue</t>
        </is>
      </c>
      <c r="C79" t="inlineStr">
        <is>
          <t>99 Madison Avenue (Windsor Management)</t>
        </is>
      </c>
      <c r="D79" t="n">
        <v>40.744774</v>
      </c>
      <c r="E79" t="n">
        <v>-73.984932</v>
      </c>
      <c r="F79" t="inlineStr">
        <is>
          <t>unknown</t>
        </is>
      </c>
      <c r="G79" t="inlineStr"/>
      <c r="H79" t="inlineStr">
        <is>
          <t>unknown</t>
        </is>
      </c>
      <c r="I79" t="inlineStr"/>
      <c r="J79" t="n">
        <v>2</v>
      </c>
      <c r="K79" t="inlineStr"/>
      <c r="L79" s="3" t="inlineStr">
        <is>
          <t>[S4] Fully leased after the Davies Group deal (CO 2025-11-04). Tenants: Davies Group (3), Atlantic Vantage Point; Boffi DePadova showroom (2023).</t>
        </is>
      </c>
      <c r="M79" t="inlineStr">
        <is>
          <t>1008590024</t>
        </is>
      </c>
      <c r="N79" t="inlineStr"/>
      <c r="O79" t="inlineStr">
        <is>
          <t>10016</t>
        </is>
      </c>
      <c r="P79" t="inlineStr">
        <is>
          <t>Y</t>
        </is>
      </c>
      <c r="Q79" t="inlineStr">
        <is>
          <t>B-C-166; B-C-167</t>
        </is>
      </c>
      <c r="R79" t="n">
        <v>0</v>
      </c>
      <c r="S79" t="inlineStr"/>
      <c r="T79" t="inlineStr"/>
      <c r="U79" t="n">
        <v>17</v>
      </c>
      <c r="V79" t="n">
        <v>1916</v>
      </c>
      <c r="W79" t="inlineStr">
        <is>
          <t>O6</t>
        </is>
      </c>
      <c r="X79" t="n">
        <v>112500</v>
      </c>
      <c r="Y79" t="inlineStr">
        <is>
          <t>99 MADISON AVENUE</t>
        </is>
      </c>
      <c r="Z79" t="inlineStr">
        <is>
          <t>PLUTO lot 99 MADISON AVENUE, centroid 13 m from pin; Review round 2: corner lot: the lot-centroid pin sat 18 m from E 29 ST but 23 m from MADISON AVE, so it was moved to the MADISON AVE frontage near the corner (16 m from the MADISON AVE centreline, 26 m from E 29 ST; 11 m from the old pin). Tax lot unchanged.</t>
        </is>
      </c>
      <c r="AA79" t="inlineStr">
        <is>
          <t>Corner building: the address is on Madison Avenue, and the building also fronts East 29th Street. The pin sits on the Madison Avenue side; check which door takes deliveries.</t>
        </is>
      </c>
      <c r="AB79" t="inlineStr">
        <is>
          <t>S4</t>
        </is>
      </c>
    </row>
    <row r="80">
      <c r="A80" t="inlineStr">
        <is>
          <t>B-B-080</t>
        </is>
      </c>
      <c r="B80" t="inlineStr">
        <is>
          <t>440 Park Avenue South</t>
        </is>
      </c>
      <c r="C80" t="inlineStr">
        <is>
          <t>440 Park Avenue South (Samco Properties)</t>
        </is>
      </c>
      <c r="D80" t="n">
        <v>40.744442</v>
      </c>
      <c r="E80" t="n">
        <v>-73.983525</v>
      </c>
      <c r="F80" t="inlineStr">
        <is>
          <t>unknown</t>
        </is>
      </c>
      <c r="G80" t="inlineStr"/>
      <c r="H80" t="inlineStr">
        <is>
          <t>unknown</t>
        </is>
      </c>
      <c r="I80" t="inlineStr"/>
      <c r="J80" t="n">
        <v>2</v>
      </c>
      <c r="K80" t="inlineStr"/>
      <c r="L80" s="3" t="inlineStr">
        <is>
          <t>[S4] Tenants: Signal AI (14), Innovant showroom and offices (9, 2023 source).</t>
        </is>
      </c>
      <c r="M80" t="inlineStr">
        <is>
          <t>1008590048</t>
        </is>
      </c>
      <c r="N80" t="inlineStr"/>
      <c r="O80" t="inlineStr">
        <is>
          <t>10016</t>
        </is>
      </c>
      <c r="P80" t="inlineStr">
        <is>
          <t>Y</t>
        </is>
      </c>
      <c r="Q80" t="inlineStr">
        <is>
          <t>B-C-170; B-C-171</t>
        </is>
      </c>
      <c r="R80" t="n">
        <v>0</v>
      </c>
      <c r="S80" t="inlineStr"/>
      <c r="T80" t="inlineStr"/>
      <c r="U80" t="n">
        <v>16</v>
      </c>
      <c r="V80" t="n">
        <v>1913</v>
      </c>
      <c r="W80" t="inlineStr">
        <is>
          <t>O6</t>
        </is>
      </c>
      <c r="X80" t="n">
        <v>136437</v>
      </c>
      <c r="Y80" t="inlineStr">
        <is>
          <t>434 PARK AVENUE SOUTH</t>
        </is>
      </c>
      <c r="Z80" t="inlineStr">
        <is>
          <t>PLUTO lot 434 PARK AVENUE SOUTH, centroid 12 m from pin; Review round 2: corner lot: the lot-centroid pin sat 23 m from E 30 ST but 24 m from PARK AVE S, so it was moved to the PARK AVE S frontage near the corner (13 m from the PARK AVE S centreline, 27 m from E 30 ST; 12 m from the old pin). Tax lot unchanged.</t>
        </is>
      </c>
      <c r="AA80" t="inlineStr">
        <is>
          <t>Corner building: the address is on Park Avenue South, and the building also fronts East 30th Street. The pin sits on the Park Avenue South side; check which door takes deliveries.</t>
        </is>
      </c>
      <c r="AB80" t="inlineStr">
        <is>
          <t>S4</t>
        </is>
      </c>
    </row>
    <row r="81">
      <c r="A81" t="inlineStr">
        <is>
          <t>B-B-081</t>
        </is>
      </c>
      <c r="B81" t="inlineStr">
        <is>
          <t>450 Park Avenue South</t>
        </is>
      </c>
      <c r="C81" t="inlineStr">
        <is>
          <t>450 Park Avenue South</t>
        </is>
      </c>
      <c r="D81" t="n">
        <v>40.744997</v>
      </c>
      <c r="E81" t="n">
        <v>-73.983237</v>
      </c>
      <c r="F81" t="inlineStr">
        <is>
          <t>unknown</t>
        </is>
      </c>
      <c r="G81" t="inlineStr"/>
      <c r="H81" t="inlineStr">
        <is>
          <t>unknown</t>
        </is>
      </c>
      <c r="I81" t="inlineStr"/>
      <c r="J81" t="n">
        <v>0</v>
      </c>
      <c r="K81" t="inlineStr"/>
      <c r="L81" s="3" t="inlineStr">
        <is>
          <t>[S4] Margin (30th-31st St). Superhuman New York office (Built In). Stash Financial is leaving for 641 Sixth Ave (CO 2026-09-02; prior address not confirmed as 450 PAS). Coworking in building per coworking_research.csv: WeWork 450 Park Ave S, so the Built In Superhuman address may be a WeWork membership.</t>
        </is>
      </c>
      <c r="M81" t="inlineStr">
        <is>
          <t>1008600045</t>
        </is>
      </c>
      <c r="N81" t="inlineStr"/>
      <c r="O81" t="inlineStr">
        <is>
          <t>10016</t>
        </is>
      </c>
      <c r="P81" t="inlineStr">
        <is>
          <t>Y</t>
        </is>
      </c>
      <c r="Q81" t="inlineStr"/>
      <c r="R81" t="n">
        <v>0</v>
      </c>
      <c r="S81" t="inlineStr">
        <is>
          <t>B-W-024</t>
        </is>
      </c>
      <c r="T81" t="inlineStr"/>
      <c r="U81" t="n">
        <v>12</v>
      </c>
      <c r="V81" t="n">
        <v>1912</v>
      </c>
      <c r="W81" t="inlineStr">
        <is>
          <t>O6</t>
        </is>
      </c>
      <c r="X81" t="n">
        <v>156338</v>
      </c>
      <c r="Y81" t="inlineStr">
        <is>
          <t>450 PARK AVENUE SOUTH</t>
        </is>
      </c>
      <c r="Z81" t="inlineStr">
        <is>
          <t>PLUTO lot 450 PARK AVENUE SOUTH, centroid 13 m from pin</t>
        </is>
      </c>
      <c r="AA81" t="inlineStr"/>
      <c r="AB81" t="inlineStr">
        <is>
          <t>S4</t>
        </is>
      </c>
    </row>
    <row r="82">
      <c r="A82" t="inlineStr">
        <is>
          <t>B-B-082</t>
        </is>
      </c>
      <c r="B82" t="inlineStr">
        <is>
          <t>295 Fifth Avenue</t>
        </is>
      </c>
      <c r="C82" t="inlineStr">
        <is>
          <t>Textile Building, 295 Fifth Avenue (Tribeca Investment Group, PGIM Real Estate, Meadow Partners)</t>
        </is>
      </c>
      <c r="D82" t="n">
        <v>40.746186</v>
      </c>
      <c r="E82" t="n">
        <v>-73.985981</v>
      </c>
      <c r="F82" t="inlineStr">
        <is>
          <t>unknown</t>
        </is>
      </c>
      <c r="G82" t="inlineStr"/>
      <c r="H82" t="inlineStr">
        <is>
          <t>unknown</t>
        </is>
      </c>
      <c r="I82" t="inlineStr"/>
      <c r="J82" t="n">
        <v>1</v>
      </c>
      <c r="K82" t="inlineStr"/>
      <c r="L82" s="3" t="inlineStr">
        <is>
          <t>[S4] Margin (30th-31st St). 19-story office building. Tenants: Quinn Emanuel (132,000 SF, 2023), Bridgewater (60,000 SF), Octus (6), The Knot, Agentio (11); Oiji Stk restaurant. CO 2026-07 tags a Rialto/Hines item (not opened).</t>
        </is>
      </c>
      <c r="M82" t="inlineStr">
        <is>
          <t>1008600001</t>
        </is>
      </c>
      <c r="N82" t="inlineStr"/>
      <c r="O82" t="inlineStr">
        <is>
          <t>10016</t>
        </is>
      </c>
      <c r="P82" t="inlineStr">
        <is>
          <t>Y</t>
        </is>
      </c>
      <c r="Q82" t="inlineStr">
        <is>
          <t>B-C-172</t>
        </is>
      </c>
      <c r="R82" t="n">
        <v>3</v>
      </c>
      <c r="S82" t="inlineStr"/>
      <c r="T82" t="inlineStr"/>
      <c r="U82" t="n">
        <v>19</v>
      </c>
      <c r="V82" t="n">
        <v>1920</v>
      </c>
      <c r="W82" t="inlineStr">
        <is>
          <t>O6</t>
        </is>
      </c>
      <c r="X82" t="n">
        <v>533324</v>
      </c>
      <c r="Y82" t="inlineStr">
        <is>
          <t>285 5 AVENUE</t>
        </is>
      </c>
      <c r="Z82" t="inlineStr">
        <is>
          <t>PLUTO lot 285 5 AVENUE, centroid 26 m from pin; Review round 2: corner lot: the lot-centroid pin sat 36 m from E 31 ST but 45 m from 5 AVE, so it was moved to the 5 AVE frontage near the corner (17 m from the 5 AVE centreline, 36 m from E 31 ST; 29 m from the old pin). Tax lot unchanged.</t>
        </is>
      </c>
      <c r="AA82" t="inlineStr">
        <is>
          <t>Corner building: the address is on Fifth Avenue, and the building also fronts East 31st Street. The pin sits on the Fifth Avenue side; check which door takes deliveries.</t>
        </is>
      </c>
      <c r="AB82" t="inlineStr">
        <is>
          <t>S4</t>
        </is>
      </c>
    </row>
  </sheetData>
  <autoFilter ref="A1:AB82"/>
  <dataValidations count="1">
    <dataValidation sqref="K2:K82" showDropDown="0" showInputMessage="0" showErrorMessage="0" allowBlank="1" type="list">
      <formula1>"Y,N"</formula1>
    </dataValidation>
  </dataValidations>
  <hyperlinks>
    <hyperlink xmlns:r="http://schemas.openxmlformats.org/officeDocument/2006/relationships" ref="G2" r:id="rId1"/>
    <hyperlink xmlns:r="http://schemas.openxmlformats.org/officeDocument/2006/relationships" ref="G14" r:id="rId2"/>
    <hyperlink xmlns:r="http://schemas.openxmlformats.org/officeDocument/2006/relationships" ref="G22" r:id="rId3"/>
    <hyperlink xmlns:r="http://schemas.openxmlformats.org/officeDocument/2006/relationships" ref="G23" r:id="rId4"/>
    <hyperlink xmlns:r="http://schemas.openxmlformats.org/officeDocument/2006/relationships" ref="G30" r:id="rId5"/>
    <hyperlink xmlns:r="http://schemas.openxmlformats.org/officeDocument/2006/relationships" ref="G32" r:id="rId6"/>
    <hyperlink xmlns:r="http://schemas.openxmlformats.org/officeDocument/2006/relationships" ref="G33" r:id="rId7"/>
    <hyperlink xmlns:r="http://schemas.openxmlformats.org/officeDocument/2006/relationships" ref="G41" r:id="rId8"/>
    <hyperlink xmlns:r="http://schemas.openxmlformats.org/officeDocument/2006/relationships" ref="G45" r:id="rId9"/>
    <hyperlink xmlns:r="http://schemas.openxmlformats.org/officeDocument/2006/relationships" ref="G47" r:id="rId10"/>
    <hyperlink xmlns:r="http://schemas.openxmlformats.org/officeDocument/2006/relationships" ref="G48" r:id="rId11"/>
    <hyperlink xmlns:r="http://schemas.openxmlformats.org/officeDocument/2006/relationships" ref="G52" r:id="rId12"/>
    <hyperlink xmlns:r="http://schemas.openxmlformats.org/officeDocument/2006/relationships" ref="G53" r:id="rId13"/>
    <hyperlink xmlns:r="http://schemas.openxmlformats.org/officeDocument/2006/relationships" ref="G57" r:id="rId14"/>
    <hyperlink xmlns:r="http://schemas.openxmlformats.org/officeDocument/2006/relationships" ref="G64" r:id="rId15"/>
    <hyperlink xmlns:r="http://schemas.openxmlformats.org/officeDocument/2006/relationships" ref="G74" r:id="rId16"/>
    <hyperlink xmlns:r="http://schemas.openxmlformats.org/officeDocument/2006/relationships" ref="G77"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8" customWidth="1" min="2" max="2"/>
    <col width="34" customWidth="1" min="3" max="3"/>
    <col width="30" customWidth="1" min="4" max="4"/>
    <col width="12" customWidth="1" min="5" max="5"/>
    <col width="12" customWidth="1" min="6" max="6"/>
    <col width="17" customWidth="1" min="7" max="7"/>
    <col width="20" customWidth="1" min="8" max="8"/>
    <col width="13" customWidth="1" min="9" max="9"/>
    <col width="14" customWidth="1" min="10" max="10"/>
    <col width="13" customWidth="1" min="11" max="11"/>
    <col width="80" customWidth="1" min="12" max="12"/>
    <col width="14" customWidth="1" min="13" max="13"/>
    <col width="17" customWidth="1" min="14" max="14"/>
    <col width="12" customWidth="1" min="15" max="15"/>
    <col width="12" customWidth="1" min="16" max="16"/>
    <col width="14" customWidth="1" min="17" max="17"/>
    <col width="12" customWidth="1" min="18" max="18"/>
    <col width="21" customWidth="1" min="19" max="19"/>
    <col width="20" customWidth="1" min="20" max="20"/>
    <col width="26" customWidth="1" min="21" max="21"/>
    <col width="14" customWidth="1" min="22" max="22"/>
    <col width="13" customWidth="1" min="23" max="23"/>
  </cols>
  <sheetData>
    <row r="1">
      <c r="A1" s="1" t="inlineStr">
        <is>
          <t>coworking_id</t>
        </is>
      </c>
      <c r="B1" s="1" t="inlineStr">
        <is>
          <t>operator</t>
        </is>
      </c>
      <c r="C1" s="1" t="inlineStr">
        <is>
          <t>location_name</t>
        </is>
      </c>
      <c r="D1" s="1" t="inlineStr">
        <is>
          <t>street_address</t>
        </is>
      </c>
      <c r="E1" s="1" t="inlineStr">
        <is>
          <t>lat</t>
        </is>
      </c>
      <c r="F1" s="1" t="inlineStr">
        <is>
          <t>lon</t>
        </is>
      </c>
      <c r="G1" s="1" t="inlineStr">
        <is>
          <t>pantry_control</t>
        </is>
      </c>
      <c r="H1" s="1" t="inlineStr">
        <is>
          <t>pantry_source_url</t>
        </is>
      </c>
      <c r="I1" s="1" t="inlineStr">
        <is>
          <t>source_url</t>
        </is>
      </c>
      <c r="J1" s="1" t="inlineStr">
        <is>
          <t>source_date</t>
        </is>
      </c>
      <c r="K1" s="1" t="inlineStr">
        <is>
          <t>confidence</t>
        </is>
      </c>
      <c r="L1" s="1" t="inlineStr">
        <is>
          <t>notes</t>
        </is>
      </c>
      <c r="M1" s="1" t="inlineStr">
        <is>
          <t>in_boundary</t>
        </is>
      </c>
      <c r="N1" s="1" t="inlineStr">
        <is>
          <t>blocks_outside</t>
        </is>
      </c>
      <c r="O1" s="1" t="inlineStr">
        <is>
          <t>status</t>
        </is>
      </c>
      <c r="P1" s="1" t="inlineStr">
        <is>
          <t>floors</t>
        </is>
      </c>
      <c r="Q1" s="1" t="inlineStr">
        <is>
          <t>building_id</t>
        </is>
      </c>
      <c r="R1" s="1" t="inlineStr">
        <is>
          <t>bbl</t>
        </is>
      </c>
      <c r="S1" s="1" t="inlineStr">
        <is>
          <t>tenant_company_ids</t>
        </is>
      </c>
      <c r="T1" s="1" t="inlineStr">
        <is>
          <t>second_source_url</t>
        </is>
      </c>
      <c r="U1" s="1" t="inlineStr">
        <is>
          <t>exclusive_food_contract_signal</t>
        </is>
      </c>
      <c r="V1" s="1" t="inlineStr">
        <is>
          <t>research_id</t>
        </is>
      </c>
      <c r="W1" s="1" t="inlineStr">
        <is>
          <t>found_date</t>
        </is>
      </c>
    </row>
    <row r="2">
      <c r="A2" t="inlineStr">
        <is>
          <t>B-W-001</t>
        </is>
      </c>
      <c r="B2" t="inlineStr">
        <is>
          <t>Civic Hall</t>
        </is>
      </c>
      <c r="C2" t="inlineStr">
        <is>
          <t>Civic Hall, Union Square (Zero Irving)</t>
        </is>
      </c>
      <c r="D2" t="inlineStr">
        <is>
          <t>124 East 14th Street, New York, NY 10003</t>
        </is>
      </c>
      <c r="E2" t="n">
        <v>40.733674</v>
      </c>
      <c r="F2" t="n">
        <v>-73.988766</v>
      </c>
      <c r="G2" t="inlineStr">
        <is>
          <t>operator</t>
        </is>
      </c>
      <c r="H2" s="2" t="inlineStr">
        <is>
          <t>https://civichall.org/memberships</t>
        </is>
      </c>
      <c r="I2" s="2" t="inlineStr">
        <is>
          <t>https://civichall.org/contact-us/</t>
        </is>
      </c>
      <c r="J2" t="inlineStr">
        <is>
          <t>2026-10-23</t>
        </is>
      </c>
      <c r="K2" t="inlineStr">
        <is>
          <t>medium</t>
        </is>
      </c>
      <c r="L2" s="3" t="inlineStr">
        <is>
          <t>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t>
        </is>
      </c>
      <c r="M2" t="inlineStr">
        <is>
          <t>Y</t>
        </is>
      </c>
      <c r="N2" t="n">
        <v>0</v>
      </c>
      <c r="O2" t="inlineStr">
        <is>
          <t>open</t>
        </is>
      </c>
      <c r="P2" t="inlineStr">
        <is>
          <t>unknown</t>
        </is>
      </c>
      <c r="Q2" t="inlineStr">
        <is>
          <t>B-B-002</t>
        </is>
      </c>
      <c r="R2" t="inlineStr">
        <is>
          <t>1005590016</t>
        </is>
      </c>
      <c r="S2" t="inlineStr"/>
      <c r="T2" t="inlineStr"/>
      <c r="U2" t="inlineStr">
        <is>
          <t>none found</t>
        </is>
      </c>
      <c r="V2" t="inlineStr">
        <is>
          <t>W-29</t>
        </is>
      </c>
      <c r="W2" t="inlineStr">
        <is>
          <t>2026-10-23</t>
        </is>
      </c>
    </row>
    <row r="3">
      <c r="A3" t="inlineStr">
        <is>
          <t>B-W-002</t>
        </is>
      </c>
      <c r="B3" t="inlineStr">
        <is>
          <t>Hub Seventeen</t>
        </is>
      </c>
      <c r="C3" t="inlineStr">
        <is>
          <t>Hub Seventeen, 114 Fifth Avenue</t>
        </is>
      </c>
      <c r="D3" t="inlineStr">
        <is>
          <t>114 Fifth Avenue, New York, NY 10011</t>
        </is>
      </c>
      <c r="E3" t="n">
        <v>40.737788</v>
      </c>
      <c r="F3" t="n">
        <v>-73.992555</v>
      </c>
      <c r="G3" t="inlineStr">
        <is>
          <t>unknown</t>
        </is>
      </c>
      <c r="H3" t="inlineStr"/>
      <c r="I3" s="2" t="inlineStr">
        <is>
          <t>https://commercialobserver.com/2025/02/capital-one-expansion-114-fifth-avenue/</t>
        </is>
      </c>
      <c r="J3" t="inlineStr">
        <is>
          <t>2025-02-11</t>
        </is>
      </c>
      <c r="K3" t="inlineStr">
        <is>
          <t>medium</t>
        </is>
      </c>
      <c r="L3" s="3" t="inlineStr">
        <is>
          <t>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t>
        </is>
      </c>
      <c r="M3" t="inlineStr">
        <is>
          <t>Y</t>
        </is>
      </c>
      <c r="N3" t="n">
        <v>0</v>
      </c>
      <c r="O3" t="inlineStr">
        <is>
          <t>unverified</t>
        </is>
      </c>
      <c r="P3" t="inlineStr">
        <is>
          <t>unknown</t>
        </is>
      </c>
      <c r="Q3" t="inlineStr">
        <is>
          <t>B-B-009</t>
        </is>
      </c>
      <c r="R3" t="inlineStr">
        <is>
          <t>1008180051</t>
        </is>
      </c>
      <c r="S3" t="inlineStr"/>
      <c r="T3" t="inlineStr"/>
      <c r="U3" t="inlineStr">
        <is>
          <t>none found</t>
        </is>
      </c>
      <c r="V3" t="inlineStr">
        <is>
          <t>W-32</t>
        </is>
      </c>
      <c r="W3" t="inlineStr">
        <is>
          <t>2026-10-24</t>
        </is>
      </c>
    </row>
    <row r="4">
      <c r="A4" t="inlineStr">
        <is>
          <t>B-W-003</t>
        </is>
      </c>
      <c r="B4" t="inlineStr">
        <is>
          <t>Industrious</t>
        </is>
      </c>
      <c r="C4" t="inlineStr">
        <is>
          <t>Industrious Union Square on Broadway</t>
        </is>
      </c>
      <c r="D4" t="inlineStr">
        <is>
          <t>860 Broadway, 6th Floor, New York, NY 10003</t>
        </is>
      </c>
      <c r="E4" t="n">
        <v>40.737311</v>
      </c>
      <c r="F4" t="n">
        <v>-73.990092</v>
      </c>
      <c r="G4" t="inlineStr">
        <is>
          <t>operator</t>
        </is>
      </c>
      <c r="H4" s="2" t="inlineStr">
        <is>
          <t>https://www.industriousoffice.com/locations/manhattan---860-broadway-6th-floor</t>
        </is>
      </c>
      <c r="I4" s="2" t="inlineStr">
        <is>
          <t>https://www.industriousoffice.com/m/new-york-city</t>
        </is>
      </c>
      <c r="J4" t="inlineStr">
        <is>
          <t>2026-10-23</t>
        </is>
      </c>
      <c r="K4" t="inlineStr">
        <is>
          <t>high</t>
        </is>
      </c>
      <c r="L4" s="3" t="inlineStr">
        <is>
          <t>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2: corner lot: the lot-centroid pin sat 24 m from E 17 ST but 43 m from BROADWAY, so it was moved to the BROADWAY frontage near the corner (15 m from the BROADWAY centreline, 27 m from E 17 ST; 29 m from the old pin). Tax lot unchanged.</t>
        </is>
      </c>
      <c r="M4" t="inlineStr">
        <is>
          <t>Y</t>
        </is>
      </c>
      <c r="N4" t="n">
        <v>0</v>
      </c>
      <c r="O4" t="inlineStr">
        <is>
          <t>open</t>
        </is>
      </c>
      <c r="P4" t="inlineStr">
        <is>
          <t>6th Floor</t>
        </is>
      </c>
      <c r="Q4" t="inlineStr">
        <is>
          <t>B-B-011</t>
        </is>
      </c>
      <c r="R4" t="inlineStr">
        <is>
          <t>1008460026</t>
        </is>
      </c>
      <c r="S4" t="inlineStr"/>
      <c r="T4" s="2" t="inlineStr">
        <is>
          <t>https://www.deskpass.com/us-en/ny/new-york-city</t>
        </is>
      </c>
      <c r="U4" t="inlineStr">
        <is>
          <t>none found</t>
        </is>
      </c>
      <c r="V4" t="inlineStr">
        <is>
          <t>W-07</t>
        </is>
      </c>
      <c r="W4" t="inlineStr">
        <is>
          <t>2026-10-23</t>
        </is>
      </c>
    </row>
    <row r="5">
      <c r="A5" t="inlineStr">
        <is>
          <t>B-W-005</t>
        </is>
      </c>
      <c r="B5" t="inlineStr">
        <is>
          <t>Industrious</t>
        </is>
      </c>
      <c r="C5" t="inlineStr">
        <is>
          <t>Industrious Union Square on Park</t>
        </is>
      </c>
      <c r="D5" t="inlineStr">
        <is>
          <t>215 Park Avenue South, 11th Floor, New York, NY 10003</t>
        </is>
      </c>
      <c r="E5" t="n">
        <v>40.73686</v>
      </c>
      <c r="F5" t="n">
        <v>-73.988546</v>
      </c>
      <c r="G5" t="inlineStr">
        <is>
          <t>operator</t>
        </is>
      </c>
      <c r="H5" s="2" t="inlineStr">
        <is>
          <t>https://www.industriousoffice.com/locations/215-park-avenue-south-11th-floor</t>
        </is>
      </c>
      <c r="I5" s="2" t="inlineStr">
        <is>
          <t>https://www.industriousoffice.com/m/new-york-city</t>
        </is>
      </c>
      <c r="J5" t="inlineStr">
        <is>
          <t>2026-10-23</t>
        </is>
      </c>
      <c r="K5" t="inlineStr">
        <is>
          <t>high</t>
        </is>
      </c>
      <c r="L5" s="3" t="inlineStr">
        <is>
          <t>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2: corner lot: the lot-centroid pin sat 20 m from E 18 ST but 39 m from PARK AVE S, so it was moved to the PARK AVE S frontage near the corner (14 m from the PARK AVE S centreline, 26 m from E 18 ST; 26 m from the old pin). Tax lot unchanged.</t>
        </is>
      </c>
      <c r="M5" t="inlineStr">
        <is>
          <t>Y</t>
        </is>
      </c>
      <c r="N5" t="n">
        <v>0</v>
      </c>
      <c r="O5" t="inlineStr">
        <is>
          <t>open</t>
        </is>
      </c>
      <c r="P5" t="inlineStr">
        <is>
          <t>11th Floor</t>
        </is>
      </c>
      <c r="Q5" t="inlineStr">
        <is>
          <t>B-B-016</t>
        </is>
      </c>
      <c r="R5" t="inlineStr">
        <is>
          <t>1008730067</t>
        </is>
      </c>
      <c r="S5" t="inlineStr"/>
      <c r="T5" s="2" t="inlineStr">
        <is>
          <t>https://www.deskpass.com/us-en/ny/new-york-city</t>
        </is>
      </c>
      <c r="U5" t="inlineStr">
        <is>
          <t>none found</t>
        </is>
      </c>
      <c r="V5" t="inlineStr">
        <is>
          <t>W-08</t>
        </is>
      </c>
      <c r="W5" t="inlineStr">
        <is>
          <t>2026-10-23</t>
        </is>
      </c>
    </row>
    <row r="6">
      <c r="A6" t="inlineStr">
        <is>
          <t>B-W-004</t>
        </is>
      </c>
      <c r="B6" t="inlineStr">
        <is>
          <t>WeWork</t>
        </is>
      </c>
      <c r="C6" t="inlineStr">
        <is>
          <t>WeWork 18 West 18th Street</t>
        </is>
      </c>
      <c r="D6" t="inlineStr">
        <is>
          <t>18 West 18th Street, New York, NY 10011</t>
        </is>
      </c>
      <c r="E6" t="n">
        <v>40.738939</v>
      </c>
      <c r="F6" t="n">
        <v>-73.993331</v>
      </c>
      <c r="G6" t="inlineStr">
        <is>
          <t>operator</t>
        </is>
      </c>
      <c r="H6" s="2" t="inlineStr">
        <is>
          <t>https://www.wework.com/buildings/18-west-18th-street--new-york-city--NY</t>
        </is>
      </c>
      <c r="I6" s="2" t="inlineStr">
        <is>
          <t>https://www.wework.com/buildings/18-west-18th-street--new-york-city--NY</t>
        </is>
      </c>
      <c r="J6" t="inlineStr">
        <is>
          <t>2026-10-23</t>
        </is>
      </c>
      <c r="K6" t="inlineStr">
        <is>
          <t>medium</t>
        </is>
      </c>
      <c r="L6" s="3" t="inlineStr">
        <is>
          <t>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M6" t="inlineStr">
        <is>
          <t>Y</t>
        </is>
      </c>
      <c r="N6" t="n">
        <v>0</v>
      </c>
      <c r="O6" t="inlineStr">
        <is>
          <t>open</t>
        </is>
      </c>
      <c r="P6" t="inlineStr">
        <is>
          <t>unknown</t>
        </is>
      </c>
      <c r="Q6" t="inlineStr">
        <is>
          <t>B-B-014</t>
        </is>
      </c>
      <c r="R6" t="inlineStr">
        <is>
          <t>1008190056</t>
        </is>
      </c>
      <c r="S6" t="inlineStr"/>
      <c r="T6" t="inlineStr"/>
      <c r="U6" t="inlineStr">
        <is>
          <t>none found on amenity page</t>
        </is>
      </c>
      <c r="V6" t="inlineStr">
        <is>
          <t>W-01</t>
        </is>
      </c>
      <c r="W6" t="inlineStr">
        <is>
          <t>2026-10-23</t>
        </is>
      </c>
    </row>
    <row r="7">
      <c r="A7" t="inlineStr">
        <is>
          <t>B-W-006</t>
        </is>
      </c>
      <c r="B7" t="inlineStr">
        <is>
          <t>The Malin</t>
        </is>
      </c>
      <c r="C7" t="inlineStr">
        <is>
          <t>The Malin Flatiron</t>
        </is>
      </c>
      <c r="D7" t="inlineStr">
        <is>
          <t>895 Broadway, 5th Floor, New York, NY 10003</t>
        </is>
      </c>
      <c r="E7" t="n">
        <v>40.739015</v>
      </c>
      <c r="F7" t="n">
        <v>-73.989998</v>
      </c>
      <c r="G7" t="inlineStr">
        <is>
          <t>operator</t>
        </is>
      </c>
      <c r="H7" s="2" t="inlineStr">
        <is>
          <t>https://api.deskpass.com/api/spaces/the-malin-flatiron</t>
        </is>
      </c>
      <c r="I7" s="2" t="inlineStr">
        <is>
          <t>https://rebusinessonline.com/the-malin-opens-32700-sf-coworking-space-in-manhattans-flatiron-district/</t>
        </is>
      </c>
      <c r="J7" t="inlineStr">
        <is>
          <t>2025-06-19</t>
        </is>
      </c>
      <c r="K7" t="inlineStr">
        <is>
          <t>high</t>
        </is>
      </c>
      <c r="L7" s="3" t="inlineStr">
        <is>
          <t>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t>
        </is>
      </c>
      <c r="M7" t="inlineStr">
        <is>
          <t>Y</t>
        </is>
      </c>
      <c r="N7" t="n">
        <v>0</v>
      </c>
      <c r="O7" t="inlineStr">
        <is>
          <t>open</t>
        </is>
      </c>
      <c r="P7" t="inlineStr">
        <is>
          <t>5th Floor</t>
        </is>
      </c>
      <c r="Q7" t="inlineStr">
        <is>
          <t>B-B-027</t>
        </is>
      </c>
      <c r="R7" t="inlineStr">
        <is>
          <t>1008480015</t>
        </is>
      </c>
      <c r="S7" t="inlineStr"/>
      <c r="T7" s="2" t="inlineStr">
        <is>
          <t>https://commercialobserver.com/2024/11/the-malin-lease-895-broadway</t>
        </is>
      </c>
      <c r="U7" t="inlineStr">
        <is>
          <t>none found</t>
        </is>
      </c>
      <c r="V7" t="inlineStr">
        <is>
          <t>W-15</t>
        </is>
      </c>
      <c r="W7" t="inlineStr">
        <is>
          <t>2026-10-23</t>
        </is>
      </c>
    </row>
    <row r="8">
      <c r="A8" t="inlineStr">
        <is>
          <t>B-W-007</t>
        </is>
      </c>
      <c r="B8" t="inlineStr">
        <is>
          <t>Industrious</t>
        </is>
      </c>
      <c r="C8" t="inlineStr">
        <is>
          <t>Industrious 156 5th Ave</t>
        </is>
      </c>
      <c r="D8" t="inlineStr">
        <is>
          <t>156 Fifth Avenue, 4th Floor, New York, NY 10010</t>
        </is>
      </c>
      <c r="E8" t="n">
        <v>40.739961</v>
      </c>
      <c r="F8" t="n">
        <v>-73.990971</v>
      </c>
      <c r="G8" t="inlineStr">
        <is>
          <t>operator</t>
        </is>
      </c>
      <c r="H8" s="2" t="inlineStr">
        <is>
          <t>https://www.industriousoffice.com/locations/156-5th-avenue-4th-floor-new-york</t>
        </is>
      </c>
      <c r="I8" s="2" t="inlineStr">
        <is>
          <t>https://www.industriousoffice.com/m/new-york-city</t>
        </is>
      </c>
      <c r="J8" t="inlineStr">
        <is>
          <t>2026-10-23</t>
        </is>
      </c>
      <c r="K8" t="inlineStr">
        <is>
          <t>high</t>
        </is>
      </c>
      <c r="L8" s="3" t="inlineStr">
        <is>
          <t>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t>
        </is>
      </c>
      <c r="M8" t="inlineStr">
        <is>
          <t>Y</t>
        </is>
      </c>
      <c r="N8" t="n">
        <v>0</v>
      </c>
      <c r="O8" t="inlineStr">
        <is>
          <t>open</t>
        </is>
      </c>
      <c r="P8" t="inlineStr">
        <is>
          <t>4th Floor</t>
        </is>
      </c>
      <c r="Q8" t="inlineStr">
        <is>
          <t>B-B-029</t>
        </is>
      </c>
      <c r="R8" t="inlineStr">
        <is>
          <t>1008220031</t>
        </is>
      </c>
      <c r="S8" t="inlineStr"/>
      <c r="T8" s="2" t="inlineStr">
        <is>
          <t>https://commercialobserver.com/2026/03/industrious-leases-110-east-42nd-street/</t>
        </is>
      </c>
      <c r="U8" t="inlineStr">
        <is>
          <t>none found</t>
        </is>
      </c>
      <c r="V8" t="inlineStr">
        <is>
          <t>W-06</t>
        </is>
      </c>
      <c r="W8" t="inlineStr">
        <is>
          <t>2026-10-23</t>
        </is>
      </c>
    </row>
    <row r="9">
      <c r="A9" t="inlineStr">
        <is>
          <t>B-W-008</t>
        </is>
      </c>
      <c r="B9" t="inlineStr">
        <is>
          <t>Industrious</t>
        </is>
      </c>
      <c r="C9" t="inlineStr">
        <is>
          <t>Industrious 902 Broadway</t>
        </is>
      </c>
      <c r="D9" t="inlineStr">
        <is>
          <t>902 Broadway, 7th Floor, New York, NY 10010</t>
        </is>
      </c>
      <c r="E9" t="n">
        <v>40.739363</v>
      </c>
      <c r="F9" t="n">
        <v>-73.98953400000001</v>
      </c>
      <c r="G9" t="inlineStr">
        <is>
          <t>operator</t>
        </is>
      </c>
      <c r="H9" s="2" t="inlineStr">
        <is>
          <t>https://www.industriousoffice.com/locations/902-broadway-7th-floor-new-york</t>
        </is>
      </c>
      <c r="I9" s="2" t="inlineStr">
        <is>
          <t>https://www.industriousoffice.com/m/new-york-city</t>
        </is>
      </c>
      <c r="J9" t="inlineStr">
        <is>
          <t>2026-10-23</t>
        </is>
      </c>
      <c r="K9" t="inlineStr">
        <is>
          <t>high</t>
        </is>
      </c>
      <c r="L9" s="3" t="inlineStr">
        <is>
          <t>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t>
        </is>
      </c>
      <c r="M9" t="inlineStr">
        <is>
          <t>Y</t>
        </is>
      </c>
      <c r="N9" t="n">
        <v>0</v>
      </c>
      <c r="O9" t="inlineStr">
        <is>
          <t>open</t>
        </is>
      </c>
      <c r="P9" t="inlineStr">
        <is>
          <t>7th Floor</t>
        </is>
      </c>
      <c r="Q9" t="inlineStr">
        <is>
          <t>B-B-031</t>
        </is>
      </c>
      <c r="R9" t="inlineStr">
        <is>
          <t>1008490016</t>
        </is>
      </c>
      <c r="S9" t="inlineStr"/>
      <c r="T9" s="2" t="inlineStr">
        <is>
          <t>https://www.connectcre.com/stories/industrious-commits-to-full-floor-space-in-flatiron-district/</t>
        </is>
      </c>
      <c r="U9" t="inlineStr">
        <is>
          <t>none found</t>
        </is>
      </c>
      <c r="V9" t="inlineStr">
        <is>
          <t>W-12</t>
        </is>
      </c>
      <c r="W9" t="inlineStr">
        <is>
          <t>2026-10-23</t>
        </is>
      </c>
    </row>
    <row r="10">
      <c r="A10" t="inlineStr">
        <is>
          <t>B-W-009</t>
        </is>
      </c>
      <c r="B10" t="inlineStr">
        <is>
          <t>Le Parc (CL Investment Group building)</t>
        </is>
      </c>
      <c r="C10" t="inlineStr">
        <is>
          <t>Le Parc Coworking Offices</t>
        </is>
      </c>
      <c r="D10" t="inlineStr">
        <is>
          <t>287 Park Avenue South, 2nd Floor, New York, NY 10010</t>
        </is>
      </c>
      <c r="E10" t="n">
        <v>40.739654</v>
      </c>
      <c r="F10" t="n">
        <v>-73.98649</v>
      </c>
      <c r="G10" t="inlineStr">
        <is>
          <t>unknown</t>
        </is>
      </c>
      <c r="H10" t="inlineStr"/>
      <c r="I10" s="2" t="inlineStr">
        <is>
          <t>https://flatironnomad.nyc/2024/06/26/meet-le-parc/</t>
        </is>
      </c>
      <c r="J10" t="inlineStr">
        <is>
          <t>2024-06-26</t>
        </is>
      </c>
      <c r="K10" t="inlineStr">
        <is>
          <t>low</t>
        </is>
      </c>
      <c r="L10" s="3" t="inlineStr">
        <is>
          <t>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t>
        </is>
      </c>
      <c r="M10" t="inlineStr">
        <is>
          <t>Y</t>
        </is>
      </c>
      <c r="N10" t="n">
        <v>0</v>
      </c>
      <c r="O10" t="inlineStr">
        <is>
          <t>unverified</t>
        </is>
      </c>
      <c r="P10" t="inlineStr">
        <is>
          <t>2nd Floor</t>
        </is>
      </c>
      <c r="Q10" t="inlineStr">
        <is>
          <t>B-B-042</t>
        </is>
      </c>
      <c r="R10" t="inlineStr">
        <is>
          <t>1008780001</t>
        </is>
      </c>
      <c r="S10" t="inlineStr"/>
      <c r="T10" s="2" t="inlineStr">
        <is>
          <t>https://www.deskpass.com/us-en/ny/new-york-city</t>
        </is>
      </c>
      <c r="U10" t="inlineStr">
        <is>
          <t>none found; building has ground-floor restaurants (Hawksmoor, DOM) and a United Charities Club Card discount program</t>
        </is>
      </c>
      <c r="V10" t="inlineStr">
        <is>
          <t>W-18</t>
        </is>
      </c>
      <c r="W10" t="inlineStr">
        <is>
          <t>2026-10-23</t>
        </is>
      </c>
    </row>
    <row r="11">
      <c r="A11" t="inlineStr">
        <is>
          <t>B-W-011</t>
        </is>
      </c>
      <c r="B11" t="inlineStr">
        <is>
          <t>Select Office Suites</t>
        </is>
      </c>
      <c r="C11" t="inlineStr">
        <is>
          <t>Select Office Suites Flatiron</t>
        </is>
      </c>
      <c r="D11" t="inlineStr">
        <is>
          <t>1115 Broadway (16 Madison Square West), Floors 9-12, New York, NY 10010</t>
        </is>
      </c>
      <c r="E11" t="n">
        <v>40.74285</v>
      </c>
      <c r="F11" t="n">
        <v>-73.98934800000001</v>
      </c>
      <c r="G11" t="inlineStr">
        <is>
          <t>operator</t>
        </is>
      </c>
      <c r="H11" s="2" t="inlineStr">
        <is>
          <t>https://www.selectofficesuites.com/office-space-for-rent-flatiron-district-new-york-city/</t>
        </is>
      </c>
      <c r="I11" s="2" t="inlineStr">
        <is>
          <t>https://www.selectofficesuites.com/office-space-for-rent-flatiron-district-new-york-city/</t>
        </is>
      </c>
      <c r="J11" t="inlineStr">
        <is>
          <t>2026-10-23</t>
        </is>
      </c>
      <c r="K11" t="inlineStr">
        <is>
          <t>high</t>
        </is>
      </c>
      <c r="L11" s="3" t="inlineStr">
        <is>
          <t>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which suggests a partnership; not confirmed. Review round 2: corner lot: the lot-centroid pin sat 16 m from W 25 ST but 26 m from BROADWAY, so it was moved to the BROADWAY frontage near the corner (13 m from the BROADWAY centreline, 26 m from W 25 ST; 20 m from the old pin). Tax lot unchanged.</t>
        </is>
      </c>
      <c r="M11" t="inlineStr">
        <is>
          <t>Y</t>
        </is>
      </c>
      <c r="N11" t="n">
        <v>0</v>
      </c>
      <c r="O11" t="inlineStr">
        <is>
          <t>open</t>
        </is>
      </c>
      <c r="P11" t="inlineStr">
        <is>
          <t>Floors 9-12</t>
        </is>
      </c>
      <c r="Q11" t="inlineStr">
        <is>
          <t>B-B-056</t>
        </is>
      </c>
      <c r="R11" t="inlineStr">
        <is>
          <t>1008260046</t>
        </is>
      </c>
      <c r="S11" t="inlineStr">
        <is>
          <t>B-C-173</t>
        </is>
      </c>
      <c r="T11" s="2" t="inlineStr">
        <is>
          <t>https://liquidspace.com/US/NY/new-york/select-office-suites-flatiron</t>
        </is>
      </c>
      <c r="U11" t="inlineStr">
        <is>
          <t>named coffee supplier (Proof Coffee Roasters) and wine bar stocked by Copake Wine Works; on-site cafe; no exclusive contract stated</t>
        </is>
      </c>
      <c r="V11" t="inlineStr">
        <is>
          <t>W-17</t>
        </is>
      </c>
      <c r="W11" t="inlineStr">
        <is>
          <t>2026-10-23</t>
        </is>
      </c>
    </row>
    <row r="12">
      <c r="A12" t="inlineStr">
        <is>
          <t>B-W-010</t>
        </is>
      </c>
      <c r="B12" t="inlineStr">
        <is>
          <t>Convene Hospitality Group (NeueHouse)</t>
        </is>
      </c>
      <c r="C12" t="inlineStr">
        <is>
          <t>NeueHouse Madison Square</t>
        </is>
      </c>
      <c r="D12" t="inlineStr">
        <is>
          <t>110 East 25th Street, New York, NY 10010</t>
        </is>
      </c>
      <c r="E12" t="n">
        <v>40.741024</v>
      </c>
      <c r="F12" t="n">
        <v>-73.984936</v>
      </c>
      <c r="G12" t="inlineStr">
        <is>
          <t>operator</t>
        </is>
      </c>
      <c r="H12" s="2" t="inlineStr">
        <is>
          <t>https://www.neuehouse.com/private-events/madison-square/</t>
        </is>
      </c>
      <c r="I12" s="2" t="inlineStr">
        <is>
          <t>https://nyrej.com/print/57154</t>
        </is>
      </c>
      <c r="J12" t="inlineStr">
        <is>
          <t>2026-03-10</t>
        </is>
      </c>
      <c r="K12" t="inlineStr">
        <is>
          <t>high</t>
        </is>
      </c>
      <c r="L12" s="3" t="inlineStr">
        <is>
          <t>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t>
        </is>
      </c>
      <c r="M12" t="inlineStr">
        <is>
          <t>Y</t>
        </is>
      </c>
      <c r="N12" t="n">
        <v>0</v>
      </c>
      <c r="O12" t="inlineStr">
        <is>
          <t>open</t>
        </is>
      </c>
      <c r="P12" t="inlineStr">
        <is>
          <t>unknown</t>
        </is>
      </c>
      <c r="Q12" t="inlineStr">
        <is>
          <t>B-B-055</t>
        </is>
      </c>
      <c r="R12" t="inlineStr">
        <is>
          <t>1008800084</t>
        </is>
      </c>
      <c r="S12" t="inlineStr"/>
      <c r="T12" s="2" t="inlineStr">
        <is>
          <t>https://www.neuehouse.com/private-events/madison-square/</t>
        </is>
      </c>
      <c r="U12" t="inlineStr">
        <is>
          <t>in-house full-service restaurant and bar (Gallery Bar) run by the house; outside food placement likely needs operator approval (inference)</t>
        </is>
      </c>
      <c r="V12" t="inlineStr">
        <is>
          <t>W-14</t>
        </is>
      </c>
      <c r="W12" t="inlineStr">
        <is>
          <t>2026-10-23</t>
        </is>
      </c>
    </row>
    <row r="13">
      <c r="A13" t="inlineStr">
        <is>
          <t>B-W-012</t>
        </is>
      </c>
      <c r="B13" t="inlineStr">
        <is>
          <t>Regus (IWG)</t>
        </is>
      </c>
      <c r="C13" t="inlineStr">
        <is>
          <t>Regus 41 Madison Avenue</t>
        </is>
      </c>
      <c r="D13" t="inlineStr">
        <is>
          <t>41 Madison Avenue, 31st Floor, New York, NY 10010</t>
        </is>
      </c>
      <c r="E13" t="n">
        <v>40.742477</v>
      </c>
      <c r="F13" t="n">
        <v>-73.986608</v>
      </c>
      <c r="G13" t="inlineStr">
        <is>
          <t>unknown</t>
        </is>
      </c>
      <c r="H13" t="inlineStr"/>
      <c r="I13" s="2" t="inlineStr">
        <is>
          <t>https://old.regus.com/offices/united-states/new-york/new-york-city/office-space/ny-new-york-city-41-madison-avenue</t>
        </is>
      </c>
      <c r="J13" t="inlineStr">
        <is>
          <t>2026-10-23</t>
        </is>
      </c>
      <c r="K13" t="inlineStr">
        <is>
          <t>low</t>
        </is>
      </c>
      <c r="L13" s="3" t="inlineStr">
        <is>
          <t>The current regus.com centre page is bot-blocked; existence per the legacy Regus page (opened; its copy cites the A Voce restaurant, which suggests stale text)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t>
        </is>
      </c>
      <c r="M13" t="inlineStr">
        <is>
          <t>Y</t>
        </is>
      </c>
      <c r="N13" t="n">
        <v>0</v>
      </c>
      <c r="O13" t="inlineStr">
        <is>
          <t>unverified</t>
        </is>
      </c>
      <c r="P13" t="inlineStr">
        <is>
          <t>31st Floor</t>
        </is>
      </c>
      <c r="Q13" t="inlineStr">
        <is>
          <t>B-B-057</t>
        </is>
      </c>
      <c r="R13" t="inlineStr">
        <is>
          <t>1008550037</t>
        </is>
      </c>
      <c r="S13" t="inlineStr"/>
      <c r="T13" t="inlineStr"/>
      <c r="U13" t="inlineStr">
        <is>
          <t>none found</t>
        </is>
      </c>
      <c r="V13" t="inlineStr">
        <is>
          <t>W-25</t>
        </is>
      </c>
      <c r="W13" t="inlineStr">
        <is>
          <t>2026-10-23</t>
        </is>
      </c>
    </row>
    <row r="14">
      <c r="A14" t="inlineStr">
        <is>
          <t>B-W-013</t>
        </is>
      </c>
      <c r="B14" t="inlineStr">
        <is>
          <t>Cure (Cure Experience Services, LLC; Deerfield-affiliated)</t>
        </is>
      </c>
      <c r="C14" t="inlineStr">
        <is>
          <t>Cure, 345 Park Avenue South</t>
        </is>
      </c>
      <c r="D14" t="inlineStr">
        <is>
          <t>345 Park Avenue South, New York, NY 10010</t>
        </is>
      </c>
      <c r="E14" t="n">
        <v>40.741737</v>
      </c>
      <c r="F14" t="n">
        <v>-73.98485599999999</v>
      </c>
      <c r="G14" t="inlineStr">
        <is>
          <t>operator</t>
        </is>
      </c>
      <c r="H14" s="2" t="inlineStr">
        <is>
          <t>https://wewillcure.com/community/residents</t>
        </is>
      </c>
      <c r="I14" s="2" t="inlineStr">
        <is>
          <t>https://wewillcure.com/community/residents</t>
        </is>
      </c>
      <c r="J14" t="inlineStr">
        <is>
          <t>2026-10-24</t>
        </is>
      </c>
      <c r="K14" t="inlineStr">
        <is>
          <t>high</t>
        </is>
      </c>
      <c r="L14" s="3" t="inlineStr">
        <is>
          <t>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t>
        </is>
      </c>
      <c r="M14" t="inlineStr">
        <is>
          <t>Y</t>
        </is>
      </c>
      <c r="N14" t="n">
        <v>0</v>
      </c>
      <c r="O14" t="inlineStr">
        <is>
          <t>open</t>
        </is>
      </c>
      <c r="P14" t="inlineStr">
        <is>
          <t>unknown</t>
        </is>
      </c>
      <c r="Q14" t="inlineStr">
        <is>
          <t>B-B-058</t>
        </is>
      </c>
      <c r="R14" t="inlineStr">
        <is>
          <t>1008810001</t>
        </is>
      </c>
      <c r="S14" t="inlineStr">
        <is>
          <t>B-C-174; B-C-175; B-C-176</t>
        </is>
      </c>
      <c r="T14" s="2" t="inlineStr">
        <is>
          <t>https://en.wikipedia.org/wiki/Deerfield_Management</t>
        </is>
      </c>
      <c r="U14" t="inlineStr">
        <is>
          <t>operator-run cafe (NaCl Cafe per S3); outside snack placement likely needs operator approval</t>
        </is>
      </c>
      <c r="V14" t="inlineStr">
        <is>
          <t>W-30</t>
        </is>
      </c>
      <c r="W14" t="inlineStr">
        <is>
          <t>2026-10-24</t>
        </is>
      </c>
    </row>
    <row r="15">
      <c r="A15" t="inlineStr">
        <is>
          <t>B-W-014</t>
        </is>
      </c>
      <c r="B15" t="inlineStr">
        <is>
          <t>Industrious</t>
        </is>
      </c>
      <c r="C15" t="inlineStr">
        <is>
          <t>Industrious NoMad</t>
        </is>
      </c>
      <c r="D15" t="inlineStr">
        <is>
          <t>776A Sixth Avenue, New York, NY 10001</t>
        </is>
      </c>
      <c r="E15" t="n">
        <v>40.744955</v>
      </c>
      <c r="F15" t="n">
        <v>-73.990911</v>
      </c>
      <c r="G15" t="inlineStr">
        <is>
          <t>operator</t>
        </is>
      </c>
      <c r="H15" s="2" t="inlineStr">
        <is>
          <t>https://www.industriousoffice.com/locations/776-6th-avenue-2nd-floor-new-york</t>
        </is>
      </c>
      <c r="I15" s="2" t="inlineStr">
        <is>
          <t>https://www.industriousoffice.com/m/new-york-city</t>
        </is>
      </c>
      <c r="J15" t="inlineStr">
        <is>
          <t>2026-10-23</t>
        </is>
      </c>
      <c r="K15" t="inlineStr">
        <is>
          <t>high</t>
        </is>
      </c>
      <c r="L15" s="3" t="inlineStr">
        <is>
          <t>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t>
        </is>
      </c>
      <c r="M15" t="inlineStr">
        <is>
          <t>Y</t>
        </is>
      </c>
      <c r="N15" t="n">
        <v>0</v>
      </c>
      <c r="O15" t="inlineStr">
        <is>
          <t>open</t>
        </is>
      </c>
      <c r="P15" t="inlineStr">
        <is>
          <t>unknown</t>
        </is>
      </c>
      <c r="Q15" t="inlineStr"/>
      <c r="R15" t="inlineStr">
        <is>
          <t>1008280001</t>
        </is>
      </c>
      <c r="S15" t="inlineStr"/>
      <c r="T15" s="2" t="inlineStr">
        <is>
          <t>https://commercialobserver.com/2026/03/industrious-leases-110-east-42nd-street/</t>
        </is>
      </c>
      <c r="U15" t="inlineStr">
        <is>
          <t>none found</t>
        </is>
      </c>
      <c r="V15" t="inlineStr">
        <is>
          <t>W-09</t>
        </is>
      </c>
      <c r="W15" t="inlineStr">
        <is>
          <t>2026-10-23</t>
        </is>
      </c>
    </row>
    <row r="16">
      <c r="A16" t="inlineStr">
        <is>
          <t>B-W-015</t>
        </is>
      </c>
      <c r="B16" t="inlineStr">
        <is>
          <t>The Yard</t>
        </is>
      </c>
      <c r="C16" t="inlineStr">
        <is>
          <t>The Yard: Flatiron South</t>
        </is>
      </c>
      <c r="D16" t="inlineStr">
        <is>
          <t>234 Fifth Avenue, 2nd Floor, New York, NY 10001</t>
        </is>
      </c>
      <c r="E16" t="n">
        <v>40.744356</v>
      </c>
      <c r="F16" t="n">
        <v>-73.987771</v>
      </c>
      <c r="G16" t="inlineStr">
        <is>
          <t>operator</t>
        </is>
      </c>
      <c r="H16" s="2" t="inlineStr">
        <is>
          <t>https://theyard.com/flatiron-south-coworking/</t>
        </is>
      </c>
      <c r="I16" s="2" t="inlineStr">
        <is>
          <t>https://theyard.com/the-yard-new-york-city/</t>
        </is>
      </c>
      <c r="J16" t="inlineStr">
        <is>
          <t>2026-10-23</t>
        </is>
      </c>
      <c r="K16" t="inlineStr">
        <is>
          <t>high</t>
        </is>
      </c>
      <c r="L16" s="3" t="inlineStr">
        <is>
          <t>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2: corner lot: the lot-centroid pin sat 14 m from W 27 ST but 45 m from 5 AVE, so it was moved to the 5 AVE frontage near the corner (17 m from the 5 AVE centreline, 27 m from W 27 ST; 31 m from the old pin). Tax lot unchanged.</t>
        </is>
      </c>
      <c r="M16" t="inlineStr">
        <is>
          <t>Y</t>
        </is>
      </c>
      <c r="N16" t="n">
        <v>0</v>
      </c>
      <c r="O16" t="inlineStr">
        <is>
          <t>open</t>
        </is>
      </c>
      <c r="P16" t="inlineStr">
        <is>
          <t>2nd Floor</t>
        </is>
      </c>
      <c r="Q16" t="inlineStr"/>
      <c r="R16" t="inlineStr">
        <is>
          <t>1008290035</t>
        </is>
      </c>
      <c r="S16" t="inlineStr"/>
      <c r="T16" s="2" t="inlineStr">
        <is>
          <t>https://www.deskpass.com/us-en/ny/new-york-city/coworking-space/nomad</t>
        </is>
      </c>
      <c r="U16" t="inlineStr">
        <is>
          <t>named beverage suppliers (Infinity coffee; Harney &amp; Sons tea); no exclusive contract stated</t>
        </is>
      </c>
      <c r="V16" t="inlineStr">
        <is>
          <t>W-13</t>
        </is>
      </c>
      <c r="W16" t="inlineStr">
        <is>
          <t>2026-10-23</t>
        </is>
      </c>
    </row>
    <row r="17">
      <c r="A17" t="inlineStr">
        <is>
          <t>B-W-017</t>
        </is>
      </c>
      <c r="B17" t="inlineStr">
        <is>
          <t>The Malin</t>
        </is>
      </c>
      <c r="C17" t="inlineStr">
        <is>
          <t>The Malin NoMad</t>
        </is>
      </c>
      <c r="D17" t="inlineStr">
        <is>
          <t>387 Park Avenue South, 5th Floor, New York, NY 10016</t>
        </is>
      </c>
      <c r="E17" t="n">
        <v>40.742833</v>
      </c>
      <c r="F17" t="n">
        <v>-73.984174</v>
      </c>
      <c r="G17" t="inlineStr">
        <is>
          <t>operator</t>
        </is>
      </c>
      <c r="H17" s="2" t="inlineStr">
        <is>
          <t>https://api.deskpass.com/api/spaces/the-malin-nomad</t>
        </is>
      </c>
      <c r="I17" s="2" t="inlineStr">
        <is>
          <t>https://commercialobserver.com/2024/11/the-malin-lease-895-broadway</t>
        </is>
      </c>
      <c r="J17" t="inlineStr">
        <is>
          <t>2024-11-18</t>
        </is>
      </c>
      <c r="K17" t="inlineStr">
        <is>
          <t>high</t>
        </is>
      </c>
      <c r="L17" s="3" t="inlineStr">
        <is>
          <t>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t>
        </is>
      </c>
      <c r="M17" t="inlineStr">
        <is>
          <t>Y</t>
        </is>
      </c>
      <c r="N17" t="n">
        <v>0</v>
      </c>
      <c r="O17" t="inlineStr">
        <is>
          <t>open</t>
        </is>
      </c>
      <c r="P17" t="inlineStr">
        <is>
          <t>5th Floor</t>
        </is>
      </c>
      <c r="Q17" t="inlineStr">
        <is>
          <t>B-B-073</t>
        </is>
      </c>
      <c r="R17" t="inlineStr">
        <is>
          <t>1008830001</t>
        </is>
      </c>
      <c r="S17" t="inlineStr"/>
      <c r="T17" s="2" t="inlineStr">
        <is>
          <t>https://api.deskpass.com/api/spaces/the-malin-nomad</t>
        </is>
      </c>
      <c r="U17" t="inlineStr">
        <is>
          <t>none found</t>
        </is>
      </c>
      <c r="V17" t="inlineStr">
        <is>
          <t>W-16</t>
        </is>
      </c>
      <c r="W17" t="inlineStr">
        <is>
          <t>2026-10-23</t>
        </is>
      </c>
    </row>
    <row r="18">
      <c r="A18" t="inlineStr">
        <is>
          <t>B-W-016</t>
        </is>
      </c>
      <c r="B18" t="inlineStr">
        <is>
          <t>Industrious</t>
        </is>
      </c>
      <c r="C18" t="inlineStr">
        <is>
          <t>Industrious 386 Park Ave S</t>
        </is>
      </c>
      <c r="D18" t="inlineStr">
        <is>
          <t>386 Park Avenue South, 18th Floor, New York, NY 10016</t>
        </is>
      </c>
      <c r="E18" t="n">
        <v>40.743003</v>
      </c>
      <c r="F18" t="n">
        <v>-73.98456899999999</v>
      </c>
      <c r="G18" t="inlineStr">
        <is>
          <t>operator</t>
        </is>
      </c>
      <c r="H18" s="2" t="inlineStr">
        <is>
          <t>https://www.industriousoffice.com/locations/386-park-avenue-south-18th-floor-new-york</t>
        </is>
      </c>
      <c r="I18" s="2" t="inlineStr">
        <is>
          <t>https://www.industriousoffice.com/m/new-york-city</t>
        </is>
      </c>
      <c r="J18" t="inlineStr">
        <is>
          <t>2026-10-23</t>
        </is>
      </c>
      <c r="K18" t="inlineStr">
        <is>
          <t>high</t>
        </is>
      </c>
      <c r="L18" s="3" t="inlineStr">
        <is>
          <t>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t>
        </is>
      </c>
      <c r="M18" t="inlineStr">
        <is>
          <t>Y</t>
        </is>
      </c>
      <c r="N18" t="n">
        <v>0</v>
      </c>
      <c r="O18" t="inlineStr">
        <is>
          <t>open</t>
        </is>
      </c>
      <c r="P18" t="inlineStr">
        <is>
          <t>18th Floor</t>
        </is>
      </c>
      <c r="Q18" t="inlineStr">
        <is>
          <t>B-B-072</t>
        </is>
      </c>
      <c r="R18" t="inlineStr">
        <is>
          <t>1008570038</t>
        </is>
      </c>
      <c r="S18" t="inlineStr"/>
      <c r="T18" s="2" t="inlineStr">
        <is>
          <t>https://commercialobserver.com/2026/02/industrious-lease-386-park-avenue-south/</t>
        </is>
      </c>
      <c r="U18" t="inlineStr">
        <is>
          <t>none found</t>
        </is>
      </c>
      <c r="V18" t="inlineStr">
        <is>
          <t>W-11</t>
        </is>
      </c>
      <c r="W18" t="inlineStr">
        <is>
          <t>2026-10-23</t>
        </is>
      </c>
    </row>
    <row r="19">
      <c r="A19" t="inlineStr">
        <is>
          <t>B-W-018</t>
        </is>
      </c>
      <c r="B19" t="inlineStr">
        <is>
          <t>WeWork</t>
        </is>
      </c>
      <c r="C19" t="inlineStr">
        <is>
          <t>WeWork 245 5th Ave</t>
        </is>
      </c>
      <c r="D19" t="inlineStr">
        <is>
          <t>245 Fifth Avenue, New York, NY 10016</t>
        </is>
      </c>
      <c r="E19" t="n">
        <v>40.74441</v>
      </c>
      <c r="F19" t="n">
        <v>-73.987275</v>
      </c>
      <c r="G19" t="inlineStr">
        <is>
          <t>operator</t>
        </is>
      </c>
      <c r="H19" s="2" t="inlineStr">
        <is>
          <t>https://www.wework.com/buildings/245-5th-ave--new-york-city--NY</t>
        </is>
      </c>
      <c r="I19" s="2" t="inlineStr">
        <is>
          <t>https://www.wework.com/buildings/245-5th-ave--new-york-city--NY</t>
        </is>
      </c>
      <c r="J19" t="inlineStr">
        <is>
          <t>2026-10-23</t>
        </is>
      </c>
      <c r="K19" t="inlineStr">
        <is>
          <t>medium</t>
        </is>
      </c>
      <c r="L19" s="3" t="inlineStr">
        <is>
          <t>New location: search snippet of this page read 'Opening Summer 2026!' (2nd, 4th, 5th and 6th floors, 55,090 RSF). Page opened 2026-10-23 shows staffed hours and availability, so probably open; open status unverified, founder to confirm. 'Stocked kitchens: complimentary filtered water, micro-roasted coffee, seltzers and tea'. Fifth Ave at 28th St. Not on WeWork's NYC index as opened 2026-10-24, but a wework.com listing page shows a '4th Floor' office at 245 5th Ave, so it is probably open; founder to confirm. Review round 2: corner lot: the lot-centroid pin sat 24 m from E 28 ST but 34 m from 5 AVE, so it was moved to the 5 AVE frontage near the corner (17 m from the 5 AVE centreline, 26 m from E 28 ST; 17 m from the old pin). Tax lot unchanged.</t>
        </is>
      </c>
      <c r="M19" t="inlineStr">
        <is>
          <t>Y</t>
        </is>
      </c>
      <c r="N19" t="n">
        <v>0</v>
      </c>
      <c r="O19" t="inlineStr">
        <is>
          <t>open-unverified</t>
        </is>
      </c>
      <c r="P19" t="inlineStr">
        <is>
          <t>unknown</t>
        </is>
      </c>
      <c r="Q19" t="inlineStr">
        <is>
          <t>B-B-074</t>
        </is>
      </c>
      <c r="R19" t="inlineStr">
        <is>
          <t>1008570076</t>
        </is>
      </c>
      <c r="S19" t="inlineStr"/>
      <c r="T19" t="inlineStr"/>
      <c r="U19" t="inlineStr">
        <is>
          <t>none found on amenity page</t>
        </is>
      </c>
      <c r="V19" t="inlineStr">
        <is>
          <t>W-05</t>
        </is>
      </c>
      <c r="W19" t="inlineStr">
        <is>
          <t>2026-10-23</t>
        </is>
      </c>
    </row>
    <row r="20">
      <c r="A20" t="inlineStr">
        <is>
          <t>B-W-019</t>
        </is>
      </c>
      <c r="B20" t="inlineStr">
        <is>
          <t>Spaces / Regus (IWG)</t>
        </is>
      </c>
      <c r="C20" t="inlineStr">
        <is>
          <t>Spaces Midtown South (401 Park Avenue South)</t>
        </is>
      </c>
      <c r="D20" t="inlineStr">
        <is>
          <t>401 Park Avenue South, Floors 8-10, New York, NY 10016</t>
        </is>
      </c>
      <c r="E20" t="n">
        <v>40.743042</v>
      </c>
      <c r="F20" t="n">
        <v>-73.98402400000001</v>
      </c>
      <c r="G20" t="inlineStr">
        <is>
          <t>unknown</t>
        </is>
      </c>
      <c r="H20" t="inlineStr"/>
      <c r="I20" s="2" t="inlineStr">
        <is>
          <t>https://old.regus.com/offices/united-states/new-york/new-york-city/office-space/ny-new-york-spaces-midtown-south</t>
        </is>
      </c>
      <c r="J20" t="inlineStr">
        <is>
          <t>2026-10-23</t>
        </is>
      </c>
      <c r="K20" t="inlineStr">
        <is>
          <t>low</t>
        </is>
      </c>
      <c r="L20" s="3" t="inlineStr">
        <is>
          <t>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t>
        </is>
      </c>
      <c r="M20" t="inlineStr">
        <is>
          <t>Y</t>
        </is>
      </c>
      <c r="N20" t="n">
        <v>0</v>
      </c>
      <c r="O20" t="inlineStr">
        <is>
          <t>unverified</t>
        </is>
      </c>
      <c r="P20" t="inlineStr">
        <is>
          <t>Floors 8-10</t>
        </is>
      </c>
      <c r="Q20" t="inlineStr"/>
      <c r="R20" t="inlineStr">
        <is>
          <t>1008830088</t>
        </is>
      </c>
      <c r="S20" t="inlineStr"/>
      <c r="T20" t="inlineStr"/>
      <c r="U20" t="inlineStr">
        <is>
          <t>none found</t>
        </is>
      </c>
      <c r="V20" t="inlineStr">
        <is>
          <t>W-26</t>
        </is>
      </c>
      <c r="W20" t="inlineStr">
        <is>
          <t>2026-10-23</t>
        </is>
      </c>
    </row>
    <row r="21">
      <c r="A21" t="inlineStr">
        <is>
          <t>B-W-020</t>
        </is>
      </c>
      <c r="B21" t="inlineStr">
        <is>
          <t>WeWork</t>
        </is>
      </c>
      <c r="C21" t="inlineStr">
        <is>
          <t>WeWork 27 E 28th St (79 Madison Ave building)</t>
        </is>
      </c>
      <c r="D21" t="inlineStr">
        <is>
          <t>27 East 28th Street, New York, NY 10016</t>
        </is>
      </c>
      <c r="E21" t="n">
        <v>40.744057</v>
      </c>
      <c r="F21" t="n">
        <v>-73.985252</v>
      </c>
      <c r="G21" t="inlineStr">
        <is>
          <t>unknown</t>
        </is>
      </c>
      <c r="H21" s="2" t="inlineStr">
        <is>
          <t>https://liquidspace.com/us/ny/new-york/wework-27-e-28th-st</t>
        </is>
      </c>
      <c r="I21" s="2" t="inlineStr">
        <is>
          <t>https://liquidspace.com/us/ny/new-york/wework-27-e-28th-st</t>
        </is>
      </c>
      <c r="J21" t="inlineStr">
        <is>
          <t>2026-10-24</t>
        </is>
      </c>
      <c r="K21" t="inlineStr">
        <is>
          <t>low</t>
        </is>
      </c>
      <c r="L21" s="3" t="inlineStr">
        <is>
          <t>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t>
        </is>
      </c>
      <c r="M21" t="inlineStr">
        <is>
          <t>Y</t>
        </is>
      </c>
      <c r="N21" t="n">
        <v>0</v>
      </c>
      <c r="O21" t="inlineStr">
        <is>
          <t>possibly-closed</t>
        </is>
      </c>
      <c r="P21" t="inlineStr">
        <is>
          <t>eight floors of 17 (unnamed)</t>
        </is>
      </c>
      <c r="Q21" t="inlineStr">
        <is>
          <t>B-B-076</t>
        </is>
      </c>
      <c r="R21" t="inlineStr">
        <is>
          <t>1008580022</t>
        </is>
      </c>
      <c r="S21" t="inlineStr">
        <is>
          <t>B-C-177</t>
        </is>
      </c>
      <c r="T21" s="2" t="inlineStr">
        <is>
          <t>https://www.builtinnyc.com/company/monte-carlo/offices</t>
        </is>
      </c>
      <c r="U21" t="inlineStr">
        <is>
          <t>none found</t>
        </is>
      </c>
      <c r="V21" t="inlineStr">
        <is>
          <t>W-31</t>
        </is>
      </c>
      <c r="W21" t="inlineStr">
        <is>
          <t>2026-10-24</t>
        </is>
      </c>
    </row>
    <row r="22">
      <c r="A22" t="inlineStr">
        <is>
          <t>B-W-021</t>
        </is>
      </c>
      <c r="B22" t="inlineStr">
        <is>
          <t>Luminary</t>
        </is>
      </c>
      <c r="C22" t="inlineStr">
        <is>
          <t>Luminary</t>
        </is>
      </c>
      <c r="D22" t="inlineStr">
        <is>
          <t>1204 Broadway, 4th Floor, New York, NY 10001</t>
        </is>
      </c>
      <c r="E22" t="n">
        <v>40.746321</v>
      </c>
      <c r="F22" t="n">
        <v>-73.988259</v>
      </c>
      <c r="G22" t="inlineStr">
        <is>
          <t>operator</t>
        </is>
      </c>
      <c r="H22" s="2" t="inlineStr">
        <is>
          <t>https://api.deskpass.com/api/spaces/luminary</t>
        </is>
      </c>
      <c r="I22" s="2" t="inlineStr">
        <is>
          <t>https://www.weareluminary.com/home</t>
        </is>
      </c>
      <c r="J22" t="inlineStr">
        <is>
          <t>2026-10-23</t>
        </is>
      </c>
      <c r="K22" t="inlineStr">
        <is>
          <t>high</t>
        </is>
      </c>
      <c r="L22" s="3" t="inlineStr">
        <is>
          <t>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t>
        </is>
      </c>
      <c r="M22" t="inlineStr">
        <is>
          <t>Y</t>
        </is>
      </c>
      <c r="N22" t="n">
        <v>0</v>
      </c>
      <c r="O22" t="inlineStr">
        <is>
          <t>open</t>
        </is>
      </c>
      <c r="P22" t="inlineStr">
        <is>
          <t>4th Floor</t>
        </is>
      </c>
      <c r="Q22" t="inlineStr"/>
      <c r="R22" t="inlineStr">
        <is>
          <t>1008310019</t>
        </is>
      </c>
      <c r="S22" t="inlineStr"/>
      <c r="T22" s="2" t="inlineStr">
        <is>
          <t>https://api.deskpass.com/api/spaces/luminary</t>
        </is>
      </c>
      <c r="U22" t="inlineStr">
        <is>
          <t>none found</t>
        </is>
      </c>
      <c r="V22" t="inlineStr">
        <is>
          <t>W-21</t>
        </is>
      </c>
      <c r="W22" t="inlineStr">
        <is>
          <t>2026-10-23</t>
        </is>
      </c>
    </row>
    <row r="23">
      <c r="A23" t="inlineStr">
        <is>
          <t>B-W-023</t>
        </is>
      </c>
      <c r="B23" t="inlineStr">
        <is>
          <t>Nomadworks</t>
        </is>
      </c>
      <c r="C23" t="inlineStr">
        <is>
          <t>Nomadworks 1216 Broadway</t>
        </is>
      </c>
      <c r="D23" t="inlineStr">
        <is>
          <t>1216 Broadway, Floor 2, New York, NY 10001</t>
        </is>
      </c>
      <c r="E23" t="n">
        <v>40.746477</v>
      </c>
      <c r="F23" t="n">
        <v>-73.988333</v>
      </c>
      <c r="G23" t="inlineStr">
        <is>
          <t>operator</t>
        </is>
      </c>
      <c r="H23" s="2" t="inlineStr">
        <is>
          <t>https://api.deskpass.com/api/spaces/nomadworks</t>
        </is>
      </c>
      <c r="I23" s="2" t="inlineStr">
        <is>
          <t>https://nomadworks.com/</t>
        </is>
      </c>
      <c r="J23" t="inlineStr">
        <is>
          <t>2026-10-23</t>
        </is>
      </c>
      <c r="K23" t="inlineStr">
        <is>
          <t>high</t>
        </is>
      </c>
      <c r="L23" s="3" t="inlineStr">
        <is>
          <t>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2: corner lot: the lot-centroid pin sat 17 m from W 30 ST but 37 m from BROADWAY, so it was moved to the BROADWAY frontage near the corner (15 m from the BROADWAY centreline, 26 m from W 30 ST; 22 m from the old pin). Tax lot unchanged.</t>
        </is>
      </c>
      <c r="M23" t="inlineStr">
        <is>
          <t>Y</t>
        </is>
      </c>
      <c r="N23" t="n">
        <v>0</v>
      </c>
      <c r="O23" t="inlineStr">
        <is>
          <t>open</t>
        </is>
      </c>
      <c r="P23" t="inlineStr">
        <is>
          <t>Floor 2</t>
        </is>
      </c>
      <c r="Q23" t="inlineStr"/>
      <c r="R23" t="inlineStr">
        <is>
          <t>1008310059</t>
        </is>
      </c>
      <c r="S23" t="inlineStr"/>
      <c r="T23" s="2" t="inlineStr">
        <is>
          <t>https://api.deskpass.com/api/spaces/nomadworks</t>
        </is>
      </c>
      <c r="U23" t="inlineStr">
        <is>
          <t>none found</t>
        </is>
      </c>
      <c r="V23" t="inlineStr">
        <is>
          <t>W-23</t>
        </is>
      </c>
      <c r="W23" t="inlineStr">
        <is>
          <t>2026-10-23</t>
        </is>
      </c>
    </row>
    <row r="24">
      <c r="A24" t="inlineStr">
        <is>
          <t>B-W-022</t>
        </is>
      </c>
      <c r="B24" t="inlineStr">
        <is>
          <t>SaGE Workspace</t>
        </is>
      </c>
      <c r="C24" t="inlineStr">
        <is>
          <t>Sage Workspace</t>
        </is>
      </c>
      <c r="D24" t="inlineStr">
        <is>
          <t>276 Fifth Avenue, Suite 704, New York, NY 10001</t>
        </is>
      </c>
      <c r="E24" t="n">
        <v>40.745792</v>
      </c>
      <c r="F24" t="n">
        <v>-73.986723</v>
      </c>
      <c r="G24" t="inlineStr">
        <is>
          <t>operator</t>
        </is>
      </c>
      <c r="H24" s="2" t="inlineStr">
        <is>
          <t>https://api.deskpass.com/api/spaces/sage-workspace</t>
        </is>
      </c>
      <c r="I24" s="2" t="inlineStr">
        <is>
          <t>https://www.sageworkspace.com/</t>
        </is>
      </c>
      <c r="J24" t="inlineStr">
        <is>
          <t>2026-10-23</t>
        </is>
      </c>
      <c r="K24" t="inlineStr">
        <is>
          <t>high</t>
        </is>
      </c>
      <c r="L24" s="3" t="inlineStr">
        <is>
          <t>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2: corner lot: the lot-centroid pin sat 25 m from W 30 ST but 38 m from 5 AVE, so it was moved to the 5 AVE frontage near the corner (17 m from the 5 AVE centreline, 27 m from W 30 ST; 22 m from the old pin). Tax lot unchanged.</t>
        </is>
      </c>
      <c r="M24" t="inlineStr">
        <is>
          <t>Y</t>
        </is>
      </c>
      <c r="N24" t="n">
        <v>0</v>
      </c>
      <c r="O24" t="inlineStr">
        <is>
          <t>open</t>
        </is>
      </c>
      <c r="P24" t="inlineStr">
        <is>
          <t>Suite 704</t>
        </is>
      </c>
      <c r="Q24" t="inlineStr"/>
      <c r="R24" t="inlineStr">
        <is>
          <t>1008310042</t>
        </is>
      </c>
      <c r="S24" t="inlineStr"/>
      <c r="T24" s="2" t="inlineStr">
        <is>
          <t>https://api.deskpass.com/api/spaces/sage-workspace</t>
        </is>
      </c>
      <c r="U24" t="inlineStr">
        <is>
          <t>none found</t>
        </is>
      </c>
      <c r="V24" t="inlineStr">
        <is>
          <t>W-22</t>
        </is>
      </c>
      <c r="W24" t="inlineStr">
        <is>
          <t>2026-10-23</t>
        </is>
      </c>
    </row>
    <row r="25">
      <c r="A25" t="inlineStr">
        <is>
          <t>B-W-024</t>
        </is>
      </c>
      <c r="B25" t="inlineStr">
        <is>
          <t>WeWork</t>
        </is>
      </c>
      <c r="C25" t="inlineStr">
        <is>
          <t>WeWork 450 Park Ave S</t>
        </is>
      </c>
      <c r="D25" t="inlineStr">
        <is>
          <t>450 Park Avenue South, New York, NY 10016</t>
        </is>
      </c>
      <c r="E25" t="n">
        <v>40.744997</v>
      </c>
      <c r="F25" t="n">
        <v>-73.983237</v>
      </c>
      <c r="G25" t="inlineStr">
        <is>
          <t>operator</t>
        </is>
      </c>
      <c r="H25" s="2" t="inlineStr">
        <is>
          <t>https://www.wework.com/buildings/450-park-ave-s--new-york-city--NY</t>
        </is>
      </c>
      <c r="I25" s="2" t="inlineStr">
        <is>
          <t>https://www.wework.com/buildings/450-park-ave-s--new-york-city--NY</t>
        </is>
      </c>
      <c r="J25" t="inlineStr">
        <is>
          <t>2026-10-23</t>
        </is>
      </c>
      <c r="K25" t="inlineStr">
        <is>
          <t>medium</t>
        </is>
      </c>
      <c r="L25" s="3" t="inlineStr">
        <is>
          <t>Operator page: 'Stocked kitchens: complimentary filtered water, micro-roasted coffee, seltzers and tea'. Beverages only. Park Ave S at 30th-31st St: on the north edge, inside the two-street margin.</t>
        </is>
      </c>
      <c r="M25" t="inlineStr">
        <is>
          <t>Y</t>
        </is>
      </c>
      <c r="N25" t="n">
        <v>0</v>
      </c>
      <c r="O25" t="inlineStr">
        <is>
          <t>open</t>
        </is>
      </c>
      <c r="P25" t="inlineStr">
        <is>
          <t>unknown</t>
        </is>
      </c>
      <c r="Q25" t="inlineStr">
        <is>
          <t>B-B-081</t>
        </is>
      </c>
      <c r="R25" t="inlineStr">
        <is>
          <t>1008600045</t>
        </is>
      </c>
      <c r="S25" t="inlineStr"/>
      <c r="T25" t="inlineStr"/>
      <c r="U25" t="inlineStr">
        <is>
          <t>none found on amenity page</t>
        </is>
      </c>
      <c r="V25" t="inlineStr">
        <is>
          <t>W-04</t>
        </is>
      </c>
      <c r="W25" t="inlineStr">
        <is>
          <t>2026-10-23</t>
        </is>
      </c>
    </row>
    <row r="26">
      <c r="A26" t="inlineStr">
        <is>
          <t>B-W-025</t>
        </is>
      </c>
      <c r="B26" t="inlineStr">
        <is>
          <t>Resident Company Club</t>
        </is>
      </c>
      <c r="C26" t="inlineStr">
        <is>
          <t>Resident Union Square</t>
        </is>
      </c>
      <c r="D26" t="inlineStr">
        <is>
          <t>113 University Place, Floors 4-5, New York, NY 10003</t>
        </is>
      </c>
      <c r="E26" t="n">
        <v>40.734275</v>
      </c>
      <c r="F26" t="n">
        <v>-73.992293</v>
      </c>
      <c r="G26" t="inlineStr">
        <is>
          <t>operator</t>
        </is>
      </c>
      <c r="H26" s="2" t="inlineStr">
        <is>
          <t>https://residentcompanyclub.com/</t>
        </is>
      </c>
      <c r="I26" s="2" t="inlineStr">
        <is>
          <t>https://commercialobserver.com/2025/12/coworking-resident-company-club-lease-113-university-place/</t>
        </is>
      </c>
      <c r="J26" t="inlineStr">
        <is>
          <t>2025-12-04</t>
        </is>
      </c>
      <c r="K26" t="inlineStr">
        <is>
          <t>high</t>
        </is>
      </c>
      <c r="L26" s="3" t="inlineStr">
        <is>
          <t>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likely emerging CPG founders (a brand-side lead source as well as an office).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t>
        </is>
      </c>
      <c r="M26" t="inlineStr">
        <is>
          <t>N</t>
        </is>
      </c>
      <c r="N26" t="n">
        <v>0.4</v>
      </c>
      <c r="O26" t="inlineStr">
        <is>
          <t>open</t>
        </is>
      </c>
      <c r="P26" t="inlineStr">
        <is>
          <t>Floors 4-5</t>
        </is>
      </c>
      <c r="Q26" t="inlineStr"/>
      <c r="R26" t="inlineStr">
        <is>
          <t>1005640007</t>
        </is>
      </c>
      <c r="S26" t="inlineStr"/>
      <c r="T26" s="2" t="inlineStr">
        <is>
          <t>https://residentcompanyclub.com/</t>
        </is>
      </c>
      <c r="U26" t="inlineStr">
        <is>
          <t>meal partner named: 'Factor pre-cooked meals (available for purchase)'; not stated as exclusive</t>
        </is>
      </c>
      <c r="V26" t="inlineStr">
        <is>
          <t>W-20</t>
        </is>
      </c>
      <c r="W26" t="inlineStr">
        <is>
          <t>2026-10-23</t>
        </is>
      </c>
    </row>
    <row r="27">
      <c r="A27" t="inlineStr">
        <is>
          <t>B-W-026</t>
        </is>
      </c>
      <c r="B27" t="inlineStr">
        <is>
          <t>WeWork</t>
        </is>
      </c>
      <c r="C27" t="inlineStr">
        <is>
          <t>WeWork 33 Irving Pl</t>
        </is>
      </c>
      <c r="D27" t="inlineStr">
        <is>
          <t>33 Irving Place, New York, NY 10003</t>
        </is>
      </c>
      <c r="E27" t="n">
        <v>40.735166</v>
      </c>
      <c r="F27" t="n">
        <v>-73.988236</v>
      </c>
      <c r="G27" t="inlineStr">
        <is>
          <t>operator</t>
        </is>
      </c>
      <c r="H27" s="2" t="inlineStr">
        <is>
          <t>https://www.wework.com/buildings/33-irving-pl--new-york-city--NY</t>
        </is>
      </c>
      <c r="I27" s="2" t="inlineStr">
        <is>
          <t>https://www.wework.com/buildings/33-irving-pl--new-york-city--NY</t>
        </is>
      </c>
      <c r="J27" t="inlineStr">
        <is>
          <t>2026-10-23</t>
        </is>
      </c>
      <c r="K27" t="inlineStr">
        <is>
          <t>medium</t>
        </is>
      </c>
      <c r="L27" s="3" t="inlineStr">
        <is>
          <t>Operator page: 'Stocked kitchens: complimentary filtered water, micro-roasted coffee, seltzers and tea'; barista listed as not included. Beverages only. Irving Pl at 15th-16th St, one avenue east of Park Ave S (inside the east margin, not the box).</t>
        </is>
      </c>
      <c r="M27" t="inlineStr">
        <is>
          <t>N</t>
        </is>
      </c>
      <c r="N27" t="n">
        <v>0.9</v>
      </c>
      <c r="O27" t="inlineStr">
        <is>
          <t>open</t>
        </is>
      </c>
      <c r="P27" t="inlineStr">
        <is>
          <t>unknown</t>
        </is>
      </c>
      <c r="Q27" t="inlineStr"/>
      <c r="R27" t="inlineStr">
        <is>
          <t>1008710068</t>
        </is>
      </c>
      <c r="S27" t="inlineStr"/>
      <c r="T27" t="inlineStr"/>
      <c r="U27" t="inlineStr">
        <is>
          <t>none found on amenity page</t>
        </is>
      </c>
      <c r="V27" t="inlineStr">
        <is>
          <t>W-02</t>
        </is>
      </c>
      <c r="W27" t="inlineStr">
        <is>
          <t>2026-10-23</t>
        </is>
      </c>
    </row>
    <row r="28">
      <c r="A28" t="inlineStr">
        <is>
          <t>B-W-027</t>
        </is>
      </c>
      <c r="B28" t="inlineStr">
        <is>
          <t>Industrious</t>
        </is>
      </c>
      <c r="C28" t="inlineStr">
        <is>
          <t>Indy by Industrious Gramercy Park</t>
        </is>
      </c>
      <c r="D28" t="inlineStr">
        <is>
          <t>120 East 23rd Street, 4th Floor, New York, NY 10010</t>
        </is>
      </c>
      <c r="E28" t="n">
        <v>40.739621</v>
      </c>
      <c r="F28" t="n">
        <v>-73.985632</v>
      </c>
      <c r="G28" t="inlineStr">
        <is>
          <t>operator</t>
        </is>
      </c>
      <c r="H28" s="2" t="inlineStr">
        <is>
          <t>https://www.industriousoffice.com/locations/120-east-23rd-street-4th-floor-new-york</t>
        </is>
      </c>
      <c r="I28" s="2" t="inlineStr">
        <is>
          <t>https://www.industriousoffice.com/m/new-york-city</t>
        </is>
      </c>
      <c r="J28" t="inlineStr">
        <is>
          <t>2026-10-23</t>
        </is>
      </c>
      <c r="K28" t="inlineStr">
        <is>
          <t>high</t>
        </is>
      </c>
      <c r="L28" s="3" t="inlineStr">
        <is>
          <t>'Indy'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t>
        </is>
      </c>
      <c r="M28" t="inlineStr">
        <is>
          <t>N</t>
        </is>
      </c>
      <c r="N28" t="n">
        <v>0.3</v>
      </c>
      <c r="O28" t="inlineStr">
        <is>
          <t>open</t>
        </is>
      </c>
      <c r="P28" t="inlineStr">
        <is>
          <t>4th Floor</t>
        </is>
      </c>
      <c r="Q28" t="inlineStr"/>
      <c r="R28" t="inlineStr">
        <is>
          <t>1008780065</t>
        </is>
      </c>
      <c r="S28" t="inlineStr"/>
      <c r="T28" s="2" t="inlineStr">
        <is>
          <t>https://www.deskpass.com/us-en/ny/new-york-city</t>
        </is>
      </c>
      <c r="U28" t="inlineStr">
        <is>
          <t>none found</t>
        </is>
      </c>
      <c r="V28" t="inlineStr">
        <is>
          <t>W-10</t>
        </is>
      </c>
      <c r="W28" t="inlineStr">
        <is>
          <t>2026-10-23</t>
        </is>
      </c>
    </row>
    <row r="29">
      <c r="A29" t="inlineStr">
        <is>
          <t>B-W-028</t>
        </is>
      </c>
      <c r="B29" t="inlineStr">
        <is>
          <t>Resident Company Club</t>
        </is>
      </c>
      <c r="C29" t="inlineStr">
        <is>
          <t>Resident Madison Park (Flatiron)</t>
        </is>
      </c>
      <c r="D29" t="inlineStr">
        <is>
          <t>115 East 23rd Street, Floors 4-5, New York, NY 10010</t>
        </is>
      </c>
      <c r="E29" t="n">
        <v>40.740111</v>
      </c>
      <c r="F29" t="n">
        <v>-73.98545900000001</v>
      </c>
      <c r="G29" t="inlineStr">
        <is>
          <t>operator</t>
        </is>
      </c>
      <c r="H29" s="2" t="inlineStr">
        <is>
          <t>https://residentcompanyclub.com/</t>
        </is>
      </c>
      <c r="I29" s="2" t="inlineStr">
        <is>
          <t>https://residentcompanyclub.com/</t>
        </is>
      </c>
      <c r="J29" t="inlineStr">
        <is>
          <t>2026-10-23</t>
        </is>
      </c>
      <c r="K29" t="inlineStr">
        <is>
          <t>high</t>
        </is>
      </c>
      <c r="L29" s="3" t="inlineStr">
        <is>
          <t>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t>
        </is>
      </c>
      <c r="M29" t="inlineStr">
        <is>
          <t>N</t>
        </is>
      </c>
      <c r="N29" t="n">
        <v>0.1</v>
      </c>
      <c r="O29" t="inlineStr">
        <is>
          <t>open</t>
        </is>
      </c>
      <c r="P29" t="inlineStr">
        <is>
          <t>Floors 4-5</t>
        </is>
      </c>
      <c r="Q29" t="inlineStr"/>
      <c r="R29" t="inlineStr">
        <is>
          <t>1008790009</t>
        </is>
      </c>
      <c r="S29" t="inlineStr"/>
      <c r="T29" s="2" t="inlineStr">
        <is>
          <t>https://commercialobserver.com/2025/12/coworking-resident-company-club-lease-113-university-place/</t>
        </is>
      </c>
      <c r="U29" t="inlineStr">
        <is>
          <t>meal partner named: 'Factor pre-cooked meals (available for purchase)'; not stated as exclusive</t>
        </is>
      </c>
      <c r="V29" t="inlineStr">
        <is>
          <t>W-19</t>
        </is>
      </c>
      <c r="W29" t="inlineStr">
        <is>
          <t>2026-10-23</t>
        </is>
      </c>
    </row>
    <row r="30">
      <c r="A30" t="inlineStr">
        <is>
          <t>B-W-031</t>
        </is>
      </c>
      <c r="B30" t="inlineStr">
        <is>
          <t>Regus (IWG)</t>
        </is>
      </c>
      <c r="C30" t="inlineStr">
        <is>
          <t>Regus 1250 Broadway</t>
        </is>
      </c>
      <c r="D30" t="inlineStr">
        <is>
          <t>1250 Broadway, 36th Floor, New York, NY 10001</t>
        </is>
      </c>
      <c r="E30" t="n">
        <v>40.747741</v>
      </c>
      <c r="F30" t="n">
        <v>-73.988094</v>
      </c>
      <c r="G30" t="inlineStr">
        <is>
          <t>unknown</t>
        </is>
      </c>
      <c r="H30" t="inlineStr"/>
      <c r="I30" s="2" t="inlineStr">
        <is>
          <t>https://old.regus.com/offices/united-states/new-york/new-york-city/office-space/ny-new-york-1250-broadway</t>
        </is>
      </c>
      <c r="J30" t="inlineStr">
        <is>
          <t>2026-10-23</t>
        </is>
      </c>
      <c r="K30" t="inlineStr">
        <is>
          <t>low</t>
        </is>
      </c>
      <c r="L30" s="3" t="inlineStr">
        <is>
          <t>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t>
        </is>
      </c>
      <c r="M30" t="inlineStr">
        <is>
          <t>N</t>
        </is>
      </c>
      <c r="N30" t="n">
        <v>0.8</v>
      </c>
      <c r="O30" t="inlineStr">
        <is>
          <t>unverified</t>
        </is>
      </c>
      <c r="P30" t="inlineStr">
        <is>
          <t>36th Floor</t>
        </is>
      </c>
      <c r="Q30" t="inlineStr"/>
      <c r="R30" t="inlineStr">
        <is>
          <t>1008330011</t>
        </is>
      </c>
      <c r="S30" t="inlineStr"/>
      <c r="T30" t="inlineStr"/>
      <c r="U30" t="inlineStr">
        <is>
          <t>none found</t>
        </is>
      </c>
      <c r="V30" t="inlineStr">
        <is>
          <t>W-28</t>
        </is>
      </c>
      <c r="W30" t="inlineStr">
        <is>
          <t>2026-10-23</t>
        </is>
      </c>
    </row>
    <row r="31">
      <c r="A31" t="inlineStr">
        <is>
          <t>B-W-029</t>
        </is>
      </c>
      <c r="B31" t="inlineStr">
        <is>
          <t>WeWork</t>
        </is>
      </c>
      <c r="C31" t="inlineStr">
        <is>
          <t>WeWork 135 Madison Ave</t>
        </is>
      </c>
      <c r="D31" t="inlineStr">
        <is>
          <t>135 Madison Avenue, New York, NY 10016</t>
        </is>
      </c>
      <c r="E31" t="n">
        <v>40.746008</v>
      </c>
      <c r="F31" t="n">
        <v>-73.98403399999999</v>
      </c>
      <c r="G31" t="inlineStr">
        <is>
          <t>operator</t>
        </is>
      </c>
      <c r="H31" s="2" t="inlineStr">
        <is>
          <t>https://www.wework.com/buildings/135-madison-ave--new-york-city--NY</t>
        </is>
      </c>
      <c r="I31" s="2" t="inlineStr">
        <is>
          <t>https://www.wework.com/buildings/135-madison-ave--new-york-city--NY</t>
        </is>
      </c>
      <c r="J31" t="inlineStr">
        <is>
          <t>2026-10-23</t>
        </is>
      </c>
      <c r="K31" t="inlineStr">
        <is>
          <t>medium</t>
        </is>
      </c>
      <c r="L31" s="3" t="inlineStr">
        <is>
          <t>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t>
        </is>
      </c>
      <c r="M31" t="inlineStr">
        <is>
          <t>N</t>
        </is>
      </c>
      <c r="N31" t="n">
        <v>0.8</v>
      </c>
      <c r="O31" t="inlineStr">
        <is>
          <t>open</t>
        </is>
      </c>
      <c r="P31" t="inlineStr">
        <is>
          <t>unknown</t>
        </is>
      </c>
      <c r="Q31" t="inlineStr"/>
      <c r="R31" t="inlineStr">
        <is>
          <t>1008610022</t>
        </is>
      </c>
      <c r="S31" t="inlineStr"/>
      <c r="T31" t="inlineStr"/>
      <c r="U31" t="inlineStr">
        <is>
          <t>none found on amenity page</t>
        </is>
      </c>
      <c r="V31" t="inlineStr">
        <is>
          <t>W-03</t>
        </is>
      </c>
      <c r="W31" t="inlineStr">
        <is>
          <t>2026-10-23</t>
        </is>
      </c>
    </row>
    <row r="32">
      <c r="A32" t="inlineStr">
        <is>
          <t>B-W-030</t>
        </is>
      </c>
      <c r="B32" t="inlineStr">
        <is>
          <t>Regus (IWG)</t>
        </is>
      </c>
      <c r="C32" t="inlineStr">
        <is>
          <t>Regus 136 Madison Avenue</t>
        </is>
      </c>
      <c r="D32" t="inlineStr">
        <is>
          <t>136 Madison Avenue, 6th Floor, New York, NY 10016</t>
        </is>
      </c>
      <c r="E32" t="n">
        <v>40.746229</v>
      </c>
      <c r="F32" t="n">
        <v>-73.984472</v>
      </c>
      <c r="G32" t="inlineStr">
        <is>
          <t>unknown</t>
        </is>
      </c>
      <c r="H32" t="inlineStr"/>
      <c r="I32" s="2" t="inlineStr">
        <is>
          <t>https://old.regus.com/offices/united-states/new-york/new-york-city/office-space/ny-new-york-city-136-madison-avenue</t>
        </is>
      </c>
      <c r="J32" t="inlineStr">
        <is>
          <t>2026-10-23</t>
        </is>
      </c>
      <c r="K32" t="inlineStr">
        <is>
          <t>low</t>
        </is>
      </c>
      <c r="L32" s="3" t="inlineStr">
        <is>
          <t>Legacy Regus page (opened): 136 Madison Avenue, 6th Floor. A current regus.com page seen only in search results; bot-blocked. Open status unverified, founder to confirm. Madison Ave at 31st St, inside the two-street north margin.</t>
        </is>
      </c>
      <c r="M32" t="inlineStr">
        <is>
          <t>N</t>
        </is>
      </c>
      <c r="N32" t="n">
        <v>0.8</v>
      </c>
      <c r="O32" t="inlineStr">
        <is>
          <t>unverified</t>
        </is>
      </c>
      <c r="P32" t="inlineStr">
        <is>
          <t>6th Floor</t>
        </is>
      </c>
      <c r="Q32" t="inlineStr"/>
      <c r="R32" t="inlineStr">
        <is>
          <t>1008610015</t>
        </is>
      </c>
      <c r="S32" t="inlineStr"/>
      <c r="T32" t="inlineStr"/>
      <c r="U32" t="inlineStr">
        <is>
          <t>none found</t>
        </is>
      </c>
      <c r="V32" t="inlineStr">
        <is>
          <t>W-27</t>
        </is>
      </c>
      <c r="W32" t="inlineStr">
        <is>
          <t>2026-10-23</t>
        </is>
      </c>
    </row>
    <row r="33">
      <c r="A33" t="inlineStr">
        <is>
          <t>B-W-032</t>
        </is>
      </c>
      <c r="B33" t="inlineStr">
        <is>
          <t>Corporate Suites</t>
        </is>
      </c>
      <c r="C33" t="inlineStr">
        <is>
          <t>Corporate Suites Two Park Avenue</t>
        </is>
      </c>
      <c r="D33" t="inlineStr">
        <is>
          <t>2 Park Avenue, 20th Floor, New York, NY 10016</t>
        </is>
      </c>
      <c r="E33" t="n">
        <v>40.746221</v>
      </c>
      <c r="F33" t="n">
        <v>-73.982288</v>
      </c>
      <c r="G33" t="inlineStr">
        <is>
          <t>operator</t>
        </is>
      </c>
      <c r="H33" s="2" t="inlineStr">
        <is>
          <t>https://api.deskpass.com/api/spaces/two-park-avenue-coworking</t>
        </is>
      </c>
      <c r="I33" s="2" t="inlineStr">
        <is>
          <t>https://www.corporatesuites.com/</t>
        </is>
      </c>
      <c r="J33" t="inlineStr">
        <is>
          <t>2026-10-23</t>
        </is>
      </c>
      <c r="K33" t="inlineStr">
        <is>
          <t>high</t>
        </is>
      </c>
      <c r="L33" s="3" t="inlineStr">
        <is>
          <t>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2: corner lot: the lot-centroid pin sat 39 m from E 32 ST but 44 m from PARK AVE, so it was moved to the PARK AVE frontage near the corner (15 m from the PARK AVE centreline, 40 m from E 32 ST; 29 m from the old pin). Tax lot unchanged.</t>
        </is>
      </c>
      <c r="M33" t="inlineStr">
        <is>
          <t>N</t>
        </is>
      </c>
      <c r="N33" t="n">
        <v>2</v>
      </c>
      <c r="O33" t="inlineStr">
        <is>
          <t>open</t>
        </is>
      </c>
      <c r="P33" t="inlineStr">
        <is>
          <t>20th Floor</t>
        </is>
      </c>
      <c r="Q33" t="inlineStr"/>
      <c r="R33" t="inlineStr">
        <is>
          <t>1008620029</t>
        </is>
      </c>
      <c r="S33" t="inlineStr"/>
      <c r="T33" s="2" t="inlineStr">
        <is>
          <t>https://api.deskpass.com/api/spaces/two-park-avenue-coworking</t>
        </is>
      </c>
      <c r="U33" t="inlineStr">
        <is>
          <t>named coffee brand: 'Complimentary Starbucks Coffee'; no exclusive contract stated</t>
        </is>
      </c>
      <c r="V33" t="inlineStr">
        <is>
          <t>W-24</t>
        </is>
      </c>
      <c r="W33" t="inlineStr">
        <is>
          <t>2026-10-23</t>
        </is>
      </c>
    </row>
  </sheetData>
  <autoFilter ref="A1:W33"/>
  <hyperlinks>
    <hyperlink xmlns:r="http://schemas.openxmlformats.org/officeDocument/2006/relationships" ref="H2" r:id="rId1"/>
    <hyperlink xmlns:r="http://schemas.openxmlformats.org/officeDocument/2006/relationships" ref="I2" r:id="rId2"/>
    <hyperlink xmlns:r="http://schemas.openxmlformats.org/officeDocument/2006/relationships" ref="I3" r:id="rId3"/>
    <hyperlink xmlns:r="http://schemas.openxmlformats.org/officeDocument/2006/relationships" ref="H4" r:id="rId4"/>
    <hyperlink xmlns:r="http://schemas.openxmlformats.org/officeDocument/2006/relationships" ref="I4" r:id="rId5"/>
    <hyperlink xmlns:r="http://schemas.openxmlformats.org/officeDocument/2006/relationships" ref="T4" r:id="rId6"/>
    <hyperlink xmlns:r="http://schemas.openxmlformats.org/officeDocument/2006/relationships" ref="H5" r:id="rId7"/>
    <hyperlink xmlns:r="http://schemas.openxmlformats.org/officeDocument/2006/relationships" ref="I5" r:id="rId8"/>
    <hyperlink xmlns:r="http://schemas.openxmlformats.org/officeDocument/2006/relationships" ref="T5" r:id="rId9"/>
    <hyperlink xmlns:r="http://schemas.openxmlformats.org/officeDocument/2006/relationships" ref="H6" r:id="rId10"/>
    <hyperlink xmlns:r="http://schemas.openxmlformats.org/officeDocument/2006/relationships" ref="I6" r:id="rId11"/>
    <hyperlink xmlns:r="http://schemas.openxmlformats.org/officeDocument/2006/relationships" ref="H7" r:id="rId12"/>
    <hyperlink xmlns:r="http://schemas.openxmlformats.org/officeDocument/2006/relationships" ref="I7" r:id="rId13"/>
    <hyperlink xmlns:r="http://schemas.openxmlformats.org/officeDocument/2006/relationships" ref="T7" r:id="rId14"/>
    <hyperlink xmlns:r="http://schemas.openxmlformats.org/officeDocument/2006/relationships" ref="H8" r:id="rId15"/>
    <hyperlink xmlns:r="http://schemas.openxmlformats.org/officeDocument/2006/relationships" ref="I8" r:id="rId16"/>
    <hyperlink xmlns:r="http://schemas.openxmlformats.org/officeDocument/2006/relationships" ref="T8" r:id="rId17"/>
    <hyperlink xmlns:r="http://schemas.openxmlformats.org/officeDocument/2006/relationships" ref="H9" r:id="rId18"/>
    <hyperlink xmlns:r="http://schemas.openxmlformats.org/officeDocument/2006/relationships" ref="I9" r:id="rId19"/>
    <hyperlink xmlns:r="http://schemas.openxmlformats.org/officeDocument/2006/relationships" ref="T9" r:id="rId20"/>
    <hyperlink xmlns:r="http://schemas.openxmlformats.org/officeDocument/2006/relationships" ref="I10" r:id="rId21"/>
    <hyperlink xmlns:r="http://schemas.openxmlformats.org/officeDocument/2006/relationships" ref="T10" r:id="rId22"/>
    <hyperlink xmlns:r="http://schemas.openxmlformats.org/officeDocument/2006/relationships" ref="H11" r:id="rId23"/>
    <hyperlink xmlns:r="http://schemas.openxmlformats.org/officeDocument/2006/relationships" ref="I11" r:id="rId24"/>
    <hyperlink xmlns:r="http://schemas.openxmlformats.org/officeDocument/2006/relationships" ref="T11" r:id="rId25"/>
    <hyperlink xmlns:r="http://schemas.openxmlformats.org/officeDocument/2006/relationships" ref="H12" r:id="rId26"/>
    <hyperlink xmlns:r="http://schemas.openxmlformats.org/officeDocument/2006/relationships" ref="I12" r:id="rId27"/>
    <hyperlink xmlns:r="http://schemas.openxmlformats.org/officeDocument/2006/relationships" ref="T12" r:id="rId28"/>
    <hyperlink xmlns:r="http://schemas.openxmlformats.org/officeDocument/2006/relationships" ref="I13" r:id="rId29"/>
    <hyperlink xmlns:r="http://schemas.openxmlformats.org/officeDocument/2006/relationships" ref="H14" r:id="rId30"/>
    <hyperlink xmlns:r="http://schemas.openxmlformats.org/officeDocument/2006/relationships" ref="I14" r:id="rId31"/>
    <hyperlink xmlns:r="http://schemas.openxmlformats.org/officeDocument/2006/relationships" ref="T14" r:id="rId32"/>
    <hyperlink xmlns:r="http://schemas.openxmlformats.org/officeDocument/2006/relationships" ref="H15" r:id="rId33"/>
    <hyperlink xmlns:r="http://schemas.openxmlformats.org/officeDocument/2006/relationships" ref="I15" r:id="rId34"/>
    <hyperlink xmlns:r="http://schemas.openxmlformats.org/officeDocument/2006/relationships" ref="T15" r:id="rId35"/>
    <hyperlink xmlns:r="http://schemas.openxmlformats.org/officeDocument/2006/relationships" ref="H16" r:id="rId36"/>
    <hyperlink xmlns:r="http://schemas.openxmlformats.org/officeDocument/2006/relationships" ref="I16" r:id="rId37"/>
    <hyperlink xmlns:r="http://schemas.openxmlformats.org/officeDocument/2006/relationships" ref="T16" r:id="rId38"/>
    <hyperlink xmlns:r="http://schemas.openxmlformats.org/officeDocument/2006/relationships" ref="H17" r:id="rId39"/>
    <hyperlink xmlns:r="http://schemas.openxmlformats.org/officeDocument/2006/relationships" ref="I17" r:id="rId40"/>
    <hyperlink xmlns:r="http://schemas.openxmlformats.org/officeDocument/2006/relationships" ref="T17" r:id="rId41"/>
    <hyperlink xmlns:r="http://schemas.openxmlformats.org/officeDocument/2006/relationships" ref="H18" r:id="rId42"/>
    <hyperlink xmlns:r="http://schemas.openxmlformats.org/officeDocument/2006/relationships" ref="I18" r:id="rId43"/>
    <hyperlink xmlns:r="http://schemas.openxmlformats.org/officeDocument/2006/relationships" ref="T18" r:id="rId44"/>
    <hyperlink xmlns:r="http://schemas.openxmlformats.org/officeDocument/2006/relationships" ref="H19" r:id="rId45"/>
    <hyperlink xmlns:r="http://schemas.openxmlformats.org/officeDocument/2006/relationships" ref="I19" r:id="rId46"/>
    <hyperlink xmlns:r="http://schemas.openxmlformats.org/officeDocument/2006/relationships" ref="I20" r:id="rId47"/>
    <hyperlink xmlns:r="http://schemas.openxmlformats.org/officeDocument/2006/relationships" ref="H21" r:id="rId48"/>
    <hyperlink xmlns:r="http://schemas.openxmlformats.org/officeDocument/2006/relationships" ref="I21" r:id="rId49"/>
    <hyperlink xmlns:r="http://schemas.openxmlformats.org/officeDocument/2006/relationships" ref="T21" r:id="rId50"/>
    <hyperlink xmlns:r="http://schemas.openxmlformats.org/officeDocument/2006/relationships" ref="H22" r:id="rId51"/>
    <hyperlink xmlns:r="http://schemas.openxmlformats.org/officeDocument/2006/relationships" ref="I22" r:id="rId52"/>
    <hyperlink xmlns:r="http://schemas.openxmlformats.org/officeDocument/2006/relationships" ref="T22" r:id="rId53"/>
    <hyperlink xmlns:r="http://schemas.openxmlformats.org/officeDocument/2006/relationships" ref="H23" r:id="rId54"/>
    <hyperlink xmlns:r="http://schemas.openxmlformats.org/officeDocument/2006/relationships" ref="I23" r:id="rId55"/>
    <hyperlink xmlns:r="http://schemas.openxmlformats.org/officeDocument/2006/relationships" ref="T23" r:id="rId56"/>
    <hyperlink xmlns:r="http://schemas.openxmlformats.org/officeDocument/2006/relationships" ref="H24" r:id="rId57"/>
    <hyperlink xmlns:r="http://schemas.openxmlformats.org/officeDocument/2006/relationships" ref="I24" r:id="rId58"/>
    <hyperlink xmlns:r="http://schemas.openxmlformats.org/officeDocument/2006/relationships" ref="T24" r:id="rId59"/>
    <hyperlink xmlns:r="http://schemas.openxmlformats.org/officeDocument/2006/relationships" ref="H25" r:id="rId60"/>
    <hyperlink xmlns:r="http://schemas.openxmlformats.org/officeDocument/2006/relationships" ref="I25" r:id="rId61"/>
    <hyperlink xmlns:r="http://schemas.openxmlformats.org/officeDocument/2006/relationships" ref="H26" r:id="rId62"/>
    <hyperlink xmlns:r="http://schemas.openxmlformats.org/officeDocument/2006/relationships" ref="I26" r:id="rId63"/>
    <hyperlink xmlns:r="http://schemas.openxmlformats.org/officeDocument/2006/relationships" ref="T26" r:id="rId64"/>
    <hyperlink xmlns:r="http://schemas.openxmlformats.org/officeDocument/2006/relationships" ref="H27" r:id="rId65"/>
    <hyperlink xmlns:r="http://schemas.openxmlformats.org/officeDocument/2006/relationships" ref="I27" r:id="rId66"/>
    <hyperlink xmlns:r="http://schemas.openxmlformats.org/officeDocument/2006/relationships" ref="H28" r:id="rId67"/>
    <hyperlink xmlns:r="http://schemas.openxmlformats.org/officeDocument/2006/relationships" ref="I28" r:id="rId68"/>
    <hyperlink xmlns:r="http://schemas.openxmlformats.org/officeDocument/2006/relationships" ref="T28" r:id="rId69"/>
    <hyperlink xmlns:r="http://schemas.openxmlformats.org/officeDocument/2006/relationships" ref="H29" r:id="rId70"/>
    <hyperlink xmlns:r="http://schemas.openxmlformats.org/officeDocument/2006/relationships" ref="I29" r:id="rId71"/>
    <hyperlink xmlns:r="http://schemas.openxmlformats.org/officeDocument/2006/relationships" ref="T29" r:id="rId72"/>
    <hyperlink xmlns:r="http://schemas.openxmlformats.org/officeDocument/2006/relationships" ref="I30" r:id="rId73"/>
    <hyperlink xmlns:r="http://schemas.openxmlformats.org/officeDocument/2006/relationships" ref="H31" r:id="rId74"/>
    <hyperlink xmlns:r="http://schemas.openxmlformats.org/officeDocument/2006/relationships" ref="I31" r:id="rId75"/>
    <hyperlink xmlns:r="http://schemas.openxmlformats.org/officeDocument/2006/relationships" ref="I32" r:id="rId76"/>
    <hyperlink xmlns:r="http://schemas.openxmlformats.org/officeDocument/2006/relationships" ref="H33" r:id="rId77"/>
    <hyperlink xmlns:r="http://schemas.openxmlformats.org/officeDocument/2006/relationships" ref="I33" r:id="rId78"/>
    <hyperlink xmlns:r="http://schemas.openxmlformats.org/officeDocument/2006/relationships" ref="T33" r:id="rId7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30" customWidth="1" min="3" max="3"/>
    <col width="12" customWidth="1" min="4" max="4"/>
    <col width="12" customWidth="1" min="5" max="5"/>
    <col width="18" customWidth="1" min="6" max="6"/>
    <col width="17" customWidth="1" min="7" max="7"/>
    <col width="40" customWidth="1" min="8" max="8"/>
    <col width="13" customWidth="1" min="9" max="9"/>
    <col width="14" customWidth="1" min="10" max="10"/>
    <col width="13" customWidth="1" min="11" max="11"/>
    <col width="80" customWidth="1" min="12" max="12"/>
    <col width="16" customWidth="1" min="13" max="13"/>
    <col width="13" customWidth="1" min="14" max="14"/>
    <col width="20" customWidth="1" min="15" max="15"/>
    <col width="21" customWidth="1" min="16" max="16"/>
    <col width="26" customWidth="1" min="17" max="17"/>
    <col width="26" customWidth="1" min="18" max="18"/>
    <col width="26" customWidth="1" min="19" max="19"/>
    <col width="26" customWidth="1" min="20" max="20"/>
    <col width="45" customWidth="1" min="21" max="21"/>
    <col width="25" customWidth="1" min="22" max="22"/>
    <col width="12" customWidth="1" min="23" max="23"/>
    <col width="14" customWidth="1" min="24" max="24"/>
    <col width="13" customWidth="1" min="25" max="25"/>
  </cols>
  <sheetData>
    <row r="1">
      <c r="A1" s="1" t="inlineStr">
        <is>
          <t>retailer_id</t>
        </is>
      </c>
      <c r="B1" s="1" t="inlineStr">
        <is>
          <t>retailer_name</t>
        </is>
      </c>
      <c r="C1" s="1" t="inlineStr">
        <is>
          <t>street_address</t>
        </is>
      </c>
      <c r="D1" s="1" t="inlineStr">
        <is>
          <t>lat</t>
        </is>
      </c>
      <c r="E1" s="1" t="inlineStr">
        <is>
          <t>lon</t>
        </is>
      </c>
      <c r="F1" s="1" t="inlineStr">
        <is>
          <t>inside_boundary</t>
        </is>
      </c>
      <c r="G1" s="1" t="inlineStr">
        <is>
          <t>blocks_outside</t>
        </is>
      </c>
      <c r="H1" s="1" t="inlineStr">
        <is>
          <t>shelf_set</t>
        </is>
      </c>
      <c r="I1" s="1" t="inlineStr">
        <is>
          <t>source_url</t>
        </is>
      </c>
      <c r="J1" s="1" t="inlineStr">
        <is>
          <t>source_date</t>
        </is>
      </c>
      <c r="K1" s="1" t="inlineStr">
        <is>
          <t>confidence</t>
        </is>
      </c>
      <c r="L1" s="1" t="inlineStr">
        <is>
          <t>notes</t>
        </is>
      </c>
      <c r="M1" s="1" t="inlineStr">
        <is>
          <t>buy_path_tier</t>
        </is>
      </c>
      <c r="N1" s="1" t="inlineStr">
        <is>
          <t>public_map</t>
        </is>
      </c>
      <c r="O1" s="1" t="inlineStr">
        <is>
          <t>public_map_reason</t>
        </is>
      </c>
      <c r="P1" s="1" t="inlineStr">
        <is>
          <t>public_description</t>
        </is>
      </c>
      <c r="Q1" s="1" t="inlineStr">
        <is>
          <t>walk_minutes_from_cluster_edge</t>
        </is>
      </c>
      <c r="R1" s="1" t="inlineStr">
        <is>
          <t>candidates_within_5_blocks</t>
        </is>
      </c>
      <c r="S1" s="1" t="inlineStr">
        <is>
          <t>nearest_candidate_building_id</t>
        </is>
      </c>
      <c r="T1" s="1" t="inlineStr">
        <is>
          <t>nearest_candidate_blocks</t>
        </is>
      </c>
      <c r="U1" s="1" t="inlineStr">
        <is>
          <t>emerging_brand_evidence</t>
        </is>
      </c>
      <c r="V1" s="1" t="inlineStr">
        <is>
          <t>operating_evidence_url</t>
        </is>
      </c>
      <c r="W1" s="1" t="inlineStr">
        <is>
          <t>bbl</t>
        </is>
      </c>
      <c r="X1" s="1" t="inlineStr">
        <is>
          <t>research_id</t>
        </is>
      </c>
      <c r="Y1" s="1" t="inlineStr">
        <is>
          <t>found_date</t>
        </is>
      </c>
    </row>
    <row r="2">
      <c r="A2" t="inlineStr">
        <is>
          <t>B-R-001</t>
        </is>
      </c>
      <c r="B2" t="inlineStr">
        <is>
          <t>Eataly NYC Flatiron</t>
        </is>
      </c>
      <c r="C2" t="inlineStr">
        <is>
          <t>200 Fifth Avenue, New York, NY 10010</t>
        </is>
      </c>
      <c r="D2" t="n">
        <v>40.741986</v>
      </c>
      <c r="E2" t="n">
        <v>-73.98947699999999</v>
      </c>
      <c r="F2" t="inlineStr">
        <is>
          <t>Y</t>
        </is>
      </c>
      <c r="G2" t="n">
        <v>0</v>
      </c>
      <c r="H2" t="inlineStr">
        <is>
          <t>Italian specialty market (imported Italian grocery; counters and restaurants)</t>
        </is>
      </c>
      <c r="I2" s="2" t="inlineStr">
        <is>
          <t>https://www.eataly.com/us_en/stores/nyc-flatiron</t>
        </is>
      </c>
      <c r="J2" t="inlineStr">
        <is>
          <t>2026-10-23</t>
        </is>
      </c>
      <c r="K2" t="inlineStr">
        <is>
          <t>high</t>
        </is>
      </c>
      <c r="L2" s="3" t="inlineStr">
        <is>
          <t>Buy-path tier B (specialty, gourmet or natural format; emerging set not yet verified). Store page: 'Daily, 7 AM - 11 PM'. Fifth Ave at 23rd-24th St. A weak buy path for US emerging snack brands unless the brand is Italian or Italian-style. Independent: NYS Agriculture and Markets retail food store licence 628776 ('EATALY', 45,000 sq ft) at this address, dataset updated 2026-10-14 (https://data.ny.gov/resource/9a8c-vfzj.json?license_number=628776). Review round 2: corner lot: the lot-centroid pin sat 36 m from W 24 ST but 53 m from 5 AVE, so it was moved to the 5 AVE frontage near the corner (15 m from the 5 AVE centreline, 37 m from W 24 ST; 38 m from the old pin). Tax lot unchanged.</t>
        </is>
      </c>
      <c r="M2" t="inlineStr">
        <is>
          <t>B</t>
        </is>
      </c>
      <c r="N2" t="inlineStr">
        <is>
          <t>Y</t>
        </is>
      </c>
      <c r="O2" t="inlineStr"/>
      <c r="P2" t="inlineStr">
        <is>
          <t>Italian food market and restaurants</t>
        </is>
      </c>
      <c r="Q2" t="inlineStr">
        <is>
          <t>0</t>
        </is>
      </c>
      <c r="R2" t="n">
        <v>65</v>
      </c>
      <c r="S2" t="inlineStr">
        <is>
          <t>B-B-056</t>
        </is>
      </c>
      <c r="T2" t="n">
        <v>1.5</v>
      </c>
      <c r="U2" t="inlineStr">
        <is>
          <t>none found for US emerging snack brands; assortment is Italian-focused (site sections: grocery, Italian sweets, organic, gluten-free)</t>
        </is>
      </c>
      <c r="V2" s="2" t="inlineStr">
        <is>
          <t>https://www.eataly.com/us_en/stores/nyc-flatiron</t>
        </is>
      </c>
      <c r="W2" t="inlineStr">
        <is>
          <t>1008250031</t>
        </is>
      </c>
      <c r="X2" t="inlineStr">
        <is>
          <t>R-03</t>
        </is>
      </c>
      <c r="Y2" t="inlineStr">
        <is>
          <t>2026-10-23</t>
        </is>
      </c>
    </row>
    <row r="3">
      <c r="A3" t="inlineStr">
        <is>
          <t>B-R-002</t>
        </is>
      </c>
      <c r="B3" t="inlineStr">
        <is>
          <t>Eden Gourmet Marketplace Union Square (formerly Garden of Eden)</t>
        </is>
      </c>
      <c r="C3" t="inlineStr">
        <is>
          <t>7 East 14th Street, New York, NY 10003</t>
        </is>
      </c>
      <c r="D3" t="n">
        <v>40.735814</v>
      </c>
      <c r="E3" t="n">
        <v>-73.992541</v>
      </c>
      <c r="F3" t="inlineStr">
        <is>
          <t>Y</t>
        </is>
      </c>
      <c r="G3" t="n">
        <v>0</v>
      </c>
      <c r="H3" t="inlineStr">
        <is>
          <t>gourmet and specialty grocer ('diverse gourmet products'); emerging set unverified</t>
        </is>
      </c>
      <c r="I3" s="2" t="inlineStr">
        <is>
          <t>https://edengourmet.com/</t>
        </is>
      </c>
      <c r="J3" t="inlineStr">
        <is>
          <t>2026-10-23</t>
        </is>
      </c>
      <c r="K3" t="inlineStr">
        <is>
          <t>low</t>
        </is>
      </c>
      <c r="L3" s="3" t="inlineStr">
        <is>
          <t>Buy-path tier B (specialty, gourmet or natural format; emerging set not yet verified). Site lists 'Union Square Store Address: 7 East 14th Street' and hours of 7am to 9pm, 7 days, (c) 2012-2026. The old gardenofedengourmet.com domain no longer resolves. North side of 14th St between Fifth Ave and University Pl, on the box's south edge. CONFLICT: no NYS Agriculture and Markets food store licence for Eden or Garden of Eden at 7 E 14th St in the dataset updated 2026-10-14 (only a small bakery licence, 'BAKED BY MELISSA', at that number). The Gramercy store is licensed. This store may have closed; founder to confirm on foot before using it.</t>
        </is>
      </c>
      <c r="M3" t="inlineStr">
        <is>
          <t>B</t>
        </is>
      </c>
      <c r="N3" t="inlineStr">
        <is>
          <t>N</t>
        </is>
      </c>
      <c r="O3" t="inlineStr">
        <is>
          <t>Low confidence: the store may have closed; walk it first.</t>
        </is>
      </c>
      <c r="P3" t="inlineStr"/>
      <c r="Q3" t="inlineStr">
        <is>
          <t>0</t>
        </is>
      </c>
      <c r="R3" t="n">
        <v>22</v>
      </c>
      <c r="S3" t="inlineStr">
        <is>
          <t>B-B-004</t>
        </is>
      </c>
      <c r="T3" t="n">
        <v>1.8</v>
      </c>
      <c r="U3" t="inlineStr">
        <is>
          <t>no store-level brand list checked</t>
        </is>
      </c>
      <c r="V3" s="2" t="inlineStr">
        <is>
          <t>https://edengourmet.com/</t>
        </is>
      </c>
      <c r="W3" t="inlineStr">
        <is>
          <t>1008420007</t>
        </is>
      </c>
      <c r="X3" t="inlineStr">
        <is>
          <t>R-14</t>
        </is>
      </c>
      <c r="Y3" t="inlineStr">
        <is>
          <t>2026-10-23</t>
        </is>
      </c>
    </row>
    <row r="4">
      <c r="A4" t="inlineStr">
        <is>
          <t>B-R-003</t>
        </is>
      </c>
      <c r="B4" t="inlineStr">
        <is>
          <t>Fairway Market Chelsea</t>
        </is>
      </c>
      <c r="C4" t="inlineStr">
        <is>
          <t>766 Sixth Avenue, New York, NY 10010</t>
        </is>
      </c>
      <c r="D4" t="n">
        <v>40.744457</v>
      </c>
      <c r="E4" t="n">
        <v>-73.99143100000001</v>
      </c>
      <c r="F4" t="inlineStr">
        <is>
          <t>Y</t>
        </is>
      </c>
      <c r="G4" t="n">
        <v>0</v>
      </c>
      <c r="H4" t="inlineStr">
        <is>
          <t>specialty supermarket (organic produce, specialty cheese and meats); emerging set unverified</t>
        </is>
      </c>
      <c r="I4" s="2" t="inlineStr">
        <is>
          <t>https://www.fairwaymarket.com/</t>
        </is>
      </c>
      <c r="J4" t="inlineStr">
        <is>
          <t>2026-10-23</t>
        </is>
      </c>
      <c r="K4" t="inlineStr">
        <is>
          <t>high</t>
        </is>
      </c>
      <c r="L4" s="3" t="inlineStr">
        <is>
          <t>Buy-path tier B (specialty, gourmet or natural format; emerging set not yet verified). Store record embedded in fairwaymarket.com: 'FAIRWAY MARKET OF CHELSEA', 766 6TH AVENUE, status Active, 'Sunday - Saturday: 7 AM - 9 PM'. Caution: the record's own map pin (40.7503, -74.0014) is far from this address; the row uses the city geocode. The Flatiron NoMad Partnership directory also lists 'Fairway' (https://flatironnomad.nyc/business/fairway/). Sixth Ave at 25th-26th St, on the box's west edge. Independent: NYS Agriculture and Markets retail food store licence 742909 ('FAIRWAY MARKET OF CHELSEA (licensee VSM NY HOLDINGS LLC)', 20,000 sq ft) at this address, dataset updated 2026-10-14 (https://data.ny.gov/resource/9a8c-vfzj.json?license_number=742909). Review round 2: corner lot: the lot-centroid pin sat 35 m from W 26 ST but 42 m from AVE OF THE AMERICAS, so it was moved to the AVE OF THE AMERICAS frontage near the corner (18 m from the AVE OF THE AMERICAS centreline, 35 m from W 26 ST; 24 m from the old pin). Tax lot unchanged.</t>
        </is>
      </c>
      <c r="M4" t="inlineStr">
        <is>
          <t>B</t>
        </is>
      </c>
      <c r="N4" t="inlineStr">
        <is>
          <t>Y</t>
        </is>
      </c>
      <c r="O4" t="inlineStr"/>
      <c r="P4" t="inlineStr">
        <is>
          <t>Specialty supermarket</t>
        </is>
      </c>
      <c r="Q4" t="inlineStr">
        <is>
          <t>0</t>
        </is>
      </c>
      <c r="R4" t="n">
        <v>30</v>
      </c>
      <c r="S4" t="inlineStr">
        <is>
          <t>B-B-054</t>
        </is>
      </c>
      <c r="T4" t="n">
        <v>1.3</v>
      </c>
      <c r="U4" t="inlineStr">
        <is>
          <t>no store-level emerging brand list checked; site categories include Organic and Specialty</t>
        </is>
      </c>
      <c r="V4" s="2" t="inlineStr">
        <is>
          <t>https://www.fairwaymarket.com/</t>
        </is>
      </c>
      <c r="W4" t="inlineStr">
        <is>
          <t>1008270001</t>
        </is>
      </c>
      <c r="X4" t="inlineStr">
        <is>
          <t>R-11</t>
        </is>
      </c>
      <c r="Y4" t="inlineStr">
        <is>
          <t>2026-10-23</t>
        </is>
      </c>
    </row>
    <row r="5">
      <c r="A5" t="inlineStr">
        <is>
          <t>B-R-004</t>
        </is>
      </c>
      <c r="B5" t="inlineStr">
        <is>
          <t>Morton Williams (278 Park Avenue South)</t>
        </is>
      </c>
      <c r="C5" t="inlineStr">
        <is>
          <t>278 Park Avenue South, New York, NY 10010</t>
        </is>
      </c>
      <c r="D5" t="n">
        <v>40.7394</v>
      </c>
      <c r="E5" t="n">
        <v>-73.98719699999999</v>
      </c>
      <c r="F5" t="inlineStr">
        <is>
          <t>Y</t>
        </is>
      </c>
      <c r="G5" t="n">
        <v>0</v>
      </c>
      <c r="H5" t="inlineStr">
        <is>
          <t>conventional supermarket; natural or emerging set unverified</t>
        </is>
      </c>
      <c r="I5" s="2" t="inlineStr">
        <is>
          <t>https://www.mortonwilliams.com/our-locations</t>
        </is>
      </c>
      <c r="J5" t="inlineStr">
        <is>
          <t>2026-10-23</t>
        </is>
      </c>
      <c r="K5" t="inlineStr">
        <is>
          <t>high</t>
        </is>
      </c>
      <c r="L5" s="3" t="inlineStr">
        <is>
          <t>Buy-path tier C (mass, conventional or private label; landmark or weak buy path). Locations page: '278 Park Avenue South (22nd Street)', open 24 hours. The Flatiron NoMad Partnership directory also lists 'Morton Williams Associated Supermarket' (https://flatironnomad.nyc/business/morton-williams-associated-supermarket/). On the box's east edge. Shelf set to be checked on the walk. Independent: NYS Agriculture and Markets retail food store licence 768384 ('MORTON WILLIAMS SUPERMARKET', 9,000 sq ft) at this address, dataset updated 2026-10-14 (https://data.ny.gov/resource/9a8c-vfzj.json?license_number=768384). Review round 2: corner lot: the lot-centroid pin sat 20 m from E 22 ST but 33 m from PARK AVE S, so it was moved to the PARK AVE S frontage near the corner (13 m from the PARK AVE S centreline, 27 m from E 22 ST; 20 m from the old pin). Tax lot unchanged.</t>
        </is>
      </c>
      <c r="M5" t="inlineStr">
        <is>
          <t>C</t>
        </is>
      </c>
      <c r="N5" t="inlineStr">
        <is>
          <t>N</t>
        </is>
      </c>
      <c r="O5" t="inlineStr">
        <is>
          <t>Tier C (mass, conventional or private label): a landmark, not a buy path.</t>
        </is>
      </c>
      <c r="P5" t="inlineStr"/>
      <c r="Q5" t="inlineStr">
        <is>
          <t>0</t>
        </is>
      </c>
      <c r="R5" t="n">
        <v>36</v>
      </c>
      <c r="S5" t="inlineStr">
        <is>
          <t>B-B-044</t>
        </is>
      </c>
      <c r="T5" t="n">
        <v>0.7</v>
      </c>
      <c r="U5" t="inlineStr">
        <is>
          <t>none found</t>
        </is>
      </c>
      <c r="V5" s="2" t="inlineStr">
        <is>
          <t>https://www.mortonwilliams.com/our-locations</t>
        </is>
      </c>
      <c r="W5" t="inlineStr">
        <is>
          <t>1008507503</t>
        </is>
      </c>
      <c r="X5" t="inlineStr">
        <is>
          <t>R-20</t>
        </is>
      </c>
      <c r="Y5" t="inlineStr">
        <is>
          <t>2026-10-23</t>
        </is>
      </c>
    </row>
    <row r="6">
      <c r="A6" t="inlineStr">
        <is>
          <t>B-R-005</t>
        </is>
      </c>
      <c r="B6" t="inlineStr">
        <is>
          <t>Sunac (4 West 18th St)</t>
        </is>
      </c>
      <c r="C6" t="inlineStr">
        <is>
          <t>4 West 18th Street, New York, NY 10011</t>
        </is>
      </c>
      <c r="D6" t="n">
        <v>40.738668</v>
      </c>
      <c r="E6" t="n">
        <v>-73.992664</v>
      </c>
      <c r="F6" t="inlineStr">
        <is>
          <t>Y</t>
        </is>
      </c>
      <c r="G6" t="n">
        <v>0</v>
      </c>
      <c r="H6" t="inlineStr">
        <is>
          <t>neighbourhood market and deli; natural set unverified</t>
        </is>
      </c>
      <c r="I6" s="2" t="inlineStr">
        <is>
          <t>https://data.ny.gov/resource/9a8c-vfzj.json?license_number=730366</t>
        </is>
      </c>
      <c r="J6" t="inlineStr">
        <is>
          <t>2026-10-24</t>
        </is>
      </c>
      <c r="K6" t="inlineStr">
        <is>
          <t>medium</t>
        </is>
      </c>
      <c r="L6" s="3" t="inlineStr">
        <is>
          <t>Buy-path tier B (specialty, gourmet or natural format; emerging set not yet verified). NYS Agriculture and Markets licence 730366 ('SUNAC', licensee PC4WEST INC), dataset updated 2026-10-14. No operator page found for this store. 18th St just west of Fifth Ave, in the middle of the Flatiron office blocks.</t>
        </is>
      </c>
      <c r="M6" t="inlineStr">
        <is>
          <t>B</t>
        </is>
      </c>
      <c r="N6" t="inlineStr">
        <is>
          <t>N</t>
        </is>
      </c>
      <c r="O6" t="inlineStr">
        <is>
          <t>Neighbourhood deli-market format with no natural set confirmed, so private map only.</t>
        </is>
      </c>
      <c r="P6" t="inlineStr"/>
      <c r="Q6" t="inlineStr">
        <is>
          <t>0</t>
        </is>
      </c>
      <c r="R6" t="n">
        <v>42</v>
      </c>
      <c r="S6" t="inlineStr">
        <is>
          <t>B-B-015</t>
        </is>
      </c>
      <c r="T6" t="n">
        <v>0.3</v>
      </c>
      <c r="U6" t="inlineStr">
        <is>
          <t>none found</t>
        </is>
      </c>
      <c r="V6" s="2" t="inlineStr">
        <is>
          <t>https://data.ny.gov/resource/9a8c-vfzj.json?license_number=730366</t>
        </is>
      </c>
      <c r="W6" t="inlineStr">
        <is>
          <t>1008190049</t>
        </is>
      </c>
      <c r="X6" t="inlineStr">
        <is>
          <t>R-27</t>
        </is>
      </c>
      <c r="Y6" t="inlineStr">
        <is>
          <t>2026-10-24</t>
        </is>
      </c>
    </row>
    <row r="7">
      <c r="A7" t="inlineStr">
        <is>
          <t>B-R-006</t>
        </is>
      </c>
      <c r="B7" t="inlineStr">
        <is>
          <t>Sunac (765 Sixth Ave)</t>
        </is>
      </c>
      <c r="C7" t="inlineStr">
        <is>
          <t>765 Sixth Avenue, New York, NY 10010</t>
        </is>
      </c>
      <c r="D7" t="n">
        <v>40.744664</v>
      </c>
      <c r="E7" t="n">
        <v>-73.991882</v>
      </c>
      <c r="F7" t="inlineStr">
        <is>
          <t>Y</t>
        </is>
      </c>
      <c r="G7" t="n">
        <v>0</v>
      </c>
      <c r="H7" t="inlineStr">
        <is>
          <t>neighbourhood market and deli; natural set unverified</t>
        </is>
      </c>
      <c r="I7" s="2" t="inlineStr">
        <is>
          <t>https://data.ny.gov/resource/9a8c-vfzj.json?license_number=628556</t>
        </is>
      </c>
      <c r="J7" t="inlineStr">
        <is>
          <t>2026-10-24</t>
        </is>
      </c>
      <c r="K7" t="inlineStr">
        <is>
          <t>medium</t>
        </is>
      </c>
      <c r="L7" s="3" t="inlineStr">
        <is>
          <t>Buy-path tier B (specialty, gourmet or natural format; emerging set not yet verified). NYS Agriculture and Markets licence 628556 ('SUNAC', licensee 765 SIXTH AVENUE MARKET INC, 4,000 sq ft), dataset updated 2026-10-14. The sunacnatural.com site describes a separate store at 600 W 42nd St ('finest selection of natural foods'); whether this store shares that format is unverified. West side of Sixth Ave at 25th-26th St, across the avenue from Fairway (R-11).</t>
        </is>
      </c>
      <c r="M7" t="inlineStr">
        <is>
          <t>B</t>
        </is>
      </c>
      <c r="N7" t="inlineStr">
        <is>
          <t>N</t>
        </is>
      </c>
      <c r="O7" t="inlineStr">
        <is>
          <t>Neighbourhood deli-market format with no natural set confirmed, so private map only.</t>
        </is>
      </c>
      <c r="P7" t="inlineStr"/>
      <c r="Q7" t="inlineStr">
        <is>
          <t>0</t>
        </is>
      </c>
      <c r="R7" t="n">
        <v>28</v>
      </c>
      <c r="S7" t="inlineStr">
        <is>
          <t>B-B-054</t>
        </is>
      </c>
      <c r="T7" t="n">
        <v>1.6</v>
      </c>
      <c r="U7" t="inlineStr">
        <is>
          <t>none found</t>
        </is>
      </c>
      <c r="V7" s="2" t="inlineStr">
        <is>
          <t>https://data.ny.gov/resource/9a8c-vfzj.json?license_number=628556</t>
        </is>
      </c>
      <c r="W7" t="inlineStr">
        <is>
          <t>1008010041</t>
        </is>
      </c>
      <c r="X7" t="inlineStr">
        <is>
          <t>R-26</t>
        </is>
      </c>
      <c r="Y7" t="inlineStr">
        <is>
          <t>2026-10-24</t>
        </is>
      </c>
    </row>
    <row r="8">
      <c r="A8" t="inlineStr">
        <is>
          <t>B-R-007</t>
        </is>
      </c>
      <c r="B8" t="inlineStr">
        <is>
          <t>Target Manhattan Union Square</t>
        </is>
      </c>
      <c r="C8" t="inlineStr">
        <is>
          <t>10 Union Square East, New York, NY 10003</t>
        </is>
      </c>
      <c r="D8" t="n">
        <v>40.734642</v>
      </c>
      <c r="E8" t="n">
        <v>-73.98975299999999</v>
      </c>
      <c r="F8" t="inlineStr">
        <is>
          <t>Y</t>
        </is>
      </c>
      <c r="G8" t="n">
        <v>0</v>
      </c>
      <c r="H8" t="inlineStr">
        <is>
          <t>mass merchant grocery (national brands and Target private label); emerging set unverified</t>
        </is>
      </c>
      <c r="I8" s="2" t="inlineStr">
        <is>
          <t>https://www.target.com/sl/manhattan-union-square/3380</t>
        </is>
      </c>
      <c r="J8" t="inlineStr">
        <is>
          <t>2026-10-23</t>
        </is>
      </c>
      <c r="K8" t="inlineStr">
        <is>
          <t>high</t>
        </is>
      </c>
      <c r="L8" s="3" t="inlineStr">
        <is>
          <t>Buy-path tier C (mass, conventional or private label; landmark or weak buy path). Store page shows hours 8am to 11pm for 23-25 Oct and a CVS pharmacy inside. Union Square East at 15th St, on the box's east edge. Independent: NYS Agriculture and Markets retail food store licence 757300 ('TARGET STORE T-3380', 33,000 sq ft) at this address, dataset updated 2026-10-14 (https://data.ny.gov/resource/9a8c-vfzj.json?license_number=757300). Review round 2: corner lot: the lot-centroid pin sat 36 m from E 15 ST but 64 m from UNION SQ E, so it was moved to the UNION SQ E frontage near the corner (14 m from the UNION SQ E centreline, 63 m from E 15 ST; 50 m from the old pin). Tax lot unchanged.</t>
        </is>
      </c>
      <c r="M8" t="inlineStr">
        <is>
          <t>C</t>
        </is>
      </c>
      <c r="N8" t="inlineStr">
        <is>
          <t>N</t>
        </is>
      </c>
      <c r="O8" t="inlineStr">
        <is>
          <t>Tier C (mass, conventional or private label): a landmark, not a buy path.</t>
        </is>
      </c>
      <c r="P8" t="inlineStr"/>
      <c r="Q8" t="inlineStr">
        <is>
          <t>0</t>
        </is>
      </c>
      <c r="R8" t="n">
        <v>20</v>
      </c>
      <c r="S8" t="inlineStr">
        <is>
          <t>B-B-001</t>
        </is>
      </c>
      <c r="T8" t="n">
        <v>2</v>
      </c>
      <c r="U8" t="inlineStr">
        <is>
          <t>no store-level evidence checked; any brand claim needs the brand's locator or Target's store-availability page</t>
        </is>
      </c>
      <c r="V8" s="2" t="inlineStr">
        <is>
          <t>https://www.target.com/sl/manhattan-union-square/3380</t>
        </is>
      </c>
      <c r="W8" t="inlineStr">
        <is>
          <t>1008707501</t>
        </is>
      </c>
      <c r="X8" t="inlineStr">
        <is>
          <t>R-07</t>
        </is>
      </c>
      <c r="Y8" t="inlineStr">
        <is>
          <t>2026-10-23</t>
        </is>
      </c>
    </row>
    <row r="9">
      <c r="A9" t="inlineStr">
        <is>
          <t>B-R-008</t>
        </is>
      </c>
      <c r="B9" t="inlineStr">
        <is>
          <t>Trader Joe's Chelsea (store 543)</t>
        </is>
      </c>
      <c r="C9" t="inlineStr">
        <is>
          <t>675 Sixth Avenue, New York, NY 10010</t>
        </is>
      </c>
      <c r="D9" t="n">
        <v>40.742014</v>
      </c>
      <c r="E9" t="n">
        <v>-73.99370500000001</v>
      </c>
      <c r="F9" t="inlineStr">
        <is>
          <t>Y</t>
        </is>
      </c>
      <c r="G9" t="n">
        <v>0</v>
      </c>
      <c r="H9" t="inlineStr">
        <is>
          <t>mostly private label</t>
        </is>
      </c>
      <c r="I9" s="2" t="inlineStr">
        <is>
          <t>https://locations.traderjoes.com/ny/new-york/</t>
        </is>
      </c>
      <c r="J9" t="inlineStr">
        <is>
          <t>2026-10-23</t>
        </is>
      </c>
      <c r="K9" t="inlineStr">
        <is>
          <t>high</t>
        </is>
      </c>
      <c r="L9" s="3" t="inlineStr">
        <is>
          <t>Buy-path tier C (mass, conventional or private label; landmark or weak buy path). Listed on Trader Joe's NYC locations page. West side of Sixth Ave at 21st-22nd St, on the box's west edge. Landmark only, not a buy path for third-party brands. Independent: NYS Agriculture and Markets retail food store licence 628738 ('TRADER JOES #543', 21,000 sq ft) at this address, dataset updated 2026-10-14 (https://data.ny.gov/resource/9a8c-vfzj.json?license_number=628738).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M9" t="inlineStr">
        <is>
          <t>C</t>
        </is>
      </c>
      <c r="N9" t="inlineStr">
        <is>
          <t>N</t>
        </is>
      </c>
      <c r="O9" t="inlineStr">
        <is>
          <t>Tier C (mass, conventional or private label): a landmark, not a buy path.</t>
        </is>
      </c>
      <c r="P9" t="inlineStr"/>
      <c r="Q9" t="inlineStr">
        <is>
          <t>0</t>
        </is>
      </c>
      <c r="R9" t="n">
        <v>37</v>
      </c>
      <c r="S9" t="inlineStr">
        <is>
          <t>B-B-038</t>
        </is>
      </c>
      <c r="T9" t="n">
        <v>0</v>
      </c>
      <c r="U9" t="inlineStr">
        <is>
          <t>Assumption: Trader Joe's is mostly private label (not sourced); confirm on the walk.</t>
        </is>
      </c>
      <c r="V9" s="2" t="inlineStr">
        <is>
          <t>https://locations.traderjoes.com/ny/new-york/</t>
        </is>
      </c>
      <c r="W9" t="inlineStr">
        <is>
          <t>1007970037</t>
        </is>
      </c>
      <c r="X9" t="inlineStr">
        <is>
          <t>R-22</t>
        </is>
      </c>
      <c r="Y9" t="inlineStr">
        <is>
          <t>2026-10-23</t>
        </is>
      </c>
    </row>
    <row r="10">
      <c r="A10" t="inlineStr">
        <is>
          <t>B-R-009</t>
        </is>
      </c>
      <c r="B10" t="inlineStr">
        <is>
          <t>Trader Joe's Union Square (store 540)</t>
        </is>
      </c>
      <c r="C10" t="inlineStr">
        <is>
          <t>142 East 14th Street, New York, NY 10003</t>
        </is>
      </c>
      <c r="D10" t="n">
        <v>40.73344</v>
      </c>
      <c r="E10" t="n">
        <v>-73.988123</v>
      </c>
      <c r="F10" t="inlineStr">
        <is>
          <t>Y</t>
        </is>
      </c>
      <c r="G10" t="n">
        <v>0</v>
      </c>
      <c r="H10" t="inlineStr">
        <is>
          <t>mostly private label</t>
        </is>
      </c>
      <c r="I10" s="2" t="inlineStr">
        <is>
          <t>https://locations.traderjoes.com/ny/new-york/</t>
        </is>
      </c>
      <c r="J10" t="inlineStr">
        <is>
          <t>2026-10-23</t>
        </is>
      </c>
      <c r="K10" t="inlineStr">
        <is>
          <t>high</t>
        </is>
      </c>
      <c r="L10" s="3" t="inlineStr">
        <is>
          <t>Buy-path tier C (mass, conventional or private label; landmark or weak buy path). Listed on Trader Joe's NYC locations page with store number and phone. On 14th St east of Park Ave S (between Irving Pl and Third Ave), inside the boundary's Union Square frame (University Pl to Third Ave, 13th to 15th St). Useful only as a landmark, not as a buy path for third-party brands. Independent: NYS Agriculture and Markets retail food store licence 626894 ('TRADER JOES #540', 10,000 sq ft) at this address, dataset updated 2026-10-14 (https://data.ny.gov/resource/9a8c-vfzj.json?license_number=626894). Pin moved to frontage at review round 1: the lot-centroid pin failed the block-face test (39 m from E 14 ST but 48 m from E 13 ST); pin moved to frontage: the lot's position along E 14 ST kept, set 25 m from the centreline on the side CSCL gives house number 142 (14 m from the old pin). Tax lot unchanged. New pin: 25 m from E 14 ST, 62 m from E 13 ST.</t>
        </is>
      </c>
      <c r="M10" t="inlineStr">
        <is>
          <t>C</t>
        </is>
      </c>
      <c r="N10" t="inlineStr">
        <is>
          <t>N</t>
        </is>
      </c>
      <c r="O10" t="inlineStr">
        <is>
          <t>Tier C (mass, conventional or private label): a landmark, not a buy path.</t>
        </is>
      </c>
      <c r="P10" t="inlineStr"/>
      <c r="Q10" t="inlineStr">
        <is>
          <t>0</t>
        </is>
      </c>
      <c r="R10" t="n">
        <v>9</v>
      </c>
      <c r="S10" t="inlineStr">
        <is>
          <t>B-B-002</t>
        </is>
      </c>
      <c r="T10" t="n">
        <v>0.8</v>
      </c>
      <c r="U10" t="inlineStr">
        <is>
          <t>Assumption: Trader Joe's is mostly private label (not sourced); confirm on the walk.</t>
        </is>
      </c>
      <c r="V10" s="2" t="inlineStr">
        <is>
          <t>https://locations.traderjoes.com/ny/new-york/</t>
        </is>
      </c>
      <c r="W10" t="inlineStr">
        <is>
          <t>1005590022</t>
        </is>
      </c>
      <c r="X10" t="inlineStr">
        <is>
          <t>R-02</t>
        </is>
      </c>
      <c r="Y10" t="inlineStr">
        <is>
          <t>2026-10-23</t>
        </is>
      </c>
    </row>
    <row r="11">
      <c r="A11" t="inlineStr">
        <is>
          <t>B-R-010</t>
        </is>
      </c>
      <c r="B11" t="inlineStr">
        <is>
          <t>Whole Foods Market NoMad</t>
        </is>
      </c>
      <c r="C11" t="inlineStr">
        <is>
          <t>63 Madison Avenue, New York, NY 10016</t>
        </is>
      </c>
      <c r="D11" t="n">
        <v>40.743448</v>
      </c>
      <c r="E11" t="n">
        <v>-73.98579100000001</v>
      </c>
      <c r="F11" t="inlineStr">
        <is>
          <t>Y</t>
        </is>
      </c>
      <c r="G11" t="n">
        <v>0</v>
      </c>
      <c r="H11" t="inlineStr">
        <is>
          <t>natural and organic supermarket; local and emerging set</t>
        </is>
      </c>
      <c r="I11" s="2" t="inlineStr">
        <is>
          <t>https://www.wholefoodsmarket.com/stores/nomad</t>
        </is>
      </c>
      <c r="J11" t="inlineStr">
        <is>
          <t>2026-10-23</t>
        </is>
      </c>
      <c r="K11" t="inlineStr">
        <is>
          <t>high</t>
        </is>
      </c>
      <c r="L11" s="3" t="inlineStr">
        <is>
          <t>Buy-path tier A (documented natural, local or emerging set). Store page lists 7 am to 10 pm daily. Independent: the Flatiron NoMad Partnership directory lists 'Whole Foods' under grocery stores (https://flatironnomad.nyc/business/whole-foods-coming-soon/; the URL slug still says coming soon). Madison Ave at 27th St, in the centre of the box: the closest major emerging-brand shelf to most NoMad offices. Independent: NYS Agriculture and Markets retail food store licence 751686 ('WHOLE FOODS MARKET') at this address, dataset updated 2026-10-14 (https://data.ny.gov/resource/9a8c-vfzj.json?license_number=751686). Pin set at review round 1 from the store's own published coordinate (wholefoodsmarket.com/stores/nomad structured data, opened 2026-10-24), 65 m from the geocode; that point sits 7 m from the MADISON AVE centreline on the wrong side, so it was moved across to the address side (pin moved to frontage: the lot's position along MADISON AVE kept, set 24 m from the centreline on the side CSCL gives house number 63 (30 m from the old pin)).</t>
        </is>
      </c>
      <c r="M11" t="inlineStr">
        <is>
          <t>A</t>
        </is>
      </c>
      <c r="N11" t="inlineStr">
        <is>
          <t>Y</t>
        </is>
      </c>
      <c r="O11" t="inlineStr"/>
      <c r="P11" t="inlineStr">
        <is>
          <t>Natural and organic supermarket</t>
        </is>
      </c>
      <c r="Q11" t="inlineStr">
        <is>
          <t>0</t>
        </is>
      </c>
      <c r="R11" t="n">
        <v>54</v>
      </c>
      <c r="S11" t="inlineStr">
        <is>
          <t>B-B-066</t>
        </is>
      </c>
      <c r="T11" t="n">
        <v>0.9</v>
      </c>
      <c r="U11" t="inlineStr">
        <is>
          <t>Store page: 'local products from makers near you'; in-store Cafe Grumpy coffee bar and a 'NoMad 63' bar with local beer. Chain-level Local and Emerging Accelerator Program (2026 release).</t>
        </is>
      </c>
      <c r="V11" s="2" t="inlineStr">
        <is>
          <t>https://www.wholefoodsmarket.com/stores/nomad</t>
        </is>
      </c>
      <c r="W11" t="inlineStr">
        <is>
          <t>1008570024</t>
        </is>
      </c>
      <c r="X11" t="inlineStr">
        <is>
          <t>R-04</t>
        </is>
      </c>
      <c r="Y11" t="inlineStr">
        <is>
          <t>2026-10-23</t>
        </is>
      </c>
    </row>
    <row r="12">
      <c r="A12" t="inlineStr">
        <is>
          <t>B-R-011</t>
        </is>
      </c>
      <c r="B12" t="inlineStr">
        <is>
          <t>Whole Foods Market Union Square</t>
        </is>
      </c>
      <c r="C12" t="inlineStr">
        <is>
          <t>4 Union Square South, New York, NY 10003</t>
        </is>
      </c>
      <c r="D12" t="n">
        <v>40.734732</v>
      </c>
      <c r="E12" t="n">
        <v>-73.990892</v>
      </c>
      <c r="F12" t="inlineStr">
        <is>
          <t>Y</t>
        </is>
      </c>
      <c r="G12" t="n">
        <v>0</v>
      </c>
      <c r="H12" t="inlineStr">
        <is>
          <t>natural and organic supermarket; local and emerging set</t>
        </is>
      </c>
      <c r="I12" s="2" t="inlineStr">
        <is>
          <t>https://www.wholefoodsmarket.com/stores/unionsquare</t>
        </is>
      </c>
      <c r="J12" t="inlineStr">
        <is>
          <t>2026-10-23</t>
        </is>
      </c>
      <c r="K12" t="inlineStr">
        <is>
          <t>high</t>
        </is>
      </c>
      <c r="L12" s="3" t="inlineStr">
        <is>
          <t>Buy-path tier A (documented natural, local or emerging set). Store page lists hours of 7 am to 10 pm daily and Amazon returns and pickup. On Union Square South (14th St), the box's south edge. Plan anchor retailer. Independent: NYS Agriculture and Markets retail food store licence 625900 ('WHOLE FOOD MARKET 10162', 26,000 sq ft) at this address, dataset updated 2026-10-14 (https://data.ny.gov/resource/9a8c-vfzj.json?license_number=625900). Pin set at review round 1 to the store's own published coordinate (wholefoodsmarket.com/stores/unionsquare structured data, opened 2026-10-24), 55 m from the geocode.</t>
        </is>
      </c>
      <c r="M12" t="inlineStr">
        <is>
          <t>A</t>
        </is>
      </c>
      <c r="N12" t="inlineStr">
        <is>
          <t>Y</t>
        </is>
      </c>
      <c r="O12" t="inlineStr"/>
      <c r="P12" t="inlineStr">
        <is>
          <t>Natural and organic supermarket</t>
        </is>
      </c>
      <c r="Q12" t="inlineStr">
        <is>
          <t>0</t>
        </is>
      </c>
      <c r="R12" t="n">
        <v>23</v>
      </c>
      <c r="S12" t="inlineStr">
        <is>
          <t>B-B-001</t>
        </is>
      </c>
      <c r="T12" t="n">
        <v>0.9</v>
      </c>
      <c r="U12" t="inlineStr">
        <is>
          <t>Store page: team helps you pick 'local products from makers near you'. Chain-level: Whole Foods runs a Local and Emerging Accelerator Program (2026 applications release: https://www.wholefoodsmarket.com/company-info/newsroom/news-releases/2026-local-and-emerging-accelerator-program). No store-level brand list checked.</t>
        </is>
      </c>
      <c r="V12" s="2" t="inlineStr">
        <is>
          <t>https://www.wholefoodsmarket.com/stores/unionsquare</t>
        </is>
      </c>
      <c r="W12" t="inlineStr">
        <is>
          <t>1005650011</t>
        </is>
      </c>
      <c r="X12" t="inlineStr">
        <is>
          <t>R-01</t>
        </is>
      </c>
      <c r="Y12" t="inlineStr">
        <is>
          <t>2026-10-23</t>
        </is>
      </c>
    </row>
    <row r="13">
      <c r="A13" t="inlineStr">
        <is>
          <t>B-R-012</t>
        </is>
      </c>
      <c r="B13" t="inlineStr">
        <is>
          <t>Merci Market Union Square</t>
        </is>
      </c>
      <c r="C13" t="inlineStr">
        <is>
          <t>59 Fifth Avenue, New York, NY 10003</t>
        </is>
      </c>
      <c r="D13" t="n">
        <v>40.735041</v>
      </c>
      <c r="E13" t="n">
        <v>-73.99410399999999</v>
      </c>
      <c r="F13" t="inlineStr">
        <is>
          <t>N</t>
        </is>
      </c>
      <c r="G13" t="n">
        <v>1</v>
      </c>
      <c r="H13" t="inlineStr">
        <is>
          <t>upscale deli and grocery ('more than a deli'; pantry staples); emerging set unverified</t>
        </is>
      </c>
      <c r="I13" s="2" t="inlineStr">
        <is>
          <t>https://mercimarketnyc.com/</t>
        </is>
      </c>
      <c r="J13" t="inlineStr">
        <is>
          <t>2026-10-24</t>
        </is>
      </c>
      <c r="K13" t="inlineStr">
        <is>
          <t>high</t>
        </is>
      </c>
      <c r="L13" s="3" t="inlineStr">
        <is>
          <t>Buy-path tier B (specialty, gourmet or natural format; emerging set not yet verified). Operator site, (c) 2026, lists 'Merci Market Union Square, 59 5th Ave' among six Manhattan stores (also 45 University Pl, 168 7th Ave, 136 E 34th St). Independent: NYS Agriculture and Markets licence 723261 ('MERCI MARKET', 50,000 sq ft as filed), dataset updated 2026-10-14 (https://data.ny.gov/resource/9a8c-vfzj.json?license_number=723261). Fifth Ave at 12th-13th St, one block south of the box. Review round 2: corner lot: the lot-centroid pin sat 22 m from E 13 ST but 27 m from 5 AVE, so it was moved to the 5 AVE frontage near the corner (16 m from the 5 AVE centreline, 27 m from E 13 ST; 12 m from the old pin). Tax lot unchanged.</t>
        </is>
      </c>
      <c r="M13" t="inlineStr">
        <is>
          <t>B</t>
        </is>
      </c>
      <c r="N13" t="inlineStr">
        <is>
          <t>N</t>
        </is>
      </c>
      <c r="O13" t="inlineStr">
        <is>
          <t>Deli-and-grocery format with no natural or emerging set confirmed, the same reason the Sunac delis are left off: private map only until walked.</t>
        </is>
      </c>
      <c r="P13" t="inlineStr"/>
      <c r="Q13" t="inlineStr">
        <is>
          <t>1</t>
        </is>
      </c>
      <c r="R13" t="n">
        <v>17</v>
      </c>
      <c r="S13" t="inlineStr">
        <is>
          <t>B-B-004</t>
        </is>
      </c>
      <c r="T13" t="n">
        <v>2.2</v>
      </c>
      <c r="U13" t="inlineStr">
        <is>
          <t>none found</t>
        </is>
      </c>
      <c r="V13" s="2" t="inlineStr">
        <is>
          <t>https://mercimarketnyc.com/</t>
        </is>
      </c>
      <c r="W13" t="inlineStr">
        <is>
          <t>1005700006</t>
        </is>
      </c>
      <c r="X13" t="inlineStr">
        <is>
          <t>R-24</t>
        </is>
      </c>
      <c r="Y13" t="inlineStr">
        <is>
          <t>2026-10-24</t>
        </is>
      </c>
    </row>
    <row r="14">
      <c r="A14" t="inlineStr">
        <is>
          <t>B-R-015</t>
        </is>
      </c>
      <c r="B14" t="inlineStr">
        <is>
          <t>New Foods of India</t>
        </is>
      </c>
      <c r="C14" t="inlineStr">
        <is>
          <t>121 Lexington Avenue, New York, NY 10016</t>
        </is>
      </c>
      <c r="D14" t="n">
        <v>40.742794</v>
      </c>
      <c r="E14" t="n">
        <v>-73.98213699999999</v>
      </c>
      <c r="F14" t="inlineStr">
        <is>
          <t>N</t>
        </is>
      </c>
      <c r="G14" t="n">
        <v>1</v>
      </c>
      <c r="H14" t="inlineStr">
        <is>
          <t>Indian grocery (Curry Hill); relevant only for South Asian or spice-led snack brands</t>
        </is>
      </c>
      <c r="I14" s="2" t="inlineStr">
        <is>
          <t>https://data.ny.gov/resource/9a8c-vfzj.json?license_number=710893</t>
        </is>
      </c>
      <c r="J14" t="inlineStr">
        <is>
          <t>2026-10-24</t>
        </is>
      </c>
      <c r="K14" t="inlineStr">
        <is>
          <t>medium</t>
        </is>
      </c>
      <c r="L14" s="3" t="inlineStr">
        <is>
          <t>Buy-path tier B (specialty, gourmet or natural format; emerging set not yet verified). NYS Agriculture and Markets licence 710893 ('NEW FOODS OF INDIA', 2,400 sq ft), dataset updated 2026-10-14. foodsofindianyc.com could not be reached from this environment. Lexington Ave at 28th St, about 2 blocks east of the box. Review round 2: corner lot: the lot-centroid pin sat 19 m from E 28 ST but 20 m from LEXINGTON AVE, so it was moved to the LEXINGTON AVE frontage near the corner (16 m from the LEXINGTON AVE centreline, 27 m from E 28 ST; 9 m from the old pin). Tax lot unchanged.</t>
        </is>
      </c>
      <c r="M14" t="inlineStr">
        <is>
          <t>B</t>
        </is>
      </c>
      <c r="N14" t="inlineStr">
        <is>
          <t>N</t>
        </is>
      </c>
      <c r="O14" t="inlineStr">
        <is>
          <t>Niche South Asian grocery: useful only for spice-led or South Asian brands, so private map only.</t>
        </is>
      </c>
      <c r="P14" t="inlineStr"/>
      <c r="Q14" t="inlineStr">
        <is>
          <t>1</t>
        </is>
      </c>
      <c r="R14" t="n">
        <v>21</v>
      </c>
      <c r="S14" t="inlineStr">
        <is>
          <t>B-B-073</t>
        </is>
      </c>
      <c r="T14" t="n">
        <v>3</v>
      </c>
      <c r="U14" t="inlineStr">
        <is>
          <t>none found</t>
        </is>
      </c>
      <c r="V14" s="2" t="inlineStr">
        <is>
          <t>https://data.ny.gov/resource/9a8c-vfzj.json?license_number=710893</t>
        </is>
      </c>
      <c r="W14" t="inlineStr">
        <is>
          <t>1008840025</t>
        </is>
      </c>
      <c r="X14" t="inlineStr">
        <is>
          <t>R-30</t>
        </is>
      </c>
      <c r="Y14" t="inlineStr">
        <is>
          <t>2026-10-24</t>
        </is>
      </c>
    </row>
    <row r="15">
      <c r="A15" t="inlineStr">
        <is>
          <t>B-R-013</t>
        </is>
      </c>
      <c r="B15" t="inlineStr">
        <is>
          <t>Westside Market NYC (84 Third Ave)</t>
        </is>
      </c>
      <c r="C15" t="inlineStr">
        <is>
          <t>84 Third Avenue, New York, NY 10003</t>
        </is>
      </c>
      <c r="D15" t="n">
        <v>40.731868</v>
      </c>
      <c r="E15" t="n">
        <v>-73.988569</v>
      </c>
      <c r="F15" t="inlineStr">
        <is>
          <t>N</t>
        </is>
      </c>
      <c r="G15" t="n">
        <v>1</v>
      </c>
      <c r="H15" t="inlineStr">
        <is>
          <t>gourmet neighbourhood market; emerging set unverified</t>
        </is>
      </c>
      <c r="I15" s="2" t="inlineStr">
        <is>
          <t>https://www.wmarketnyc.com/</t>
        </is>
      </c>
      <c r="J15" t="inlineStr">
        <is>
          <t>2026-10-23</t>
        </is>
      </c>
      <c r="K15" t="inlineStr">
        <is>
          <t>high</t>
        </is>
      </c>
      <c r="L15" s="3" t="inlineStr">
        <is>
          <t>Buy-path tier B (specialty, gourmet or natural format; emerging set not yet verified). Site store list: 84 3rd Ave, open 24 hours. Third Ave at 12th St, south-east of the box. Independent: NYS Agriculture and Markets retail food store licence 711658 ('WESTSIDE MARKET', 18,000 sq ft) at this address, dataset updated 2026-10-14 (https://data.ny.gov/resource/9a8c-vfzj.json?license_number=711658).</t>
        </is>
      </c>
      <c r="M15" t="inlineStr">
        <is>
          <t>B</t>
        </is>
      </c>
      <c r="N15" t="inlineStr">
        <is>
          <t>Y</t>
        </is>
      </c>
      <c r="O15" t="inlineStr"/>
      <c r="P15" t="inlineStr">
        <is>
          <t>Gourmet neighbourhood market</t>
        </is>
      </c>
      <c r="Q15" t="inlineStr">
        <is>
          <t>1</t>
        </is>
      </c>
      <c r="R15" t="n">
        <v>2</v>
      </c>
      <c r="S15" t="inlineStr">
        <is>
          <t>B-B-002</t>
        </is>
      </c>
      <c r="T15" t="n">
        <v>3.7</v>
      </c>
      <c r="U15" t="inlineStr">
        <is>
          <t>no store-level brand list checked</t>
        </is>
      </c>
      <c r="V15" s="2" t="inlineStr">
        <is>
          <t>https://www.wmarketnyc.com/</t>
        </is>
      </c>
      <c r="W15" t="inlineStr">
        <is>
          <t>1005567502</t>
        </is>
      </c>
      <c r="X15" t="inlineStr">
        <is>
          <t>R-19</t>
        </is>
      </c>
      <c r="Y15" t="inlineStr">
        <is>
          <t>2026-10-23</t>
        </is>
      </c>
    </row>
    <row r="16">
      <c r="A16" t="inlineStr">
        <is>
          <t>B-R-014</t>
        </is>
      </c>
      <c r="B16" t="inlineStr">
        <is>
          <t>Kalustyan's</t>
        </is>
      </c>
      <c r="C16" t="inlineStr">
        <is>
          <t>123 Lexington Avenue, New York, NY 10016</t>
        </is>
      </c>
      <c r="D16" t="n">
        <v>40.742767</v>
      </c>
      <c r="E16" t="n">
        <v>-73.98210400000001</v>
      </c>
      <c r="F16" t="inlineStr">
        <is>
          <t>N</t>
        </is>
      </c>
      <c r="G16" t="n">
        <v>1</v>
      </c>
      <c r="H16" t="inlineStr">
        <is>
          <t>international spice and specialty foods; snack set unverified</t>
        </is>
      </c>
      <c r="I16" s="2" t="inlineStr">
        <is>
          <t>https://data.ny.gov/resource/9a8c-vfzj.json?license_number=622971</t>
        </is>
      </c>
      <c r="J16" t="inlineStr">
        <is>
          <t>2026-10-24</t>
        </is>
      </c>
      <c r="K16" t="inlineStr">
        <is>
          <t>medium</t>
        </is>
      </c>
      <c r="L16" s="3" t="inlineStr">
        <is>
          <t>Buy-path tier B (specialty, gourmet or natural format; emerging set not yet verified). NYS Agriculture and Markets licence 622971 ('KALUSTYANS', licensee MARHABA INTERNATIONAL INC, 2,200 sq ft), dataset updated 2026-10-14. The operator site loads ('Kalustyans LP') but the store text did not render. Next door to New Foods of India (R-30), Lexington Ave at 28th St. Review round 2: lowered from high to medium. The licence is the one dated source; the operator site did not render store text, so nothing independent confirms the address.</t>
        </is>
      </c>
      <c r="M16" t="inlineStr">
        <is>
          <t>B</t>
        </is>
      </c>
      <c r="N16" t="inlineStr">
        <is>
          <t>N</t>
        </is>
      </c>
      <c r="O16" t="inlineStr">
        <is>
          <t>Niche spice and international specialty store, so private map only.</t>
        </is>
      </c>
      <c r="P16" t="inlineStr"/>
      <c r="Q16" t="inlineStr">
        <is>
          <t>2</t>
        </is>
      </c>
      <c r="R16" t="n">
        <v>21</v>
      </c>
      <c r="S16" t="inlineStr">
        <is>
          <t>B-B-073</t>
        </is>
      </c>
      <c r="T16" t="n">
        <v>2.9</v>
      </c>
      <c r="U16" t="inlineStr">
        <is>
          <t>none found</t>
        </is>
      </c>
      <c r="V16" s="2" t="inlineStr">
        <is>
          <t>https://www.kalustyans.com/</t>
        </is>
      </c>
      <c r="W16" t="inlineStr">
        <is>
          <t>1008840024</t>
        </is>
      </c>
      <c r="X16" t="inlineStr">
        <is>
          <t>R-31</t>
        </is>
      </c>
      <c r="Y16" t="inlineStr">
        <is>
          <t>2026-10-24</t>
        </is>
      </c>
    </row>
    <row r="17">
      <c r="A17" t="inlineStr">
        <is>
          <t>B-R-016</t>
        </is>
      </c>
      <c r="B17" t="inlineStr">
        <is>
          <t>Westside Market NYC (180 Third Ave)</t>
        </is>
      </c>
      <c r="C17" t="inlineStr">
        <is>
          <t>180 Third Avenue, New York, NY 10003</t>
        </is>
      </c>
      <c r="D17" t="n">
        <v>40.735054</v>
      </c>
      <c r="E17" t="n">
        <v>-73.98631399999999</v>
      </c>
      <c r="F17" t="inlineStr">
        <is>
          <t>N</t>
        </is>
      </c>
      <c r="G17" t="n">
        <v>2</v>
      </c>
      <c r="H17" t="inlineStr">
        <is>
          <t>gourmet neighbourhood market; emerging set unverified</t>
        </is>
      </c>
      <c r="I17" s="2" t="inlineStr">
        <is>
          <t>https://www.wmarketnyc.com/</t>
        </is>
      </c>
      <c r="J17" t="inlineStr">
        <is>
          <t>2026-10-23</t>
        </is>
      </c>
      <c r="K17" t="inlineStr">
        <is>
          <t>high</t>
        </is>
      </c>
      <c r="L17" s="3" t="inlineStr">
        <is>
          <t>Buy-path tier B (specialty, gourmet or natural format; emerging set not yet verified). Site store list: 180 3rd Ave, daily 7:00 AM - 11:00 PM. Third Ave at 16th-17th St, east of the box. Independent: NYS Agriculture and Markets retail food store licence 734145 ('WESTSIDE MARKET', 5,200 sq ft) at this address, dataset updated 2026-10-14 (https://data.ny.gov/resource/9a8c-vfzj.json?license_number=734145).</t>
        </is>
      </c>
      <c r="M17" t="inlineStr">
        <is>
          <t>B</t>
        </is>
      </c>
      <c r="N17" t="inlineStr">
        <is>
          <t>Y</t>
        </is>
      </c>
      <c r="O17" t="inlineStr"/>
      <c r="P17" t="inlineStr">
        <is>
          <t>Gourmet neighbourhood market</t>
        </is>
      </c>
      <c r="Q17" t="inlineStr">
        <is>
          <t>2</t>
        </is>
      </c>
      <c r="R17" t="n">
        <v>9</v>
      </c>
      <c r="S17" t="inlineStr">
        <is>
          <t>B-B-002</t>
        </is>
      </c>
      <c r="T17" t="n">
        <v>4.3</v>
      </c>
      <c r="U17" t="inlineStr">
        <is>
          <t>no store-level brand list checked</t>
        </is>
      </c>
      <c r="V17" s="2" t="inlineStr">
        <is>
          <t>https://www.wmarketnyc.com/</t>
        </is>
      </c>
      <c r="W17" t="inlineStr">
        <is>
          <t>1008720035</t>
        </is>
      </c>
      <c r="X17" t="inlineStr">
        <is>
          <t>R-18</t>
        </is>
      </c>
      <c r="Y17" t="inlineStr">
        <is>
          <t>2026-10-23</t>
        </is>
      </c>
    </row>
    <row r="18">
      <c r="A18" t="inlineStr">
        <is>
          <t>B-R-017</t>
        </is>
      </c>
      <c r="B18" t="inlineStr">
        <is>
          <t>Westside Market NYC (170 West 23rd St)</t>
        </is>
      </c>
      <c r="C18" t="inlineStr">
        <is>
          <t>170 West 23rd Street, New York, NY 10011</t>
        </is>
      </c>
      <c r="D18" t="n">
        <v>40.743718</v>
      </c>
      <c r="E18" t="n">
        <v>-73.99534199999999</v>
      </c>
      <c r="F18" t="inlineStr">
        <is>
          <t>N</t>
        </is>
      </c>
      <c r="G18" t="n">
        <v>2</v>
      </c>
      <c r="H18" t="inlineStr">
        <is>
          <t>gourmet neighbourhood market; emerging set unverified</t>
        </is>
      </c>
      <c r="I18" s="2" t="inlineStr">
        <is>
          <t>https://www.wmarketnyc.com/</t>
        </is>
      </c>
      <c r="J18" t="inlineStr">
        <is>
          <t>2026-10-23</t>
        </is>
      </c>
      <c r="K18" t="inlineStr">
        <is>
          <t>high</t>
        </is>
      </c>
      <c r="L18" s="3" t="inlineStr">
        <is>
          <t>Buy-path tier B (specialty, gourmet or natural format; emerging set not yet verified). Site store list: 170 W 23rd St, daily 7:00 AM - 12:00 AM. 23rd St near Seventh Ave, west of the box. Independent: NYS Agriculture and Markets retail food store licence 736936 ('WESTSIDE MARKET') at this address, dataset updated 2026-10-14 (https://data.ny.gov/resource/9a8c-vfzj.json?license_number=736936). Pin moved to frontage at review round 1: the lot-centroid pin failed the block-face test (46 m from W 23 ST but 39 m from W 22 ST); pin moved to frontage: the lot's position along W 23 ST kept, set 25 m from the centreline on the side CSCL gives house number 170 (21 m from the old pin). Tax lot unchanged. New pin: 25 m from W 23 ST, 59 m from W 22 ST.</t>
        </is>
      </c>
      <c r="M18" t="inlineStr">
        <is>
          <t>B</t>
        </is>
      </c>
      <c r="N18" t="inlineStr">
        <is>
          <t>Y</t>
        </is>
      </c>
      <c r="O18" t="inlineStr"/>
      <c r="P18" t="inlineStr">
        <is>
          <t>Gourmet neighbourhood market</t>
        </is>
      </c>
      <c r="Q18" t="inlineStr">
        <is>
          <t>3</t>
        </is>
      </c>
      <c r="R18" t="n">
        <v>12</v>
      </c>
      <c r="S18" t="inlineStr">
        <is>
          <t>B-B-048</t>
        </is>
      </c>
      <c r="T18" t="n">
        <v>3.5</v>
      </c>
      <c r="U18" t="inlineStr">
        <is>
          <t>no store-level brand list checked</t>
        </is>
      </c>
      <c r="V18" s="2" t="inlineStr">
        <is>
          <t>https://www.wmarketnyc.com/</t>
        </is>
      </c>
      <c r="W18" t="inlineStr">
        <is>
          <t>1007987502</t>
        </is>
      </c>
      <c r="X18" t="inlineStr">
        <is>
          <t>R-17</t>
        </is>
      </c>
      <c r="Y18" t="inlineStr">
        <is>
          <t>2026-10-23</t>
        </is>
      </c>
    </row>
    <row r="19">
      <c r="A19" t="inlineStr">
        <is>
          <t>B-R-018</t>
        </is>
      </c>
      <c r="B19" t="inlineStr">
        <is>
          <t>Westside Market NYC (77 Seventh Ave)</t>
        </is>
      </c>
      <c r="C19" t="inlineStr">
        <is>
          <t>77 Seventh Avenue, New York, NY 10011</t>
        </is>
      </c>
      <c r="D19" t="n">
        <v>40.738773</v>
      </c>
      <c r="E19" t="n">
        <v>-73.999107</v>
      </c>
      <c r="F19" t="inlineStr">
        <is>
          <t>N</t>
        </is>
      </c>
      <c r="G19" t="n">
        <v>2</v>
      </c>
      <c r="H19" t="inlineStr">
        <is>
          <t>gourmet neighbourhood market ('highest quality foods and hard-to-find products'); emerging set unverified</t>
        </is>
      </c>
      <c r="I19" s="2" t="inlineStr">
        <is>
          <t>https://www.wmarketnyc.com/</t>
        </is>
      </c>
      <c r="J19" t="inlineStr">
        <is>
          <t>2026-10-23</t>
        </is>
      </c>
      <c r="K19" t="inlineStr">
        <is>
          <t>high</t>
        </is>
      </c>
      <c r="L19" s="3" t="inlineStr">
        <is>
          <t>Buy-path tier B (specialty, gourmet or natural format; emerging set not yet verified). Site store list: 77 7th Ave, daily 7:00 AM - 11:00 PM, with online shop and catering. Seventh Ave at 15th St, one avenue west of the box. Independent: NYS Agriculture and Markets retail food store licence 625236 ('WESTSIDE SUPERMARKET', 25,000 sq ft) at this address, dataset updated 2026-10-14 (https://data.ny.gov/resource/9a8c-vfzj.json?license_number=625236).</t>
        </is>
      </c>
      <c r="M19" t="inlineStr">
        <is>
          <t>B</t>
        </is>
      </c>
      <c r="N19" t="inlineStr">
        <is>
          <t>Y</t>
        </is>
      </c>
      <c r="O19" t="inlineStr"/>
      <c r="P19" t="inlineStr">
        <is>
          <t>Gourmet neighbourhood market</t>
        </is>
      </c>
      <c r="Q19" t="inlineStr">
        <is>
          <t>3</t>
        </is>
      </c>
      <c r="R19" t="n">
        <v>0</v>
      </c>
      <c r="S19" t="inlineStr">
        <is>
          <t>B-B-020</t>
        </is>
      </c>
      <c r="T19" t="n">
        <v>7.1</v>
      </c>
      <c r="U19" t="inlineStr">
        <is>
          <t>no store-level brand list checked</t>
        </is>
      </c>
      <c r="V19" s="2" t="inlineStr">
        <is>
          <t>https://www.wmarketnyc.com/</t>
        </is>
      </c>
      <c r="W19" t="inlineStr">
        <is>
          <t>1007900001</t>
        </is>
      </c>
      <c r="X19" t="inlineStr">
        <is>
          <t>R-16</t>
        </is>
      </c>
      <c r="Y19" t="inlineStr">
        <is>
          <t>2026-10-23</t>
        </is>
      </c>
    </row>
    <row r="20">
      <c r="A20" t="inlineStr">
        <is>
          <t>B-R-019</t>
        </is>
      </c>
      <c r="B20" t="inlineStr">
        <is>
          <t>Elm Wellness (Elm Health Chelsea)</t>
        </is>
      </c>
      <c r="C20" t="inlineStr">
        <is>
          <t>56 Seventh Avenue, New York, NY 10011</t>
        </is>
      </c>
      <c r="D20" t="n">
        <v>40.738374</v>
      </c>
      <c r="E20" t="n">
        <v>-74.00022</v>
      </c>
      <c r="F20" t="inlineStr">
        <is>
          <t>N</t>
        </is>
      </c>
      <c r="G20" t="n">
        <v>3</v>
      </c>
      <c r="H20" t="inlineStr">
        <is>
          <t>health and natural foods store (going by the licensee name); unverified</t>
        </is>
      </c>
      <c r="I20" s="2" t="inlineStr">
        <is>
          <t>https://data.ny.gov/resource/9a8c-vfzj.json?license_number=629113</t>
        </is>
      </c>
      <c r="J20" t="inlineStr">
        <is>
          <t>2026-10-24</t>
        </is>
      </c>
      <c r="K20" t="inlineStr">
        <is>
          <t>low</t>
        </is>
      </c>
      <c r="L20" s="3" t="inlineStr">
        <is>
          <t>Buy-path tier B (specialty, gourmet or natural format; emerging set not yet verified). NYS Agriculture and Markets licence 629113 ('ELM WELLNESS', licensee ELM HEALTH CHELSEA CORP, 10,000 sq ft), dataset updated 2026-10-14. CONFLICT: the old elmhealth.com domain now redirects to a parked '/lander' page, and elmwellness.com belongs to an unrelated counselling practice, so there is no current store website. Founder to confirm on foot. Seventh Ave at 14th St, one avenue west of the box.</t>
        </is>
      </c>
      <c r="M20" t="inlineStr">
        <is>
          <t>B</t>
        </is>
      </c>
      <c r="N20" t="inlineStr">
        <is>
          <t>N</t>
        </is>
      </c>
      <c r="O20" t="inlineStr">
        <is>
          <t>Low confidence: the store may have closed; walk it first.</t>
        </is>
      </c>
      <c r="P20" t="inlineStr"/>
      <c r="Q20" t="inlineStr">
        <is>
          <t>3</t>
        </is>
      </c>
      <c r="R20" t="n">
        <v>0</v>
      </c>
      <c r="S20" t="inlineStr">
        <is>
          <t>B-B-020</t>
        </is>
      </c>
      <c r="T20" t="n">
        <v>8.5</v>
      </c>
      <c r="U20" t="inlineStr">
        <is>
          <t>none found</t>
        </is>
      </c>
      <c r="V20" s="2" t="inlineStr">
        <is>
          <t>https://data.ny.gov/resource/9a8c-vfzj.json?license_number=629113</t>
        </is>
      </c>
      <c r="W20" t="inlineStr">
        <is>
          <t>1006180033</t>
        </is>
      </c>
      <c r="X20" t="inlineStr">
        <is>
          <t>R-28</t>
        </is>
      </c>
      <c r="Y20" t="inlineStr">
        <is>
          <t>2026-10-24</t>
        </is>
      </c>
    </row>
    <row r="21">
      <c r="A21" t="inlineStr">
        <is>
          <t>B-R-021</t>
        </is>
      </c>
      <c r="B21" t="inlineStr">
        <is>
          <t>Whole Foods Market Chelsea</t>
        </is>
      </c>
      <c r="C21" t="inlineStr">
        <is>
          <t>250 Seventh Avenue, New York, NY 10001</t>
        </is>
      </c>
      <c r="D21" t="n">
        <v>40.745148</v>
      </c>
      <c r="E21" t="n">
        <v>-73.99534199999999</v>
      </c>
      <c r="F21" t="inlineStr">
        <is>
          <t>N</t>
        </is>
      </c>
      <c r="G21" t="n">
        <v>3</v>
      </c>
      <c r="H21" t="inlineStr">
        <is>
          <t>natural and organic supermarket; local and emerging set</t>
        </is>
      </c>
      <c r="I21" s="2" t="inlineStr">
        <is>
          <t>https://www.wholefoodsmarket.com/stores/chelsea</t>
        </is>
      </c>
      <c r="J21" t="inlineStr">
        <is>
          <t>2026-10-23</t>
        </is>
      </c>
      <c r="K21" t="inlineStr">
        <is>
          <t>high</t>
        </is>
      </c>
      <c r="L21" s="3" t="inlineStr">
        <is>
          <t>Buy-path tier A (documented natural, local or emerging set). Store page lists 7 am to 10 pm daily. Seventh Ave at 24th-25th St: about one long avenue block west of the Sixth Ave edge. Independent: NYS Agriculture and Markets retail food store licence 623606 ('WHOLE FOODS MARKET') at this address, dataset updated 2026-10-14 (https://data.ny.gov/resource/9a8c-vfzj.json?license_number=623606). Pin set at review round 1 to the store's own published coordinate (wholefoodsmarket.com/stores/chelsea structured data, opened 2026-10-24), 22 m from the geocode.</t>
        </is>
      </c>
      <c r="M21" t="inlineStr">
        <is>
          <t>A</t>
        </is>
      </c>
      <c r="N21" t="inlineStr">
        <is>
          <t>Y</t>
        </is>
      </c>
      <c r="O21" t="inlineStr"/>
      <c r="P21" t="inlineStr">
        <is>
          <t>Natural and organic supermarket</t>
        </is>
      </c>
      <c r="Q21" t="inlineStr">
        <is>
          <t>3</t>
        </is>
      </c>
      <c r="R21" t="n">
        <v>3</v>
      </c>
      <c r="S21" t="inlineStr">
        <is>
          <t>B-B-054</t>
        </is>
      </c>
      <c r="T21" t="n">
        <v>4.9</v>
      </c>
      <c r="U21" t="inlineStr">
        <is>
          <t>Store page: 'local products from makers near you'. Chain-level Local and Emerging Accelerator Program.</t>
        </is>
      </c>
      <c r="V21" s="2" t="inlineStr">
        <is>
          <t>https://www.wholefoodsmarket.com/stores/chelsea</t>
        </is>
      </c>
      <c r="W21" t="inlineStr">
        <is>
          <t>1007747501</t>
        </is>
      </c>
      <c r="X21" t="inlineStr">
        <is>
          <t>R-05</t>
        </is>
      </c>
      <c r="Y21" t="inlineStr">
        <is>
          <t>2026-10-23</t>
        </is>
      </c>
    </row>
    <row r="22">
      <c r="A22" t="inlineStr">
        <is>
          <t>B-R-020</t>
        </is>
      </c>
      <c r="B22" t="inlineStr">
        <is>
          <t>Eden Gourmet Marketplace Gramercy Park</t>
        </is>
      </c>
      <c r="C22" t="inlineStr">
        <is>
          <t>275 Third Avenue, New York, NY 10010</t>
        </is>
      </c>
      <c r="D22" t="n">
        <v>40.737696</v>
      </c>
      <c r="E22" t="n">
        <v>-73.98371899999999</v>
      </c>
      <c r="F22" t="inlineStr">
        <is>
          <t>N</t>
        </is>
      </c>
      <c r="G22" t="n">
        <v>3</v>
      </c>
      <c r="H22" t="inlineStr">
        <is>
          <t>gourmet and specialty grocer; emerging set unverified</t>
        </is>
      </c>
      <c r="I22" s="2" t="inlineStr">
        <is>
          <t>https://edengourmet.com/</t>
        </is>
      </c>
      <c r="J22" t="inlineStr">
        <is>
          <t>2026-10-23</t>
        </is>
      </c>
      <c r="K22" t="inlineStr">
        <is>
          <t>high</t>
        </is>
      </c>
      <c r="L22" s="3" t="inlineStr">
        <is>
          <t>Buy-path tier B (specialty, gourmet or natural format; emerging set not yet verified). Site lists 'Gramercy Park Store Address: 275 3rd Ave' (the site prints ZIP 10001). Third Ave at 21st-22nd St, east of the box. Independent: NYS Agriculture and Markets retail food store licence 767591 ('EDEN GOURMET MARKETPLACE', 11,000 sq ft) at this address, dataset updated 2026-10-14 (https://data.ny.gov/resource/9a8c-vfzj.json?license_number=767591). Review round 2: corner lot: the lot-centroid pin sat 29 m from E 21 ST but 33 m from 3 AVE, so it was moved to the 3 AVE frontage near the corner (19 m from the 3 AVE centreline, 29 m from E 21 ST; 13 m from the old pin). Tax lot unchanged.</t>
        </is>
      </c>
      <c r="M22" t="inlineStr">
        <is>
          <t>B</t>
        </is>
      </c>
      <c r="N22" t="inlineStr">
        <is>
          <t>Y</t>
        </is>
      </c>
      <c r="O22" t="inlineStr"/>
      <c r="P22" t="inlineStr">
        <is>
          <t>Gourmet and specialty grocer</t>
        </is>
      </c>
      <c r="Q22" t="inlineStr">
        <is>
          <t>4</t>
        </is>
      </c>
      <c r="R22" t="n">
        <v>7</v>
      </c>
      <c r="S22" t="inlineStr">
        <is>
          <t>B-B-032</t>
        </is>
      </c>
      <c r="T22" t="n">
        <v>4.6</v>
      </c>
      <c r="U22" t="inlineStr">
        <is>
          <t>no store-level brand list checked</t>
        </is>
      </c>
      <c r="V22" s="2" t="inlineStr">
        <is>
          <t>https://edengourmet.com/</t>
        </is>
      </c>
      <c r="W22" t="inlineStr">
        <is>
          <t>1009020001</t>
        </is>
      </c>
      <c r="X22" t="inlineStr">
        <is>
          <t>R-15</t>
        </is>
      </c>
      <c r="Y22" t="inlineStr">
        <is>
          <t>2026-10-23</t>
        </is>
      </c>
    </row>
    <row r="23">
      <c r="A23" t="inlineStr">
        <is>
          <t>B-R-022</t>
        </is>
      </c>
      <c r="B23" t="inlineStr">
        <is>
          <t>Target Manhattan Herald Square</t>
        </is>
      </c>
      <c r="C23" t="inlineStr">
        <is>
          <t>112 West 34th Street, New York, NY 10120</t>
        </is>
      </c>
      <c r="D23" t="n">
        <v>40.750028</v>
      </c>
      <c r="E23" t="n">
        <v>-73.988924</v>
      </c>
      <c r="F23" t="inlineStr">
        <is>
          <t>N</t>
        </is>
      </c>
      <c r="G23" t="n">
        <v>4</v>
      </c>
      <c r="H23" t="inlineStr">
        <is>
          <t>mass merchant grocery; emerging set unverified</t>
        </is>
      </c>
      <c r="I23" s="2" t="inlineStr">
        <is>
          <t>https://www.target.com/sl/manhattan-herald-square/3277</t>
        </is>
      </c>
      <c r="J23" t="inlineStr">
        <is>
          <t>2026-10-23</t>
        </is>
      </c>
      <c r="K23" t="inlineStr">
        <is>
          <t>high</t>
        </is>
      </c>
      <c r="L23" s="3" t="inlineStr">
        <is>
          <t>Buy-path tier C (mass, conventional or private label; landmark or weak buy path). Store page shows hours 8am to 11pm for 23-25 Oct. 34th St just west of Sixth Ave, about 4 streets north of the 30th St edge. Independent: NYS Agriculture and Markets retail food store licence 730774 ('TARGET STORE T-3277') at this address, dataset updated 2026-10-14 (https://data.ny.gov/resource/9a8c-vfzj.json?license_number=730774). Pin moved to frontage at review round 1: the lot-centroid pin failed the block-face test (52 m from W 34 ST but 32 m from W 33 ST); pin moved to frontage: the lot's position along W 34 ST kept, set 25 m from the centreline on the side CSCL gives house number 112 (27 m from the old pin). Tax lot unchanged. New pin: 24 m from W 34 ST, 59 m from W 33 ST.</t>
        </is>
      </c>
      <c r="M23" t="inlineStr">
        <is>
          <t>C</t>
        </is>
      </c>
      <c r="N23" t="inlineStr">
        <is>
          <t>N</t>
        </is>
      </c>
      <c r="O23" t="inlineStr">
        <is>
          <t>Tier C (mass, conventional or private label): a landmark, not a buy path.</t>
        </is>
      </c>
      <c r="P23" t="inlineStr"/>
      <c r="Q23" t="inlineStr">
        <is>
          <t>4</t>
        </is>
      </c>
      <c r="R23" t="n">
        <v>0</v>
      </c>
      <c r="S23" t="inlineStr">
        <is>
          <t>B-B-075</t>
        </is>
      </c>
      <c r="T23" t="n">
        <v>8</v>
      </c>
      <c r="U23" t="inlineStr">
        <is>
          <t>no store-level evidence checked</t>
        </is>
      </c>
      <c r="V23" s="2" t="inlineStr">
        <is>
          <t>https://www.target.com/sl/manhattan-herald-square/3277</t>
        </is>
      </c>
      <c r="W23" t="inlineStr">
        <is>
          <t>1008090053</t>
        </is>
      </c>
      <c r="X23" t="inlineStr">
        <is>
          <t>R-10</t>
        </is>
      </c>
      <c r="Y23" t="inlineStr">
        <is>
          <t>2026-10-23</t>
        </is>
      </c>
    </row>
    <row r="24">
      <c r="A24" t="inlineStr">
        <is>
          <t>B-R-023</t>
        </is>
      </c>
      <c r="B24" t="inlineStr">
        <is>
          <t>Citarella Greenwich Village</t>
        </is>
      </c>
      <c r="C24" t="inlineStr">
        <is>
          <t>424 Sixth Avenue, New York, NY 10011</t>
        </is>
      </c>
      <c r="D24" t="n">
        <v>40.73434</v>
      </c>
      <c r="E24" t="n">
        <v>-73.99879799999999</v>
      </c>
      <c r="F24" t="inlineStr">
        <is>
          <t>N</t>
        </is>
      </c>
      <c r="G24" t="n">
        <v>4</v>
      </c>
      <c r="H24" t="inlineStr">
        <is>
          <t>gourmet market; shelf set unverified (operator site blocked)</t>
        </is>
      </c>
      <c r="I24" s="2" t="inlineStr">
        <is>
          <t>https://data.ny.gov/resource/9a8c-vfzj.json?license_number=624652</t>
        </is>
      </c>
      <c r="J24" t="inlineStr">
        <is>
          <t>2026-10-24</t>
        </is>
      </c>
      <c r="K24" t="inlineStr">
        <is>
          <t>medium</t>
        </is>
      </c>
      <c r="L24" s="3" t="inlineStr">
        <is>
          <t>Buy-path tier B (specialty, gourmet or natural format; emerging set not yet verified). NYS Agriculture and Markets licence 624652 ('CITARELLA', licensee VILLAGE ENTERPRISES LLC, 15,000 sq ft), dataset updated 2026-10-14. citarella.com returned 403 to this environment, so there is no second source; open status unverified, founder to confirm. Sixth Ave at 9th St, about 5 streets south of the 14th St edge. Review round 2: corner lot: the lot-centroid pin sat 26 m from W 9 ST but 30 m from AVE OF THE AMERICAS, so it was moved to the AVE OF THE AMERICAS frontage near the corner (18 m from the AVE OF THE AMERICAS centreline, 27 m from W 9 ST; 12 m from the old pin). Tax lot unchanged.</t>
        </is>
      </c>
      <c r="M24" t="inlineStr">
        <is>
          <t>B</t>
        </is>
      </c>
      <c r="N24" t="inlineStr">
        <is>
          <t>Y</t>
        </is>
      </c>
      <c r="O24" t="inlineStr"/>
      <c r="P24" t="inlineStr">
        <is>
          <t>Gourmet market</t>
        </is>
      </c>
      <c r="Q24" t="inlineStr">
        <is>
          <t>4</t>
        </is>
      </c>
      <c r="R24" t="n">
        <v>0</v>
      </c>
      <c r="S24" t="inlineStr">
        <is>
          <t>B-B-021</t>
        </is>
      </c>
      <c r="T24" t="n">
        <v>9.199999999999999</v>
      </c>
      <c r="U24" t="inlineStr">
        <is>
          <t>none found</t>
        </is>
      </c>
      <c r="V24" s="2" t="inlineStr">
        <is>
          <t>https://data.ny.gov/resource/9a8c-vfzj.json?license_number=624652</t>
        </is>
      </c>
      <c r="W24" t="inlineStr">
        <is>
          <t>1005737502</t>
        </is>
      </c>
      <c r="X24" t="inlineStr">
        <is>
          <t>R-25</t>
        </is>
      </c>
      <c r="Y24" t="inlineStr">
        <is>
          <t>2026-10-24</t>
        </is>
      </c>
    </row>
    <row r="25">
      <c r="A25" t="inlineStr">
        <is>
          <t>B-R-024</t>
        </is>
      </c>
      <c r="B25" t="inlineStr">
        <is>
          <t>Wegmans Astor Place</t>
        </is>
      </c>
      <c r="C25" t="inlineStr">
        <is>
          <t>770 Broadway, New York, NY 10003</t>
        </is>
      </c>
      <c r="D25" t="n">
        <v>40.730835</v>
      </c>
      <c r="E25" t="n">
        <v>-73.99199400000001</v>
      </c>
      <c r="F25" t="inlineStr">
        <is>
          <t>N</t>
        </is>
      </c>
      <c r="G25" t="n">
        <v>4</v>
      </c>
      <c r="H25" t="inlineStr">
        <is>
          <t>large supermarket with natural, organic and specialty sets (store nav lists 'Living Gluten Free' and 'Active &amp; Sports Nutrition')</t>
        </is>
      </c>
      <c r="I25" s="2" t="inlineStr">
        <is>
          <t>https://www.wegmans.com/stores/astor-place-ny/</t>
        </is>
      </c>
      <c r="J25" t="inlineStr">
        <is>
          <t>2026-10-23</t>
        </is>
      </c>
      <c r="K25" t="inlineStr">
        <is>
          <t>high</t>
        </is>
      </c>
      <c r="L25" s="3" t="inlineStr">
        <is>
          <t>Buy-path tier B (large supermarket with natural, organic and specialty aisles; no emerging set documented). Store page: 'Open 7AM to 11PM, 7 Days a Week'. Broadway at 8th-9th St, about 5-6 streets south of 14th St and inside the box's east-west span; blocks_outside set to 6 by hand because the tax lot's centroid sits toward Lafayette St. Independent: NYS Agriculture and Markets retail food store licence 758490 ('WEGMANS FOOD MARKET #156', 90,000 sq ft) at this address, dataset updated 2026-10-14 (https://data.ny.gov/resource/9a8c-vfzj.json?license_number=758490). Review round 2: moved from tier A to tier B. The store page lists aisles such as 'Living Gluten Free' but no local or emerging-brand set, and no store-level brand list was checked. Review round 2: corner lot: the lot-centroid pin sat 37 m from E 8 ST but 63 m from BROADWAY, so it was moved to the BROADWAY frontage near the corner (15 m from the BROADWAY centreline, 40 m from E 8 ST; 47 m from the old pin). Tax lot unchanged.</t>
        </is>
      </c>
      <c r="M25" t="inlineStr">
        <is>
          <t>B</t>
        </is>
      </c>
      <c r="N25" t="inlineStr">
        <is>
          <t>Y</t>
        </is>
      </c>
      <c r="O25" t="inlineStr"/>
      <c r="P25" t="inlineStr">
        <is>
          <t>Large supermarket with natural, organic and specialty sections</t>
        </is>
      </c>
      <c r="Q25" t="inlineStr">
        <is>
          <t>5</t>
        </is>
      </c>
      <c r="R25" t="n">
        <v>0</v>
      </c>
      <c r="S25" t="inlineStr">
        <is>
          <t>B-B-001</t>
        </is>
      </c>
      <c r="T25" t="n">
        <v>6.9</v>
      </c>
      <c r="U25" t="inlineStr">
        <is>
          <t>no store-level emerging brand list checked</t>
        </is>
      </c>
      <c r="V25" s="2" t="inlineStr">
        <is>
          <t>https://www.wegmans.com/stores/astor-place-ny/</t>
        </is>
      </c>
      <c r="W25" t="inlineStr">
        <is>
          <t>1005547501</t>
        </is>
      </c>
      <c r="X25" t="inlineStr">
        <is>
          <t>R-06</t>
        </is>
      </c>
      <c r="Y25" t="inlineStr">
        <is>
          <t>2026-10-23</t>
        </is>
      </c>
    </row>
    <row r="26">
      <c r="A26" t="inlineStr">
        <is>
          <t>B-R-025</t>
        </is>
      </c>
      <c r="B26" t="inlineStr">
        <is>
          <t>LifeThyme Natural Market</t>
        </is>
      </c>
      <c r="C26" t="inlineStr">
        <is>
          <t>410 Sixth Avenue, New York, NY 10011</t>
        </is>
      </c>
      <c r="D26" t="n">
        <v>40.733799</v>
      </c>
      <c r="E26" t="n">
        <v>-73.999072</v>
      </c>
      <c r="F26" t="inlineStr">
        <is>
          <t>N</t>
        </is>
      </c>
      <c r="G26" t="n">
        <v>5</v>
      </c>
      <c r="H26" t="inlineStr">
        <is>
          <t>independent natural and organic grocer</t>
        </is>
      </c>
      <c r="I26" s="2" t="inlineStr">
        <is>
          <t>https://www.lifethymemarket.com/</t>
        </is>
      </c>
      <c r="J26" t="inlineStr">
        <is>
          <t>2026-10-23</t>
        </is>
      </c>
      <c r="K26" t="inlineStr">
        <is>
          <t>high</t>
        </is>
      </c>
      <c r="L26" s="3" t="inlineStr">
        <is>
          <t>Buy-path tier A (documented natural, local or emerging set). Site lists hours (Mon-Fri 7:30AM-9:30PM; Sat-Sun 8AM-9:30PM), a current Thanksgiving menu with pre-orders from 15 Oct, and (c) 2026. Sixth Ave between 8th and 9th St, about 5-6 streets south of the 14th St edge. Independent natural grocers often take emerging brands earlier than chains. Independent: NYS Agriculture and Markets retail food store licence 621229 ('LIFETHYME NATURAL MARKET', 6,000 sq ft) at this address, dataset updated 2026-10-14 (https://data.ny.gov/resource/9a8c-vfzj.json?license_number=621229).</t>
        </is>
      </c>
      <c r="M26" t="inlineStr">
        <is>
          <t>A</t>
        </is>
      </c>
      <c r="N26" t="inlineStr">
        <is>
          <t>Y</t>
        </is>
      </c>
      <c r="O26" t="inlineStr"/>
      <c r="P26" t="inlineStr">
        <is>
          <t>Independent natural and organic grocer</t>
        </is>
      </c>
      <c r="Q26" t="inlineStr">
        <is>
          <t>5</t>
        </is>
      </c>
      <c r="R26" t="n">
        <v>0</v>
      </c>
      <c r="S26" t="inlineStr">
        <is>
          <t>B-B-021</t>
        </is>
      </c>
      <c r="T26" t="n">
        <v>10</v>
      </c>
      <c r="U26" t="inlineStr">
        <is>
          <t>Site: mission is 'the best natural and organic food'; no store-level brand list checked</t>
        </is>
      </c>
      <c r="V26" s="2" t="inlineStr">
        <is>
          <t>https://www.lifethymemarket.com/</t>
        </is>
      </c>
      <c r="W26" t="inlineStr">
        <is>
          <t>1005720005</t>
        </is>
      </c>
      <c r="X26" t="inlineStr">
        <is>
          <t>R-13</t>
        </is>
      </c>
      <c r="Y26" t="inlineStr">
        <is>
          <t>2026-10-23</t>
        </is>
      </c>
    </row>
    <row r="27">
      <c r="A27" t="inlineStr">
        <is>
          <t>B-R-026</t>
        </is>
      </c>
      <c r="B27" t="inlineStr">
        <is>
          <t>Wholesome Organic Market</t>
        </is>
      </c>
      <c r="C27" t="inlineStr">
        <is>
          <t>343 Second Avenue, New York, NY 10003</t>
        </is>
      </c>
      <c r="D27" t="n">
        <v>40.735855</v>
      </c>
      <c r="E27" t="n">
        <v>-73.982789</v>
      </c>
      <c r="F27" t="inlineStr">
        <is>
          <t>N</t>
        </is>
      </c>
      <c r="G27" t="n">
        <v>6</v>
      </c>
      <c r="H27" t="inlineStr">
        <is>
          <t>small organic market (going by the name); unverified</t>
        </is>
      </c>
      <c r="I27" s="2" t="inlineStr">
        <is>
          <t>https://data.ny.gov/resource/9a8c-vfzj.json?license_number=752904</t>
        </is>
      </c>
      <c r="J27" t="inlineStr">
        <is>
          <t>2026-10-24</t>
        </is>
      </c>
      <c r="K27" t="inlineStr">
        <is>
          <t>medium</t>
        </is>
      </c>
      <c r="L27" s="3" t="inlineStr">
        <is>
          <t>Buy-path tier B (specialty, gourmet or natural format; emerging set not yet verified). NYS Agriculture and Markets licence 752904 ('WHOLESOME ORGANIC MARKET', 2,800 sq ft), dataset updated 2026-10-14. wholesomeorganicmarket.com did not connect. Second Ave at 20th St, east of the box. Review round 1: ZIP corrected from 10010 to 10003, as on NYS licence 752904 (re-opened 2026-10-24: 2,800 sq ft).</t>
        </is>
      </c>
      <c r="M27" t="inlineStr">
        <is>
          <t>B</t>
        </is>
      </c>
      <c r="N27" t="inlineStr">
        <is>
          <t>N</t>
        </is>
      </c>
      <c r="O27" t="inlineStr">
        <is>
          <t>Evidence is the licence name only (no operator page opened), so private map only until it is walked.</t>
        </is>
      </c>
      <c r="P27" t="inlineStr"/>
      <c r="Q27" t="inlineStr">
        <is>
          <t>6</t>
        </is>
      </c>
      <c r="R27" t="n">
        <v>0</v>
      </c>
      <c r="S27" t="inlineStr">
        <is>
          <t>B-B-028</t>
        </is>
      </c>
      <c r="T27" t="n">
        <v>7.2</v>
      </c>
      <c r="U27" t="inlineStr">
        <is>
          <t>none found</t>
        </is>
      </c>
      <c r="V27" s="2" t="inlineStr">
        <is>
          <t>https://data.ny.gov/resource/9a8c-vfzj.json?license_number=752904</t>
        </is>
      </c>
      <c r="W27" t="inlineStr">
        <is>
          <t>1009000027</t>
        </is>
      </c>
      <c r="X27" t="inlineStr">
        <is>
          <t>R-29</t>
        </is>
      </c>
      <c r="Y27" t="inlineStr">
        <is>
          <t>2026-10-24</t>
        </is>
      </c>
    </row>
    <row r="28">
      <c r="A28" t="inlineStr">
        <is>
          <t>B-R-027</t>
        </is>
      </c>
      <c r="B28" t="inlineStr">
        <is>
          <t>Target Chelsea 23rd and 8th</t>
        </is>
      </c>
      <c r="C28" t="inlineStr">
        <is>
          <t>258 Eighth Avenue, New York, NY 10011</t>
        </is>
      </c>
      <c r="D28" t="n">
        <v>40.74552</v>
      </c>
      <c r="E28" t="n">
        <v>-73.99791</v>
      </c>
      <c r="F28" t="inlineStr">
        <is>
          <t>N</t>
        </is>
      </c>
      <c r="G28" t="n">
        <v>6</v>
      </c>
      <c r="H28" t="inlineStr">
        <is>
          <t>mass merchant grocery; emerging set unverified</t>
        </is>
      </c>
      <c r="I28" s="2" t="inlineStr">
        <is>
          <t>https://www.target.com/sl/chelsea-23rd-and-8th/3412</t>
        </is>
      </c>
      <c r="J28" t="inlineStr">
        <is>
          <t>2026-10-23</t>
        </is>
      </c>
      <c r="K28" t="inlineStr">
        <is>
          <t>high</t>
        </is>
      </c>
      <c r="L28" s="3" t="inlineStr">
        <is>
          <t>Buy-path tier C (mass, conventional or private label; landmark or weak buy path). Store page shows hours 8am to 11pm for 23-25 Oct and a CVS pharmacy inside. Eighth Ave at 23rd St, two avenues west of the Sixth Ave edge. Independent: NYS Agriculture and Markets retail food store licence 763247 ('TARGET STORE T-3412', 20,000 sq ft) at this address, dataset updated 2026-10-14 (https://data.ny.gov/resource/9a8c-vfzj.json?license_number=763247).</t>
        </is>
      </c>
      <c r="M28" t="inlineStr">
        <is>
          <t>C</t>
        </is>
      </c>
      <c r="N28" t="inlineStr">
        <is>
          <t>N</t>
        </is>
      </c>
      <c r="O28" t="inlineStr">
        <is>
          <t>Tier C (mass, conventional or private label): a landmark, not a buy path.</t>
        </is>
      </c>
      <c r="P28" t="inlineStr"/>
      <c r="Q28" t="inlineStr">
        <is>
          <t>6</t>
        </is>
      </c>
      <c r="R28" t="n">
        <v>0</v>
      </c>
      <c r="S28" t="inlineStr">
        <is>
          <t>B-B-048</t>
        </is>
      </c>
      <c r="T28" t="n">
        <v>7.2</v>
      </c>
      <c r="U28" t="inlineStr">
        <is>
          <t>no store-level evidence checked</t>
        </is>
      </c>
      <c r="V28" s="2" t="inlineStr">
        <is>
          <t>https://www.target.com/sl/chelsea-23rd-and-8th/3412</t>
        </is>
      </c>
      <c r="W28" t="inlineStr">
        <is>
          <t>1007737504</t>
        </is>
      </c>
      <c r="X28" t="inlineStr">
        <is>
          <t>R-09</t>
        </is>
      </c>
      <c r="Y28" t="inlineStr">
        <is>
          <t>2026-10-23</t>
        </is>
      </c>
    </row>
    <row r="29">
      <c r="A29" t="inlineStr">
        <is>
          <t>B-R-028</t>
        </is>
      </c>
      <c r="B29" t="inlineStr">
        <is>
          <t>Target Kips Bay</t>
        </is>
      </c>
      <c r="C29" t="inlineStr">
        <is>
          <t>512 Second Avenue, New York, NY 10016</t>
        </is>
      </c>
      <c r="D29" t="n">
        <v>40.741225</v>
      </c>
      <c r="E29" t="n">
        <v>-73.978216</v>
      </c>
      <c r="F29" t="inlineStr">
        <is>
          <t>N</t>
        </is>
      </c>
      <c r="G29" t="n">
        <v>6</v>
      </c>
      <c r="H29" t="inlineStr">
        <is>
          <t>mass merchant grocery; emerging set unverified</t>
        </is>
      </c>
      <c r="I29" s="2" t="inlineStr">
        <is>
          <t>https://www.target.com/sl/kips-bay/3321</t>
        </is>
      </c>
      <c r="J29" t="inlineStr">
        <is>
          <t>2026-10-23</t>
        </is>
      </c>
      <c r="K29" t="inlineStr">
        <is>
          <t>high</t>
        </is>
      </c>
      <c r="L29" s="3" t="inlineStr">
        <is>
          <t>Buy-path tier C (mass, conventional or private label; landmark or weak buy path). Store page shows hours 8am to 10pm for 23-25 Oct. Second Ave at 29th-30th St, east of the box. Independent: NYS Agriculture and Markets retail food store licence 737637 ('TARGET STORE T-3321') at this address, dataset updated 2026-10-14 (https://data.ny.gov/resource/9a8c-vfzj.json?license_number=737637). Review round 2: corner lot: the lot-centroid pin sat 43 m from E 29 ST but 76 m from 2 AVE, so it was moved to the 2 AVE frontage near the corner (19 m from the 2 AVE centreline, 43 m from E 29 ST; 57 m from the old pin). Tax lot unchanged.</t>
        </is>
      </c>
      <c r="M29" t="inlineStr">
        <is>
          <t>C</t>
        </is>
      </c>
      <c r="N29" t="inlineStr">
        <is>
          <t>N</t>
        </is>
      </c>
      <c r="O29" t="inlineStr">
        <is>
          <t>Tier C (mass, conventional or private label): a landmark, not a buy path.</t>
        </is>
      </c>
      <c r="P29" t="inlineStr"/>
      <c r="Q29" t="inlineStr">
        <is>
          <t>7</t>
        </is>
      </c>
      <c r="R29" t="n">
        <v>0</v>
      </c>
      <c r="S29" t="inlineStr">
        <is>
          <t>B-B-079</t>
        </is>
      </c>
      <c r="T29" t="n">
        <v>7.7</v>
      </c>
      <c r="U29" t="inlineStr">
        <is>
          <t>no store-level evidence checked</t>
        </is>
      </c>
      <c r="V29" s="2" t="inlineStr">
        <is>
          <t>https://www.target.com/sl/kips-bay/3321</t>
        </is>
      </c>
      <c r="W29" t="inlineStr">
        <is>
          <t>1009340001</t>
        </is>
      </c>
      <c r="X29" t="inlineStr">
        <is>
          <t>R-08</t>
        </is>
      </c>
      <c r="Y29" t="inlineStr">
        <is>
          <t>2026-10-23</t>
        </is>
      </c>
    </row>
    <row r="30">
      <c r="A30" t="inlineStr">
        <is>
          <t>B-R-029</t>
        </is>
      </c>
      <c r="B30" t="inlineStr">
        <is>
          <t>Fairway Market Kips Bay</t>
        </is>
      </c>
      <c r="C30" t="inlineStr">
        <is>
          <t>550 Second Avenue, New York, NY 10016</t>
        </is>
      </c>
      <c r="D30" t="n">
        <v>40.74271</v>
      </c>
      <c r="E30" t="n">
        <v>-73.97677</v>
      </c>
      <c r="F30" t="inlineStr">
        <is>
          <t>N</t>
        </is>
      </c>
      <c r="G30" t="n">
        <v>7</v>
      </c>
      <c r="H30" t="inlineStr">
        <is>
          <t>specialty supermarket; emerging set unverified</t>
        </is>
      </c>
      <c r="I30" s="2" t="inlineStr">
        <is>
          <t>https://www.fairwaymarket.com/</t>
        </is>
      </c>
      <c r="J30" t="inlineStr">
        <is>
          <t>2026-10-23</t>
        </is>
      </c>
      <c r="K30" t="inlineStr">
        <is>
          <t>high</t>
        </is>
      </c>
      <c r="L30" s="3" t="inlineStr">
        <is>
          <t>Buy-path tier B (specialty, gourmet or natural format; emerging set not yet verified). Store record embedded in fairwaymarket.com: 'FAIRWAY MARKET OF KIPS BAY', 550 2ND AVENUE, status Active, 7 AM - 10 PM. Second Ave at 30th-31st St, near the outer limit of the ten-block range. Independent: NYS Agriculture and Markets retail food store licence 742908 ('FAIRWAY MARKET OF KIPS BAY (licensee VSM NY HOLDINGS LLC)') at this address, dataset updated 2026-10-14 (https://data.ny.gov/resource/9a8c-vfzj.json?license_number=742908).</t>
        </is>
      </c>
      <c r="M30" t="inlineStr">
        <is>
          <t>B</t>
        </is>
      </c>
      <c r="N30" t="inlineStr">
        <is>
          <t>Y</t>
        </is>
      </c>
      <c r="O30" t="inlineStr"/>
      <c r="P30" t="inlineStr">
        <is>
          <t>Specialty supermarket</t>
        </is>
      </c>
      <c r="Q30" t="inlineStr">
        <is>
          <t>8</t>
        </is>
      </c>
      <c r="R30" t="n">
        <v>0</v>
      </c>
      <c r="S30" t="inlineStr">
        <is>
          <t>B-B-080</t>
        </is>
      </c>
      <c r="T30" t="n">
        <v>8.300000000000001</v>
      </c>
      <c r="U30" t="inlineStr">
        <is>
          <t>no store-level evidence checked</t>
        </is>
      </c>
      <c r="V30" s="2" t="inlineStr">
        <is>
          <t>https://www.fairwaymarket.com/</t>
        </is>
      </c>
      <c r="W30" t="inlineStr">
        <is>
          <t>1009360001</t>
        </is>
      </c>
      <c r="X30" t="inlineStr">
        <is>
          <t>R-12</t>
        </is>
      </c>
      <c r="Y30" t="inlineStr">
        <is>
          <t>2026-10-23</t>
        </is>
      </c>
    </row>
    <row r="31">
      <c r="A31" t="inlineStr">
        <is>
          <t>B-R-030</t>
        </is>
      </c>
      <c r="B31" t="inlineStr">
        <is>
          <t>Morton Williams (311 East 23rd St)</t>
        </is>
      </c>
      <c r="C31" t="inlineStr">
        <is>
          <t>311 East 23rd Street, New York, NY 10010</t>
        </is>
      </c>
      <c r="D31" t="n">
        <v>40.737748</v>
      </c>
      <c r="E31" t="n">
        <v>-73.97990900000001</v>
      </c>
      <c r="F31" t="inlineStr">
        <is>
          <t>N</t>
        </is>
      </c>
      <c r="G31" t="n">
        <v>7</v>
      </c>
      <c r="H31" t="inlineStr">
        <is>
          <t>conventional supermarket; natural or emerging set unverified</t>
        </is>
      </c>
      <c r="I31" s="2" t="inlineStr">
        <is>
          <t>https://www.mortonwilliams.com/our-locations</t>
        </is>
      </c>
      <c r="J31" t="inlineStr">
        <is>
          <t>2026-10-23</t>
        </is>
      </c>
      <c r="K31" t="inlineStr">
        <is>
          <t>high</t>
        </is>
      </c>
      <c r="L31" s="3" t="inlineStr">
        <is>
          <t>Buy-path tier C (mass, conventional or private label; landmark or weak buy path). Locations page: '311 East 23rd Street (2nd Avenue)', 7 AM - 1 AM. East of the box. Independent: NYS Agriculture and Markets retail food store licence 768353 ('MORTON WILLIAMS SUPERMARKET', 14,500 sq ft) at this address, dataset updated 2026-10-14 (https://data.ny.gov/resource/9a8c-vfzj.json?license_number=768353).</t>
        </is>
      </c>
      <c r="M31" t="inlineStr">
        <is>
          <t>C</t>
        </is>
      </c>
      <c r="N31" t="inlineStr">
        <is>
          <t>N</t>
        </is>
      </c>
      <c r="O31" t="inlineStr">
        <is>
          <t>Tier C (mass, conventional or private label): a landmark, not a buy path.</t>
        </is>
      </c>
      <c r="P31" t="inlineStr"/>
      <c r="Q31" t="inlineStr">
        <is>
          <t>8</t>
        </is>
      </c>
      <c r="R31" t="n">
        <v>0</v>
      </c>
      <c r="S31" t="inlineStr">
        <is>
          <t>B-B-044</t>
        </is>
      </c>
      <c r="T31" t="n">
        <v>8.699999999999999</v>
      </c>
      <c r="U31" t="inlineStr">
        <is>
          <t>none found</t>
        </is>
      </c>
      <c r="V31" s="2" t="inlineStr">
        <is>
          <t>https://www.mortonwilliams.com/our-locations</t>
        </is>
      </c>
      <c r="W31" t="inlineStr">
        <is>
          <t>1009290001</t>
        </is>
      </c>
      <c r="X31" t="inlineStr">
        <is>
          <t>R-21</t>
        </is>
      </c>
      <c r="Y31" t="inlineStr">
        <is>
          <t>2026-10-23</t>
        </is>
      </c>
    </row>
  </sheetData>
  <autoFilter ref="A1:Y31"/>
  <hyperlinks>
    <hyperlink xmlns:r="http://schemas.openxmlformats.org/officeDocument/2006/relationships" ref="I2" r:id="rId1"/>
    <hyperlink xmlns:r="http://schemas.openxmlformats.org/officeDocument/2006/relationships" ref="V2" r:id="rId2"/>
    <hyperlink xmlns:r="http://schemas.openxmlformats.org/officeDocument/2006/relationships" ref="I3" r:id="rId3"/>
    <hyperlink xmlns:r="http://schemas.openxmlformats.org/officeDocument/2006/relationships" ref="V3" r:id="rId4"/>
    <hyperlink xmlns:r="http://schemas.openxmlformats.org/officeDocument/2006/relationships" ref="I4" r:id="rId5"/>
    <hyperlink xmlns:r="http://schemas.openxmlformats.org/officeDocument/2006/relationships" ref="V4" r:id="rId6"/>
    <hyperlink xmlns:r="http://schemas.openxmlformats.org/officeDocument/2006/relationships" ref="I5" r:id="rId7"/>
    <hyperlink xmlns:r="http://schemas.openxmlformats.org/officeDocument/2006/relationships" ref="V5" r:id="rId8"/>
    <hyperlink xmlns:r="http://schemas.openxmlformats.org/officeDocument/2006/relationships" ref="I6" r:id="rId9"/>
    <hyperlink xmlns:r="http://schemas.openxmlformats.org/officeDocument/2006/relationships" ref="V6" r:id="rId10"/>
    <hyperlink xmlns:r="http://schemas.openxmlformats.org/officeDocument/2006/relationships" ref="I7" r:id="rId11"/>
    <hyperlink xmlns:r="http://schemas.openxmlformats.org/officeDocument/2006/relationships" ref="V7" r:id="rId12"/>
    <hyperlink xmlns:r="http://schemas.openxmlformats.org/officeDocument/2006/relationships" ref="I8" r:id="rId13"/>
    <hyperlink xmlns:r="http://schemas.openxmlformats.org/officeDocument/2006/relationships" ref="V8" r:id="rId14"/>
    <hyperlink xmlns:r="http://schemas.openxmlformats.org/officeDocument/2006/relationships" ref="I9" r:id="rId15"/>
    <hyperlink xmlns:r="http://schemas.openxmlformats.org/officeDocument/2006/relationships" ref="V9" r:id="rId16"/>
    <hyperlink xmlns:r="http://schemas.openxmlformats.org/officeDocument/2006/relationships" ref="I10" r:id="rId17"/>
    <hyperlink xmlns:r="http://schemas.openxmlformats.org/officeDocument/2006/relationships" ref="V10" r:id="rId18"/>
    <hyperlink xmlns:r="http://schemas.openxmlformats.org/officeDocument/2006/relationships" ref="I11" r:id="rId19"/>
    <hyperlink xmlns:r="http://schemas.openxmlformats.org/officeDocument/2006/relationships" ref="V11" r:id="rId20"/>
    <hyperlink xmlns:r="http://schemas.openxmlformats.org/officeDocument/2006/relationships" ref="I12" r:id="rId21"/>
    <hyperlink xmlns:r="http://schemas.openxmlformats.org/officeDocument/2006/relationships" ref="V12" r:id="rId22"/>
    <hyperlink xmlns:r="http://schemas.openxmlformats.org/officeDocument/2006/relationships" ref="I13" r:id="rId23"/>
    <hyperlink xmlns:r="http://schemas.openxmlformats.org/officeDocument/2006/relationships" ref="V13" r:id="rId24"/>
    <hyperlink xmlns:r="http://schemas.openxmlformats.org/officeDocument/2006/relationships" ref="I14" r:id="rId25"/>
    <hyperlink xmlns:r="http://schemas.openxmlformats.org/officeDocument/2006/relationships" ref="V14" r:id="rId26"/>
    <hyperlink xmlns:r="http://schemas.openxmlformats.org/officeDocument/2006/relationships" ref="I15" r:id="rId27"/>
    <hyperlink xmlns:r="http://schemas.openxmlformats.org/officeDocument/2006/relationships" ref="V15" r:id="rId28"/>
    <hyperlink xmlns:r="http://schemas.openxmlformats.org/officeDocument/2006/relationships" ref="I16" r:id="rId29"/>
    <hyperlink xmlns:r="http://schemas.openxmlformats.org/officeDocument/2006/relationships" ref="V16" r:id="rId30"/>
    <hyperlink xmlns:r="http://schemas.openxmlformats.org/officeDocument/2006/relationships" ref="I17" r:id="rId31"/>
    <hyperlink xmlns:r="http://schemas.openxmlformats.org/officeDocument/2006/relationships" ref="V17" r:id="rId32"/>
    <hyperlink xmlns:r="http://schemas.openxmlformats.org/officeDocument/2006/relationships" ref="I18" r:id="rId33"/>
    <hyperlink xmlns:r="http://schemas.openxmlformats.org/officeDocument/2006/relationships" ref="V18" r:id="rId34"/>
    <hyperlink xmlns:r="http://schemas.openxmlformats.org/officeDocument/2006/relationships" ref="I19" r:id="rId35"/>
    <hyperlink xmlns:r="http://schemas.openxmlformats.org/officeDocument/2006/relationships" ref="V19" r:id="rId36"/>
    <hyperlink xmlns:r="http://schemas.openxmlformats.org/officeDocument/2006/relationships" ref="I20" r:id="rId37"/>
    <hyperlink xmlns:r="http://schemas.openxmlformats.org/officeDocument/2006/relationships" ref="V20" r:id="rId38"/>
    <hyperlink xmlns:r="http://schemas.openxmlformats.org/officeDocument/2006/relationships" ref="I21" r:id="rId39"/>
    <hyperlink xmlns:r="http://schemas.openxmlformats.org/officeDocument/2006/relationships" ref="V21" r:id="rId40"/>
    <hyperlink xmlns:r="http://schemas.openxmlformats.org/officeDocument/2006/relationships" ref="I22" r:id="rId41"/>
    <hyperlink xmlns:r="http://schemas.openxmlformats.org/officeDocument/2006/relationships" ref="V22" r:id="rId42"/>
    <hyperlink xmlns:r="http://schemas.openxmlformats.org/officeDocument/2006/relationships" ref="I23" r:id="rId43"/>
    <hyperlink xmlns:r="http://schemas.openxmlformats.org/officeDocument/2006/relationships" ref="V23" r:id="rId44"/>
    <hyperlink xmlns:r="http://schemas.openxmlformats.org/officeDocument/2006/relationships" ref="I24" r:id="rId45"/>
    <hyperlink xmlns:r="http://schemas.openxmlformats.org/officeDocument/2006/relationships" ref="V24" r:id="rId46"/>
    <hyperlink xmlns:r="http://schemas.openxmlformats.org/officeDocument/2006/relationships" ref="I25" r:id="rId47"/>
    <hyperlink xmlns:r="http://schemas.openxmlformats.org/officeDocument/2006/relationships" ref="V25" r:id="rId48"/>
    <hyperlink xmlns:r="http://schemas.openxmlformats.org/officeDocument/2006/relationships" ref="I26" r:id="rId49"/>
    <hyperlink xmlns:r="http://schemas.openxmlformats.org/officeDocument/2006/relationships" ref="V26" r:id="rId50"/>
    <hyperlink xmlns:r="http://schemas.openxmlformats.org/officeDocument/2006/relationships" ref="I27" r:id="rId51"/>
    <hyperlink xmlns:r="http://schemas.openxmlformats.org/officeDocument/2006/relationships" ref="V27" r:id="rId52"/>
    <hyperlink xmlns:r="http://schemas.openxmlformats.org/officeDocument/2006/relationships" ref="I28" r:id="rId53"/>
    <hyperlink xmlns:r="http://schemas.openxmlformats.org/officeDocument/2006/relationships" ref="V28" r:id="rId54"/>
    <hyperlink xmlns:r="http://schemas.openxmlformats.org/officeDocument/2006/relationships" ref="I29" r:id="rId55"/>
    <hyperlink xmlns:r="http://schemas.openxmlformats.org/officeDocument/2006/relationships" ref="V29" r:id="rId56"/>
    <hyperlink xmlns:r="http://schemas.openxmlformats.org/officeDocument/2006/relationships" ref="I30" r:id="rId57"/>
    <hyperlink xmlns:r="http://schemas.openxmlformats.org/officeDocument/2006/relationships" ref="V30" r:id="rId58"/>
    <hyperlink xmlns:r="http://schemas.openxmlformats.org/officeDocument/2006/relationships" ref="I31" r:id="rId59"/>
    <hyperlink xmlns:r="http://schemas.openxmlformats.org/officeDocument/2006/relationships" ref="V31" r:id="rId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5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30" customWidth="1" min="3" max="3"/>
    <col width="13" customWidth="1" min="4" max="4"/>
    <col width="30" customWidth="1" min="5" max="5"/>
    <col width="11" customWidth="1" min="6" max="6"/>
    <col width="12" customWidth="1" min="7" max="7"/>
    <col width="16" customWidth="1" min="8" max="8"/>
    <col width="12" customWidth="1" min="9" max="9"/>
    <col width="11" customWidth="1" min="10" max="10"/>
    <col width="11" customWidth="1" min="11" max="11"/>
    <col width="16" customWidth="1" min="12" max="12"/>
    <col width="18" customWidth="1" min="13" max="13"/>
    <col width="18" customWidth="1" min="14" max="14"/>
    <col width="15" customWidth="1" min="15" max="15"/>
    <col width="17" customWidth="1" min="16" max="16"/>
    <col width="17" customWidth="1" min="17" max="17"/>
    <col width="11" customWidth="1" min="18" max="18"/>
    <col width="23" customWidth="1" min="19" max="19"/>
    <col width="12" customWidth="1" min="20" max="20"/>
    <col width="14" customWidth="1" min="21" max="21"/>
    <col width="12" customWidth="1" min="22" max="22"/>
    <col width="12" customWidth="1" min="23" max="23"/>
    <col width="24" customWidth="1" min="24" max="24"/>
    <col width="15" customWidth="1" min="25" max="25"/>
    <col width="80" customWidth="1" min="26" max="26"/>
    <col width="11" customWidth="1" min="27" max="27"/>
  </cols>
  <sheetData>
    <row r="1">
      <c r="A1" s="4">
        <f>company_name&amp;": model ten-stop Tuesday route, 8 to 11 am, on foot from the first stop (all times are estimates)"</f>
        <v/>
      </c>
    </row>
    <row r="2">
      <c r="A2" s="5" t="inlineStr">
        <is>
          <t>Parameters (yellow cells are editable; every time below recalculates)</t>
        </is>
      </c>
    </row>
    <row r="3">
      <c r="A3" t="inlineStr">
        <is>
          <t>hand_truck_pace_m_per_min</t>
        </is>
      </c>
      <c r="B3" s="6" t="n">
        <v>64</v>
      </c>
      <c r="C3" s="7" t="inlineStr">
        <is>
          <t>MUTCD 2009 4E.06: 3.5 ft/s design walking speed (64 m/min). https://mutcd.fhwa.dot.gov/htm/2009/part4/part4e.htm</t>
        </is>
      </c>
    </row>
    <row r="4">
      <c r="A4" t="inlineStr">
        <is>
          <t>wait_avenue_crossing_s</t>
        </is>
      </c>
      <c r="B4" s="6" t="n">
        <v>25</v>
      </c>
      <c r="C4" s="7" t="inlineStr">
        <is>
          <t>Assumption: expected wait at an avenue crossing with a hand truck. Time it on the walk.</t>
        </is>
      </c>
    </row>
    <row r="5">
      <c r="A5" t="inlineStr">
        <is>
          <t>wait_street_crossing_s</t>
        </is>
      </c>
      <c r="B5" s="6" t="n">
        <v>15</v>
      </c>
      <c r="C5" s="7" t="inlineStr">
        <is>
          <t>Assumption: expected wait crossing a side street. Time it on the walk.</t>
        </is>
      </c>
    </row>
    <row r="6">
      <c r="A6" t="inlineStr">
        <is>
          <t>minutes_per_stop</t>
        </is>
      </c>
      <c r="B6" s="6" t="n">
        <v>15</v>
      </c>
      <c r="C6" s="7" t="inlineStr">
        <is>
          <t>plan.md Phase 3, per-stop procedure: 15 minutes.</t>
        </is>
      </c>
    </row>
    <row r="7">
      <c r="A7" t="inlineStr">
        <is>
          <t>same_building_transfer_min</t>
        </is>
      </c>
      <c r="B7" s="6" t="n">
        <v>3</v>
      </c>
      <c r="C7" s="7" t="inlineStr">
        <is>
          <t>Assumption: down one elevator and up another.</t>
        </is>
      </c>
    </row>
    <row r="8">
      <c r="A8" t="inlineStr">
        <is>
          <t>route_start</t>
        </is>
      </c>
      <c r="B8" s="8" t="n">
        <v>0.3333333333333333</v>
      </c>
      <c r="C8" s="7" t="inlineStr">
        <is>
          <t>Window opens (plan.md).</t>
        </is>
      </c>
    </row>
    <row r="9">
      <c r="A9" t="inlineStr">
        <is>
          <t>window_minutes</t>
        </is>
      </c>
      <c r="B9" s="6" t="n">
        <v>180</v>
      </c>
      <c r="C9" s="7" t="inlineStr">
        <is>
          <t>8 to 11 am.</t>
        </is>
      </c>
    </row>
    <row r="10">
      <c r="A10" t="inlineStr">
        <is>
          <t>car_overhead_min</t>
        </is>
      </c>
      <c r="B10" s="6" t="n">
        <v>8</v>
      </c>
      <c r="C10" s="7" t="inlineStr">
        <is>
          <t>Assumption: 5 min to hail and load the hand truck, 3 min to unload.</t>
        </is>
      </c>
    </row>
    <row r="11">
      <c r="A11" t="inlineStr">
        <is>
          <t>car_speed_mph</t>
        </is>
      </c>
      <c r="B11" s="6" t="n">
        <v>9.699999999999999</v>
      </c>
      <c r="C11" s="7" t="inlineStr">
        <is>
          <t>NBER Digest 2025-06-01: CBD average speed rose from 8.2 to 9.7 mph after congestion pricing. https://www.nber.org/digest/202506/impact-new-york-citys-congestion-pricing-program</t>
        </is>
      </c>
    </row>
    <row r="12">
      <c r="A12" t="inlineStr">
        <is>
          <t>car_detour_factor</t>
        </is>
      </c>
      <c r="B12" s="6" t="n">
        <v>1.3</v>
      </c>
      <c r="C12" s="7" t="inlineStr">
        <is>
          <t>Assumption: one-way streets and turns.</t>
        </is>
      </c>
    </row>
    <row r="13">
      <c r="A13" t="inlineStr">
        <is>
          <t>cases_per_load</t>
        </is>
      </c>
      <c r="B13" s="6" t="n">
        <v>5</v>
      </c>
      <c r="C13" s="7" t="inlineStr">
        <is>
          <t>Review round 2: cases the hand truck takes per loop. plan.md: five offices are five to eight cases and two car rides. Set 10 for light snacks if the truck takes all ten.</t>
        </is>
      </c>
    </row>
    <row r="14">
      <c r="A14" t="inlineStr">
        <is>
          <t>reload_minutes</t>
        </is>
      </c>
      <c r="B14" s="6" t="n">
        <v>20</v>
      </c>
      <c r="C14" s="7" t="inlineStr">
        <is>
          <t>Review round 2, assumption: meet the car or van, reload and re-strap between loops. Time it on the walk.</t>
        </is>
      </c>
    </row>
    <row r="17">
      <c r="A17" s="1" t="inlineStr">
        <is>
          <t>stop</t>
        </is>
      </c>
      <c r="B17" s="1" t="inlineStr">
        <is>
          <t>company_id</t>
        </is>
      </c>
      <c r="C17" s="1" t="inlineStr">
        <is>
          <t>company_name</t>
        </is>
      </c>
      <c r="D17" s="1" t="inlineStr">
        <is>
          <t>building_id</t>
        </is>
      </c>
      <c r="E17" s="1" t="inlineStr">
        <is>
          <t>street_address</t>
        </is>
      </c>
      <c r="F17" s="1" t="inlineStr">
        <is>
          <t>floor</t>
        </is>
      </c>
      <c r="G17" s="1" t="inlineStr">
        <is>
          <t>lobby_type</t>
        </is>
      </c>
      <c r="H17" s="1" t="inlineStr">
        <is>
          <t>headcount_band</t>
        </is>
      </c>
      <c r="I17" s="1" t="inlineStr">
        <is>
          <t>confidence</t>
        </is>
      </c>
      <c r="J17" s="1" t="inlineStr">
        <is>
          <t>lat</t>
        </is>
      </c>
      <c r="K17" s="1" t="inlineStr">
        <is>
          <t>lon</t>
        </is>
      </c>
      <c r="L17" s="1" t="inlineStr">
        <is>
          <t>leg_metres_est</t>
        </is>
      </c>
      <c r="M17" s="1" t="inlineStr">
        <is>
          <t>avenue_crossings</t>
        </is>
      </c>
      <c r="N17" s="1" t="inlineStr">
        <is>
          <t>street_crossings</t>
        </is>
      </c>
      <c r="O17" s="1" t="inlineStr">
        <is>
          <t>same_building</t>
        </is>
      </c>
      <c r="P17" s="1" t="inlineStr">
        <is>
          <t>leg_minutes_est</t>
        </is>
      </c>
      <c r="Q17" s="1" t="inlineStr">
        <is>
          <t>car_minutes_est</t>
        </is>
      </c>
      <c r="R17" s="1" t="inlineStr">
        <is>
          <t>load</t>
        </is>
      </c>
      <c r="S17" s="1" t="inlineStr">
        <is>
          <t>reload_minutes_before</t>
        </is>
      </c>
      <c r="T17" s="1" t="inlineStr">
        <is>
          <t>car_faster</t>
        </is>
      </c>
      <c r="U17" s="1" t="inlineStr">
        <is>
          <t>stop_minutes</t>
        </is>
      </c>
      <c r="V17" s="1" t="inlineStr">
        <is>
          <t>arrive_est</t>
        </is>
      </c>
      <c r="W17" s="1" t="inlineStr">
        <is>
          <t>depart_est</t>
        </is>
      </c>
      <c r="X17" s="1" t="inlineStr">
        <is>
          <t>receiving_window_from_intake</t>
        </is>
      </c>
      <c r="Y17" s="1" t="inlineStr">
        <is>
          <t>entrance_note</t>
        </is>
      </c>
      <c r="Z17" s="1" t="inlineStr">
        <is>
          <t>notes</t>
        </is>
      </c>
      <c r="AA17" s="1" t="inlineStr">
        <is>
          <t>label</t>
        </is>
      </c>
    </row>
    <row r="18">
      <c r="A18" t="n">
        <v>1</v>
      </c>
      <c r="B18" t="inlineStr">
        <is>
          <t>B-C-031</t>
        </is>
      </c>
      <c r="C18" t="inlineStr">
        <is>
          <t>Dashlane</t>
        </is>
      </c>
      <c r="D18" t="inlineStr">
        <is>
          <t>B-B-013</t>
        </is>
      </c>
      <c r="E18" t="inlineStr">
        <is>
          <t>44 West 18th Street</t>
        </is>
      </c>
      <c r="F18" t="inlineStr">
        <is>
          <t>4</t>
        </is>
      </c>
      <c r="G18" t="inlineStr">
        <is>
          <t>unknown</t>
        </is>
      </c>
      <c r="H18" t="inlineStr">
        <is>
          <t>251-500</t>
        </is>
      </c>
      <c r="I18" t="inlineStr">
        <is>
          <t>high</t>
        </is>
      </c>
      <c r="J18" t="n">
        <v>40.739342</v>
      </c>
      <c r="K18" t="n">
        <v>-73.994287</v>
      </c>
      <c r="L18" t="n">
        <v>0</v>
      </c>
      <c r="M18" t="n">
        <v>0</v>
      </c>
      <c r="N18" t="n">
        <v>0</v>
      </c>
      <c r="O18" t="inlineStr"/>
      <c r="P18" t="n">
        <v>0</v>
      </c>
      <c r="Q18" t="inlineStr"/>
      <c r="R18">
        <f>INT((A18-1)/$B$13)+1</f>
        <v/>
      </c>
      <c r="S18">
        <f>IF(AND(A18&gt;1,MOD(A18-1,$B$13)=0),$B$14,0)</f>
        <v/>
      </c>
      <c r="T18" t="inlineStr"/>
      <c r="U18">
        <f>$B$6</f>
        <v/>
      </c>
      <c r="V18" s="9">
        <f>$B$8</f>
        <v/>
      </c>
      <c r="W18" s="9">
        <f>V18+U18/1440</f>
        <v/>
      </c>
      <c r="X18" t="inlineStr"/>
      <c r="Y18" t="inlineStr"/>
      <c r="Z18" t="inlineStr"/>
      <c r="AA18" t="inlineStr">
        <is>
          <t>estimate</t>
        </is>
      </c>
    </row>
    <row r="19">
      <c r="A19" t="n">
        <v>2</v>
      </c>
      <c r="B19" t="inlineStr">
        <is>
          <t>B-C-050</t>
        </is>
      </c>
      <c r="C19" t="inlineStr">
        <is>
          <t>Global Trading Systems (GTS)</t>
        </is>
      </c>
      <c r="D19" t="inlineStr">
        <is>
          <t>B-B-020</t>
        </is>
      </c>
      <c r="E19" t="inlineStr">
        <is>
          <t>625 Avenue of the Americas</t>
        </is>
      </c>
      <c r="F19" t="inlineStr">
        <is>
          <t>3</t>
        </is>
      </c>
      <c r="G19" t="inlineStr">
        <is>
          <t>unknown</t>
        </is>
      </c>
      <c r="H19" t="inlineStr">
        <is>
          <t>251-500</t>
        </is>
      </c>
      <c r="I19" t="inlineStr">
        <is>
          <t>high</t>
        </is>
      </c>
      <c r="J19" t="n">
        <v>40.74024</v>
      </c>
      <c r="K19" t="n">
        <v>-73.994996</v>
      </c>
      <c r="L19" t="n">
        <v>150</v>
      </c>
      <c r="M19" t="n">
        <v>1</v>
      </c>
      <c r="N19" t="n">
        <v>1</v>
      </c>
      <c r="O19" t="inlineStr">
        <is>
          <t>N</t>
        </is>
      </c>
      <c r="P19">
        <f>ROUND(IF(O19="Y",$B$7,L19/$B$3+(M19*$B$4+N19*$B$5)/60),1)</f>
        <v/>
      </c>
      <c r="Q19">
        <f>IF(O19="Y","",ROUND($B$10+L19*$B$12/($B$11*1609.344/60),1))</f>
        <v/>
      </c>
      <c r="R19">
        <f>INT((A19-1)/$B$13)+1</f>
        <v/>
      </c>
      <c r="S19">
        <f>IF(AND(A19&gt;1,MOD(A19-1,$B$13)=0),$B$14,0)</f>
        <v/>
      </c>
      <c r="T19">
        <f>IF(Q19="","",IF(Q19&lt;P19,"Y","N"))</f>
        <v/>
      </c>
      <c r="U19">
        <f>$B$6</f>
        <v/>
      </c>
      <c r="V19" s="9">
        <f>W18+(P19+S19)/1440</f>
        <v/>
      </c>
      <c r="W19" s="9">
        <f>V19+U19/1440</f>
        <v/>
      </c>
      <c r="X19" t="inlineStr"/>
      <c r="Y19" t="inlineStr">
        <is>
          <t>Corner building: the address is on Avenue of the Americas, and the building also fronts West 19th Street. The pin sits on the Avenue of the Americas side; check which door takes deliveries.</t>
        </is>
      </c>
      <c r="Z19" t="inlineStr"/>
      <c r="AA19" t="inlineStr">
        <is>
          <t>estimate</t>
        </is>
      </c>
    </row>
    <row r="20">
      <c r="A20" t="n">
        <v>3</v>
      </c>
      <c r="B20" t="inlineStr">
        <is>
          <t>B-C-085</t>
        </is>
      </c>
      <c r="C20" t="inlineStr">
        <is>
          <t>Empathy</t>
        </is>
      </c>
      <c r="D20" t="inlineStr">
        <is>
          <t>B-B-039</t>
        </is>
      </c>
      <c r="E20" t="inlineStr">
        <is>
          <t>56 West 22nd Street</t>
        </is>
      </c>
      <c r="F20" t="inlineStr">
        <is>
          <t>PH</t>
        </is>
      </c>
      <c r="G20" t="inlineStr">
        <is>
          <t>unknown</t>
        </is>
      </c>
      <c r="H20" t="inlineStr">
        <is>
          <t>151-250</t>
        </is>
      </c>
      <c r="I20" t="inlineStr">
        <is>
          <t>high</t>
        </is>
      </c>
      <c r="J20" t="n">
        <v>40.741838</v>
      </c>
      <c r="K20" t="n">
        <v>-73.992892</v>
      </c>
      <c r="L20" t="n">
        <v>332</v>
      </c>
      <c r="M20" t="n">
        <v>1</v>
      </c>
      <c r="N20" t="n">
        <v>3</v>
      </c>
      <c r="O20" t="inlineStr">
        <is>
          <t>N</t>
        </is>
      </c>
      <c r="P20">
        <f>ROUND(IF(O20="Y",$B$7,L20/$B$3+(M20*$B$4+N20*$B$5)/60),1)</f>
        <v/>
      </c>
      <c r="Q20">
        <f>IF(O20="Y","",ROUND($B$10+L20*$B$12/($B$11*1609.344/60),1))</f>
        <v/>
      </c>
      <c r="R20">
        <f>INT((A20-1)/$B$13)+1</f>
        <v/>
      </c>
      <c r="S20">
        <f>IF(AND(A20&gt;1,MOD(A20-1,$B$13)=0),$B$14,0)</f>
        <v/>
      </c>
      <c r="T20">
        <f>IF(Q20="","",IF(Q20&lt;P20,"Y","N"))</f>
        <v/>
      </c>
      <c r="U20">
        <f>$B$6</f>
        <v/>
      </c>
      <c r="V20" s="9">
        <f>W19+(P20+S20)/1440</f>
        <v/>
      </c>
      <c r="W20" s="9">
        <f>V20+U20/1440</f>
        <v/>
      </c>
      <c r="X20" t="inlineStr"/>
      <c r="Y20" t="inlineStr"/>
      <c r="Z20" t="inlineStr"/>
      <c r="AA20" t="inlineStr">
        <is>
          <t>estimate</t>
        </is>
      </c>
    </row>
    <row r="21">
      <c r="A21" t="n">
        <v>4</v>
      </c>
      <c r="B21" t="inlineStr">
        <is>
          <t>B-C-098</t>
        </is>
      </c>
      <c r="C21" t="inlineStr">
        <is>
          <t>BrainPOP</t>
        </is>
      </c>
      <c r="D21" t="inlineStr">
        <is>
          <t>B-B-048</t>
        </is>
      </c>
      <c r="E21" t="inlineStr">
        <is>
          <t>71 West 23rd Street</t>
        </is>
      </c>
      <c r="F21" t="inlineStr">
        <is>
          <t>17</t>
        </is>
      </c>
      <c r="G21" t="inlineStr">
        <is>
          <t>unknown</t>
        </is>
      </c>
      <c r="H21" t="inlineStr">
        <is>
          <t>151-250</t>
        </is>
      </c>
      <c r="I21" t="inlineStr">
        <is>
          <t>high</t>
        </is>
      </c>
      <c r="J21" t="n">
        <v>40.743043</v>
      </c>
      <c r="K21" t="n">
        <v>-73.99233</v>
      </c>
      <c r="L21" t="n">
        <v>157</v>
      </c>
      <c r="M21" t="n">
        <v>0</v>
      </c>
      <c r="N21" t="n">
        <v>2</v>
      </c>
      <c r="O21" t="inlineStr">
        <is>
          <t>N</t>
        </is>
      </c>
      <c r="P21">
        <f>ROUND(IF(O21="Y",$B$7,L21/$B$3+(M21*$B$4+N21*$B$5)/60),1)</f>
        <v/>
      </c>
      <c r="Q21">
        <f>IF(O21="Y","",ROUND($B$10+L21*$B$12/($B$11*1609.344/60),1))</f>
        <v/>
      </c>
      <c r="R21">
        <f>INT((A21-1)/$B$13)+1</f>
        <v/>
      </c>
      <c r="S21">
        <f>IF(AND(A21&gt;1,MOD(A21-1,$B$13)=0),$B$14,0)</f>
        <v/>
      </c>
      <c r="T21">
        <f>IF(Q21="","",IF(Q21&lt;P21,"Y","N"))</f>
        <v/>
      </c>
      <c r="U21">
        <f>$B$6</f>
        <v/>
      </c>
      <c r="V21" s="9">
        <f>W20+(P21+S21)/1440</f>
        <v/>
      </c>
      <c r="W21" s="9">
        <f>V21+U21/1440</f>
        <v/>
      </c>
      <c r="X21" t="inlineStr"/>
      <c r="Y21" t="inlineStr"/>
      <c r="Z21" t="inlineStr"/>
      <c r="AA21" t="inlineStr">
        <is>
          <t>estimate</t>
        </is>
      </c>
    </row>
    <row r="22">
      <c r="A22" t="n">
        <v>5</v>
      </c>
      <c r="B22" t="inlineStr">
        <is>
          <t>B-C-096</t>
        </is>
      </c>
      <c r="C22" t="inlineStr">
        <is>
          <t>Inspiren</t>
        </is>
      </c>
      <c r="D22" t="inlineStr">
        <is>
          <t>B-B-047</t>
        </is>
      </c>
      <c r="E22" t="inlineStr">
        <is>
          <t>61 West 23rd Street</t>
        </is>
      </c>
      <c r="F22" t="inlineStr">
        <is>
          <t>full floor (floor number not stated)</t>
        </is>
      </c>
      <c r="G22" t="inlineStr">
        <is>
          <t>unknown</t>
        </is>
      </c>
      <c r="H22" t="inlineStr">
        <is>
          <t>76-150</t>
        </is>
      </c>
      <c r="I22" t="inlineStr">
        <is>
          <t>high</t>
        </is>
      </c>
      <c r="J22" t="n">
        <v>40.742771</v>
      </c>
      <c r="K22" t="n">
        <v>-73.991782</v>
      </c>
      <c r="L22" t="n">
        <v>55</v>
      </c>
      <c r="M22" t="n">
        <v>0</v>
      </c>
      <c r="N22" t="n">
        <v>0</v>
      </c>
      <c r="O22" t="inlineStr">
        <is>
          <t>N</t>
        </is>
      </c>
      <c r="P22">
        <f>ROUND(IF(O22="Y",$B$7,L22/$B$3+(M22*$B$4+N22*$B$5)/60),1)</f>
        <v/>
      </c>
      <c r="Q22">
        <f>IF(O22="Y","",ROUND($B$10+L22*$B$12/($B$11*1609.344/60),1))</f>
        <v/>
      </c>
      <c r="R22">
        <f>INT((A22-1)/$B$13)+1</f>
        <v/>
      </c>
      <c r="S22">
        <f>IF(AND(A22&gt;1,MOD(A22-1,$B$13)=0),$B$14,0)</f>
        <v/>
      </c>
      <c r="T22">
        <f>IF(Q22="","",IF(Q22&lt;P22,"Y","N"))</f>
        <v/>
      </c>
      <c r="U22">
        <f>$B$6</f>
        <v/>
      </c>
      <c r="V22" s="9">
        <f>W21+(P22+S22)/1440</f>
        <v/>
      </c>
      <c r="W22" s="9">
        <f>V22+U22/1440</f>
        <v/>
      </c>
      <c r="X22" t="inlineStr"/>
      <c r="Y22" t="inlineStr"/>
      <c r="Z22" t="inlineStr"/>
      <c r="AA22" t="inlineStr">
        <is>
          <t>estimate</t>
        </is>
      </c>
    </row>
    <row r="23">
      <c r="A23" t="n">
        <v>6</v>
      </c>
      <c r="B23" t="inlineStr">
        <is>
          <t>B-C-101</t>
        </is>
      </c>
      <c r="C23" t="inlineStr">
        <is>
          <t>TripleLift</t>
        </is>
      </c>
      <c r="D23" t="inlineStr">
        <is>
          <t>B-B-050</t>
        </is>
      </c>
      <c r="E23" t="inlineStr">
        <is>
          <t>53 West 23rd Street</t>
        </is>
      </c>
      <c r="F23" t="inlineStr">
        <is>
          <t>12</t>
        </is>
      </c>
      <c r="G23" t="inlineStr">
        <is>
          <t>security desk</t>
        </is>
      </c>
      <c r="H23" t="inlineStr">
        <is>
          <t>251-500</t>
        </is>
      </c>
      <c r="I23" t="inlineStr">
        <is>
          <t>high</t>
        </is>
      </c>
      <c r="J23" t="n">
        <v>40.742654</v>
      </c>
      <c r="K23" t="n">
        <v>-73.991559</v>
      </c>
      <c r="L23" t="n">
        <v>23</v>
      </c>
      <c r="M23" t="n">
        <v>0</v>
      </c>
      <c r="N23" t="n">
        <v>0</v>
      </c>
      <c r="O23" t="inlineStr">
        <is>
          <t>N</t>
        </is>
      </c>
      <c r="P23">
        <f>ROUND(IF(O23="Y",$B$7,L23/$B$3+(M23*$B$4+N23*$B$5)/60),1)</f>
        <v/>
      </c>
      <c r="Q23">
        <f>IF(O23="Y","",ROUND($B$10+L23*$B$12/($B$11*1609.344/60),1))</f>
        <v/>
      </c>
      <c r="R23">
        <f>INT((A23-1)/$B$13)+1</f>
        <v/>
      </c>
      <c r="S23">
        <f>IF(AND(A23&gt;1,MOD(A23-1,$B$13)=0),$B$14,0)</f>
        <v/>
      </c>
      <c r="T23">
        <f>IF(Q23="","",IF(Q23&lt;P23,"Y","N"))</f>
        <v/>
      </c>
      <c r="U23">
        <f>$B$6</f>
        <v/>
      </c>
      <c r="V23" s="9">
        <f>W22+(P23+S23)/1440</f>
        <v/>
      </c>
      <c r="W23" s="9">
        <f>V23+U23/1440</f>
        <v/>
      </c>
      <c r="X23" t="inlineStr"/>
      <c r="Y23" t="inlineStr"/>
      <c r="Z23" t="inlineStr">
        <is>
          <t>Reload point (model): the second five cases ride in a car or van that meets you at the kerb of the last stop of load 1, or wait at the consolidation address if it is inside the cluster. Founder to choose and time it.</t>
        </is>
      </c>
      <c r="AA23" t="inlineStr">
        <is>
          <t>estimate</t>
        </is>
      </c>
    </row>
    <row r="24">
      <c r="A24" t="n">
        <v>7</v>
      </c>
      <c r="B24" t="inlineStr">
        <is>
          <t>B-C-095</t>
        </is>
      </c>
      <c r="C24" t="inlineStr">
        <is>
          <t>Foursquare</t>
        </is>
      </c>
      <c r="D24" t="inlineStr">
        <is>
          <t>B-B-046</t>
        </is>
      </c>
      <c r="E24" t="inlineStr">
        <is>
          <t>50 West 23rd Street</t>
        </is>
      </c>
      <c r="F24" t="inlineStr">
        <is>
          <t>unknown</t>
        </is>
      </c>
      <c r="G24" t="inlineStr">
        <is>
          <t>security desk</t>
        </is>
      </c>
      <c r="H24" t="inlineStr">
        <is>
          <t>251-500</t>
        </is>
      </c>
      <c r="I24" t="inlineStr">
        <is>
          <t>high</t>
        </is>
      </c>
      <c r="J24" t="n">
        <v>40.742199</v>
      </c>
      <c r="K24" t="n">
        <v>-73.99172</v>
      </c>
      <c r="L24" t="n">
        <v>222</v>
      </c>
      <c r="M24" t="n">
        <v>0</v>
      </c>
      <c r="N24" t="n">
        <v>1</v>
      </c>
      <c r="O24" t="inlineStr">
        <is>
          <t>N</t>
        </is>
      </c>
      <c r="P24">
        <f>ROUND(IF(O24="Y",$B$7,L24/$B$3+(M24*$B$4+N24*$B$5)/60),1)</f>
        <v/>
      </c>
      <c r="Q24">
        <f>IF(O24="Y","",ROUND($B$10+L24*$B$12/($B$11*1609.344/60),1))</f>
        <v/>
      </c>
      <c r="R24">
        <f>INT((A24-1)/$B$13)+1</f>
        <v/>
      </c>
      <c r="S24">
        <f>IF(AND(A24&gt;1,MOD(A24-1,$B$13)=0),$B$14,0)</f>
        <v/>
      </c>
      <c r="T24">
        <f>IF(Q24="","",IF(Q24&lt;P24,"Y","N"))</f>
        <v/>
      </c>
      <c r="U24">
        <f>$B$6</f>
        <v/>
      </c>
      <c r="V24" s="9">
        <f>W23+(P24+S24)/1440</f>
        <v/>
      </c>
      <c r="W24" s="9">
        <f>V24+U24/1440</f>
        <v/>
      </c>
      <c r="X24" t="inlineStr"/>
      <c r="Y24" t="inlineStr"/>
      <c r="Z24" t="inlineStr"/>
      <c r="AA24" t="inlineStr">
        <is>
          <t>estimate</t>
        </is>
      </c>
    </row>
    <row r="25">
      <c r="A25" t="n">
        <v>8</v>
      </c>
      <c r="B25" t="inlineStr">
        <is>
          <t>B-C-091</t>
        </is>
      </c>
      <c r="C25" t="inlineStr">
        <is>
          <t>1stDibs</t>
        </is>
      </c>
      <c r="D25" t="inlineStr">
        <is>
          <t>B-B-044</t>
        </is>
      </c>
      <c r="E25" t="inlineStr">
        <is>
          <t>300 Park Avenue South</t>
        </is>
      </c>
      <c r="F25" t="inlineStr">
        <is>
          <t>10</t>
        </is>
      </c>
      <c r="G25" t="inlineStr">
        <is>
          <t>security desk</t>
        </is>
      </c>
      <c r="H25" t="inlineStr">
        <is>
          <t>251-500</t>
        </is>
      </c>
      <c r="I25" t="inlineStr">
        <is>
          <t>high</t>
        </is>
      </c>
      <c r="J25" t="n">
        <v>40.739819</v>
      </c>
      <c r="K25" t="n">
        <v>-73.986885</v>
      </c>
      <c r="L25" t="n">
        <v>541</v>
      </c>
      <c r="M25" t="n">
        <v>2</v>
      </c>
      <c r="N25" t="n">
        <v>0</v>
      </c>
      <c r="O25" t="inlineStr">
        <is>
          <t>N</t>
        </is>
      </c>
      <c r="P25">
        <f>ROUND(IF(O25="Y",$B$7,L25/$B$3+(M25*$B$4+N25*$B$5)/60),1)</f>
        <v/>
      </c>
      <c r="Q25">
        <f>IF(O25="Y","",ROUND($B$10+L25*$B$12/($B$11*1609.344/60),1))</f>
        <v/>
      </c>
      <c r="R25">
        <f>INT((A25-1)/$B$13)+1</f>
        <v/>
      </c>
      <c r="S25">
        <f>IF(AND(A25&gt;1,MOD(A25-1,$B$13)=0),$B$14,0)</f>
        <v/>
      </c>
      <c r="T25">
        <f>IF(Q25="","",IF(Q25&lt;P25,"Y","N"))</f>
        <v/>
      </c>
      <c r="U25">
        <f>$B$6</f>
        <v/>
      </c>
      <c r="V25" s="9">
        <f>W24+(P25+S25)/1440</f>
        <v/>
      </c>
      <c r="W25" s="9">
        <f>V25+U25/1440</f>
        <v/>
      </c>
      <c r="X25" t="inlineStr"/>
      <c r="Y25" t="inlineStr">
        <is>
          <t>Corner building: the address is on Park Avenue South, and the building also fronts East 22nd Street. The pin sits on the Park Avenue South side; check which door takes deliveries.</t>
        </is>
      </c>
      <c r="Z25" t="inlineStr"/>
      <c r="AA25" t="inlineStr">
        <is>
          <t>estimate</t>
        </is>
      </c>
    </row>
    <row r="26">
      <c r="A26" t="n">
        <v>9</v>
      </c>
      <c r="B26" t="inlineStr">
        <is>
          <t>B-C-034</t>
        </is>
      </c>
      <c r="C26" t="inlineStr">
        <is>
          <t>Cognitiv</t>
        </is>
      </c>
      <c r="D26" t="inlineStr">
        <is>
          <t>B-B-016</t>
        </is>
      </c>
      <c r="E26" t="inlineStr">
        <is>
          <t>215 Park Avenue South</t>
        </is>
      </c>
      <c r="F26" t="inlineStr">
        <is>
          <t>16</t>
        </is>
      </c>
      <c r="G26" t="inlineStr">
        <is>
          <t>security desk</t>
        </is>
      </c>
      <c r="H26" t="inlineStr">
        <is>
          <t>151-250</t>
        </is>
      </c>
      <c r="I26" t="inlineStr">
        <is>
          <t>high</t>
        </is>
      </c>
      <c r="J26" t="n">
        <v>40.73686</v>
      </c>
      <c r="K26" t="n">
        <v>-73.988546</v>
      </c>
      <c r="L26" t="n">
        <v>379</v>
      </c>
      <c r="M26" t="n">
        <v>1</v>
      </c>
      <c r="N26" t="n">
        <v>5</v>
      </c>
      <c r="O26" t="inlineStr">
        <is>
          <t>N</t>
        </is>
      </c>
      <c r="P26">
        <f>ROUND(IF(O26="Y",$B$7,L26/$B$3+(M26*$B$4+N26*$B$5)/60),1)</f>
        <v/>
      </c>
      <c r="Q26">
        <f>IF(O26="Y","",ROUND($B$10+L26*$B$12/($B$11*1609.344/60),1))</f>
        <v/>
      </c>
      <c r="R26">
        <f>INT((A26-1)/$B$13)+1</f>
        <v/>
      </c>
      <c r="S26">
        <f>IF(AND(A26&gt;1,MOD(A26-1,$B$13)=0),$B$14,0)</f>
        <v/>
      </c>
      <c r="T26">
        <f>IF(Q26="","",IF(Q26&lt;P26,"Y","N"))</f>
        <v/>
      </c>
      <c r="U26">
        <f>$B$6</f>
        <v/>
      </c>
      <c r="V26" s="9">
        <f>W25+(P26+S26)/1440</f>
        <v/>
      </c>
      <c r="W26" s="9">
        <f>V26+U26/1440</f>
        <v/>
      </c>
      <c r="X26" t="inlineStr"/>
      <c r="Y26" t="inlineStr">
        <is>
          <t>Corner building: the address is on Park Avenue South, and the building also fronts East 18th Street. The pin sits on the Park Avenue South side; check which door takes deliveries.</t>
        </is>
      </c>
      <c r="Z26" t="inlineStr"/>
      <c r="AA26" t="inlineStr">
        <is>
          <t>estimate</t>
        </is>
      </c>
    </row>
    <row r="27">
      <c r="A27" t="n">
        <v>10</v>
      </c>
      <c r="B27" t="inlineStr">
        <is>
          <t>B-C-035</t>
        </is>
      </c>
      <c r="C27" t="inlineStr">
        <is>
          <t>Global Strategy Group</t>
        </is>
      </c>
      <c r="D27" t="inlineStr">
        <is>
          <t>B-B-016</t>
        </is>
      </c>
      <c r="E27" t="inlineStr">
        <is>
          <t>215 Park Avenue South</t>
        </is>
      </c>
      <c r="F27" t="inlineStr">
        <is>
          <t>15</t>
        </is>
      </c>
      <c r="G27" t="inlineStr">
        <is>
          <t>security desk</t>
        </is>
      </c>
      <c r="H27" t="inlineStr">
        <is>
          <t>151-250</t>
        </is>
      </c>
      <c r="I27" t="inlineStr">
        <is>
          <t>high</t>
        </is>
      </c>
      <c r="J27" t="n">
        <v>40.73686</v>
      </c>
      <c r="K27" t="n">
        <v>-73.988546</v>
      </c>
      <c r="L27" t="n">
        <v>0</v>
      </c>
      <c r="M27" t="n">
        <v>0</v>
      </c>
      <c r="N27" t="n">
        <v>0</v>
      </c>
      <c r="O27" t="inlineStr">
        <is>
          <t>Y</t>
        </is>
      </c>
      <c r="P27">
        <f>ROUND(IF(O27="Y",$B$7,L27/$B$3+(M27*$B$4+N27*$B$5)/60),1)</f>
        <v/>
      </c>
      <c r="Q27">
        <f>IF(O27="Y","",ROUND($B$10+L27*$B$12/($B$11*1609.344/60),1))</f>
        <v/>
      </c>
      <c r="R27">
        <f>INT((A27-1)/$B$13)+1</f>
        <v/>
      </c>
      <c r="S27">
        <f>IF(AND(A27&gt;1,MOD(A27-1,$B$13)=0),$B$14,0)</f>
        <v/>
      </c>
      <c r="T27">
        <f>IF(Q27="","",IF(Q27&lt;P27,"Y","N"))</f>
        <v/>
      </c>
      <c r="U27">
        <f>$B$6</f>
        <v/>
      </c>
      <c r="V27" s="9">
        <f>W26+(P27+S27)/1440</f>
        <v/>
      </c>
      <c r="W27" s="9">
        <f>V27+U27/1440</f>
        <v/>
      </c>
      <c r="X27" t="inlineStr"/>
      <c r="Y27" t="inlineStr">
        <is>
          <t>Corner building: the address is on Park Avenue South, and the building also fronts East 18th Street. The pin sits on the Park Avenue South side; check which door takes deliveries.</t>
        </is>
      </c>
      <c r="Z27" t="inlineStr"/>
      <c r="AA27" t="inlineStr">
        <is>
          <t>estimate</t>
        </is>
      </c>
    </row>
    <row r="29">
      <c r="A29" s="5" t="inlineStr">
        <is>
          <t>Totals (estimates)</t>
        </is>
      </c>
    </row>
    <row r="30">
      <c r="A30" t="inlineStr">
        <is>
          <t>walking minutes</t>
        </is>
      </c>
      <c r="B30">
        <f>SUM(P18:P27)</f>
        <v/>
      </c>
    </row>
    <row r="31">
      <c r="A31" t="inlineStr">
        <is>
          <t>walking metres</t>
        </is>
      </c>
      <c r="B31">
        <f>SUM(L18:L27)</f>
        <v/>
      </c>
    </row>
    <row r="32">
      <c r="A32" t="inlineStr">
        <is>
          <t>stop minutes</t>
        </is>
      </c>
      <c r="B32">
        <f>SUM(U18:U27)</f>
        <v/>
      </c>
    </row>
    <row r="33">
      <c r="A33" t="inlineStr">
        <is>
          <t>total minutes with reloads, 08:00 to last departure</t>
        </is>
      </c>
      <c r="B33">
        <f>ROUND((W27-$B$8)*1440,0)</f>
        <v/>
      </c>
    </row>
    <row r="34">
      <c r="A34" t="inlineStr">
        <is>
          <t>finish time</t>
        </is>
      </c>
      <c r="B34" s="9">
        <f>W27</f>
        <v/>
      </c>
    </row>
    <row r="35">
      <c r="A35" t="inlineStr">
        <is>
          <t>fits 8 to 11 am?</t>
        </is>
      </c>
      <c r="B35">
        <f>IF(B33&lt;=$B$9,"fits, "&amp;($B$9-B33)&amp;" min spare","over by "&amp;(B33-$B$9)&amp;" min")</f>
        <v/>
      </c>
    </row>
    <row r="36">
      <c r="A36" t="inlineStr">
        <is>
          <t>legs where a car is faster</t>
        </is>
      </c>
      <c r="B36">
        <f>COUNTIF(T18:T27,"Y")</f>
        <v/>
      </c>
    </row>
    <row r="37">
      <c r="A37" t="inlineStr">
        <is>
          <t>total if stops took 12 min</t>
        </is>
      </c>
      <c r="B37">
        <f>ROUND(B30+12*10,0)</f>
        <v/>
      </c>
    </row>
    <row r="38">
      <c r="A38" t="inlineStr">
        <is>
          <t>total with the first nine stops only</t>
        </is>
      </c>
      <c r="B38">
        <f>ROUND(SUM(P18:P26)+9*$B$6,0)</f>
        <v/>
      </c>
    </row>
    <row r="39">
      <c r="A39" t="inlineStr">
        <is>
          <t>reloads</t>
        </is>
      </c>
      <c r="B39">
        <f>COUNTIF(S18:S27,"&gt;0")</f>
        <v/>
      </c>
    </row>
    <row r="40">
      <c r="A40" t="inlineStr">
        <is>
          <t>reload minutes</t>
        </is>
      </c>
      <c r="B40">
        <f>SUM(S18:S27)</f>
        <v/>
      </c>
    </row>
    <row r="41">
      <c r="A41" t="inlineStr">
        <is>
          <t>total on one loop, no reload (light snacks)</t>
        </is>
      </c>
      <c r="B41">
        <f>B33-B40</f>
        <v/>
      </c>
    </row>
    <row r="43">
      <c r="A43" s="7" t="inlineStr">
        <is>
          <t>Answer (review round 2): ten stops do not fit 8 to 11 am on one loop with drinks. With 5 cases a load the model needs 1 reload of 20 min and takes about 207 min, finishing about 11:27, 27 min over. Even light snacks on one loop take about 187 min (11:07), 7 min over. Default: split ten offices across Tuesday and Wednesday (five a morning, one load each), or hand the second loop to a courier.</t>
        </is>
      </c>
    </row>
    <row r="44">
      <c r="A44" s="7" t="inlineStr">
        <is>
          <t>How to read this: stop 1 starts at 08:00. Each leg runs sidewalk to sidewalk along the street grid, to the corner and across (never mid-block), at hand-truck pace, plus an expected signal wait per crossing; crossing the avenue you walked up counts when the next stop is on its far side. The walk from the kerb to the door is inside each stop's 15 minutes.</t>
        </is>
      </c>
    </row>
    <row r="45">
      <c r="A45" s="7" t="inlineStr">
        <is>
          <t>Stops: 10 stops = 150 min at stops + 37.3 min walking + 20 min reloading = 207 min. The stops: high-confidence, occupied offices whose band is sourced (single-source or confirmed by a second count), with one 76-150 office and at least three bands (no high-confidence, occupied 40-75 office with a sourced band remains after review round 2's second headcounts; the high-or-medium variant below keeps a 40-75 office), two or more security desks last, and no food or drink brand.</t>
        </is>
      </c>
    </row>
    <row r="46">
      <c r="A46" s="7" t="inlineStr">
        <is>
          <t>Load check: ten 50-unit cases of a canned drink weigh about 200 kg (50 cans x about 0.37 kg each, by arithmetic). Reload point (model): the second five cases ride in a car or van that meets you at the kerb of the last stop of load 1, or wait at the consolidation address if it is inside the cluster. Founder to choose and time it.</t>
        </is>
      </c>
    </row>
    <row r="47">
      <c r="A47" s="7" t="inlineStr">
        <is>
          <t>What else helps: a compact roster. Allowing medium-confidence offices, the best set found takes about 195 min with reloads (175 on one loop). 12-minute stops at repeat offices save 30 min.</t>
        </is>
      </c>
    </row>
    <row r="48">
      <c r="A48" s="7" t="inlineStr">
        <is>
          <t>8 am check: a walk-up office needs a person there at 08:00. None of the ten lobbies is a sourced walk-up yet, so stop 1's 08:00 handover is untested. Confirm every receiving window at intake and re-order the stops to match. Security desks often send deliveries to a freight elevator or loading dock with set hours.</t>
        </is>
      </c>
    </row>
    <row r="49">
      <c r="A49" s="7" t="inlineStr">
        <is>
          <t>Lobby types: no walk-up lobby is sourced yet, so unknown-lobby buildings come first and the sourced security-desk buildings come last. Re-run the order after the verification walk.</t>
        </is>
      </c>
    </row>
    <row r="50">
      <c r="A50" s="7" t="inlineStr">
        <is>
          <t>This is a model. The real route uses the signed roster; company names are examples only and none has been contacted.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50" customWidth="1" min="4" max="4"/>
    <col width="13" customWidth="1" min="5" max="5"/>
    <col width="30" customWidth="1" min="6" max="6"/>
    <col width="12" customWidth="1" min="7" max="7"/>
    <col width="12" customWidth="1" min="8" max="8"/>
    <col width="26" customWidth="1" min="9" max="9"/>
    <col width="20" customWidth="1" min="10" max="10"/>
    <col width="25" customWidth="1" min="11" max="11"/>
    <col width="22" customWidth="1" min="12" max="12"/>
    <col width="34" customWidth="1" min="13" max="13"/>
    <col width="34" customWidth="1" min="14" max="14"/>
    <col width="70" customWidth="1" min="15" max="15"/>
    <col width="22" customWidth="1" min="16" max="16"/>
    <col width="16" customWidth="1" min="17" max="17"/>
    <col width="21" customWidth="1" min="18" max="18"/>
    <col width="14" customWidth="1" min="19" max="19"/>
    <col width="18" customWidth="1" min="20" max="20"/>
    <col width="26" customWidth="1" min="21" max="21"/>
    <col width="16" customWidth="1" min="22" max="22"/>
    <col width="16" customWidth="1" min="24" max="24"/>
    <col width="16" customWidth="1" min="25" max="25"/>
    <col width="16" customWidth="1" min="26" max="26"/>
    <col width="16" customWidth="1" min="27" max="27"/>
    <col width="34" customWidth="1" min="28" max="28"/>
    <col width="34" customWidth="1" min="29" max="29"/>
  </cols>
  <sheetData>
    <row r="1">
      <c r="A1" s="1" t="inlineStr">
        <is>
          <t>session</t>
        </is>
      </c>
      <c r="B1" s="1" t="inlineStr">
        <is>
          <t>phase</t>
        </is>
      </c>
      <c r="C1" s="1" t="inlineStr">
        <is>
          <t>order</t>
        </is>
      </c>
      <c r="D1" s="1" t="inlineStr">
        <is>
          <t>stops_here</t>
        </is>
      </c>
      <c r="E1" s="1" t="inlineStr">
        <is>
          <t>stop_types</t>
        </is>
      </c>
      <c r="F1" s="1" t="inlineStr">
        <is>
          <t>street_address</t>
        </is>
      </c>
      <c r="G1" s="1" t="inlineStr">
        <is>
          <t>lat</t>
        </is>
      </c>
      <c r="H1" s="1" t="inlineStr">
        <is>
          <t>lon</t>
        </is>
      </c>
      <c r="I1" s="1" t="inlineStr">
        <is>
          <t>walk_minutes_from_previous_est</t>
        </is>
      </c>
      <c r="J1" s="1" t="inlineStr">
        <is>
          <t>dwell_minutes_est</t>
        </is>
      </c>
      <c r="K1" s="1" t="inlineStr">
        <is>
          <t>cumulative_minutes_est</t>
        </is>
      </c>
      <c r="L1" s="1" t="inlineStr">
        <is>
          <t>session_minutes_est</t>
        </is>
      </c>
      <c r="M1" s="1" t="inlineStr">
        <is>
          <t>start_point</t>
        </is>
      </c>
      <c r="N1" s="1" t="inlineStr">
        <is>
          <t>end_point</t>
        </is>
      </c>
      <c r="O1" s="1" t="inlineStr">
        <is>
          <t>verify_checklist</t>
        </is>
      </c>
      <c r="P1" s="1" t="inlineStr">
        <is>
          <t>observed_lobby_type</t>
        </is>
      </c>
      <c r="Q1" s="1" t="inlineStr">
        <is>
          <t>security_desk</t>
        </is>
      </c>
      <c r="R1" s="1" t="inlineStr">
        <is>
          <t>loading_dock_hours</t>
        </is>
      </c>
      <c r="S1" s="1" t="inlineStr">
        <is>
          <t>coi_signage</t>
        </is>
      </c>
      <c r="T1" s="1" t="inlineStr">
        <is>
          <t>receiving_hours</t>
        </is>
      </c>
      <c r="U1" s="1" t="inlineStr">
        <is>
          <t>emerging_set_photo_taken</t>
        </is>
      </c>
      <c r="V1" s="1" t="inlineStr">
        <is>
          <t>founder_notes</t>
        </is>
      </c>
      <c r="X1" s="1" t="inlineStr">
        <is>
          <t>session_summary</t>
        </is>
      </c>
      <c r="Y1" s="1" t="inlineStr">
        <is>
          <t>phase</t>
        </is>
      </c>
      <c r="Z1" s="1" t="inlineStr">
        <is>
          <t>stops</t>
        </is>
      </c>
      <c r="AA1" s="1" t="inlineStr">
        <is>
          <t>minutes_est</t>
        </is>
      </c>
      <c r="AB1" s="1" t="inlineStr">
        <is>
          <t>start_point</t>
        </is>
      </c>
      <c r="AC1" s="1" t="inlineStr">
        <is>
          <t>end_point</t>
        </is>
      </c>
    </row>
    <row r="2">
      <c r="A2" t="n">
        <v>1</v>
      </c>
      <c r="B2" t="inlineStr">
        <is>
          <t>core (inside the boundary)</t>
        </is>
      </c>
      <c r="C2" t="n">
        <v>1</v>
      </c>
      <c r="D2" s="3" t="inlineStr">
        <is>
          <t>B-B-001 853 Broadway (Union Building)</t>
        </is>
      </c>
      <c r="E2" t="inlineStr">
        <is>
          <t>building</t>
        </is>
      </c>
      <c r="F2" t="inlineStr">
        <is>
          <t>853 Broadway</t>
        </is>
      </c>
      <c r="G2" t="n">
        <v>40.734626</v>
      </c>
      <c r="H2" t="n">
        <v>-73.9911</v>
      </c>
      <c r="I2" t="n">
        <v>0</v>
      </c>
      <c r="J2" t="n">
        <v>6</v>
      </c>
      <c r="K2">
        <f>I2+J2</f>
        <v/>
      </c>
      <c r="L2">
        <f>SUMIF($A$2:$A$117,A2,$I$2:$I$117)+SUMIF($A$2:$A$117,A2,$J$2:$J$117)</f>
        <v/>
      </c>
      <c r="M2" t="inlineStr">
        <is>
          <t>14 St-Union Sq (L), about 1 min walk</t>
        </is>
      </c>
      <c r="N2" t="inlineStr">
        <is>
          <t>14 St (F M), about 4 min walk</t>
        </is>
      </c>
      <c r="O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 s="10" t="inlineStr"/>
      <c r="Q2" s="10" t="inlineStr"/>
      <c r="R2" s="10" t="inlineStr"/>
      <c r="S2" s="10" t="inlineStr"/>
      <c r="T2" s="10" t="inlineStr"/>
      <c r="U2" s="10" t="inlineStr"/>
      <c r="V2" s="10" t="inlineStr"/>
      <c r="X2" t="n">
        <v>1</v>
      </c>
      <c r="Y2" t="inlineStr">
        <is>
          <t>core (inside the boundary)</t>
        </is>
      </c>
      <c r="Z2">
        <f>COUNTIF($A$2:$A$117,X2)</f>
        <v/>
      </c>
      <c r="AA2">
        <f>ROUND(SUMIF($A$2:$A$117,X2,$I$2:$I$117)+SUMIF($A$2:$A$117,X2,$J$2:$J$117),0)</f>
        <v/>
      </c>
      <c r="AB2" t="inlineStr">
        <is>
          <t>14 St-Union Sq (L), about 1 min walk</t>
        </is>
      </c>
      <c r="AC2" t="inlineStr">
        <is>
          <t>14 St (F M), about 4 min walk</t>
        </is>
      </c>
    </row>
    <row r="3">
      <c r="A3" t="n">
        <v>1</v>
      </c>
      <c r="B3" t="inlineStr">
        <is>
          <t>core (inside the boundary)</t>
        </is>
      </c>
      <c r="C3" t="n">
        <v>2</v>
      </c>
      <c r="D3" s="3" t="inlineStr">
        <is>
          <t>B-R-011 Whole Foods Market Union Square</t>
        </is>
      </c>
      <c r="E3" t="inlineStr">
        <is>
          <t>retailer</t>
        </is>
      </c>
      <c r="F3" t="inlineStr">
        <is>
          <t>4 Union Square South</t>
        </is>
      </c>
      <c r="G3" t="n">
        <v>40.734732</v>
      </c>
      <c r="H3" t="n">
        <v>-73.990892</v>
      </c>
      <c r="I3" t="n">
        <v>1</v>
      </c>
      <c r="J3" t="n">
        <v>10</v>
      </c>
      <c r="K3">
        <f>IF(A3=A2,K2,0)+I3+J3</f>
        <v/>
      </c>
      <c r="L3">
        <f>SUMIF($A$2:$A$117,A3,$I$2:$I$117)+SUMIF($A$2:$A$117,A3,$J$2:$J$117)</f>
        <v/>
      </c>
      <c r="M3" t="inlineStr">
        <is>
          <t>14 St-Union Sq (L), about 1 min walk</t>
        </is>
      </c>
      <c r="N3" t="inlineStr">
        <is>
          <t>14 St (F M), about 4 min walk</t>
        </is>
      </c>
      <c r="O3" s="3" t="inlineStr">
        <is>
          <t>RETAILER: Store open; photo of the local or emerging snack and drink set (aisle and shelf tags); note which shelf it is in; any 'local' or 'new' shelf signage</t>
        </is>
      </c>
      <c r="P3" s="10" t="inlineStr"/>
      <c r="Q3" s="10" t="inlineStr"/>
      <c r="R3" s="10" t="inlineStr"/>
      <c r="S3" s="10" t="inlineStr"/>
      <c r="T3" s="10" t="inlineStr"/>
      <c r="U3" s="10" t="inlineStr"/>
      <c r="V3" s="10" t="inlineStr"/>
      <c r="X3" t="n">
        <v>2</v>
      </c>
      <c r="Y3" t="inlineStr">
        <is>
          <t>core (inside the boundary)</t>
        </is>
      </c>
      <c r="Z3">
        <f>COUNTIF($A$2:$A$117,X3)</f>
        <v/>
      </c>
      <c r="AA3">
        <f>ROUND(SUMIF($A$2:$A$117,X3,$I$2:$I$117)+SUMIF($A$2:$A$117,X3,$J$2:$J$117),0)</f>
        <v/>
      </c>
      <c r="AB3" t="inlineStr">
        <is>
          <t>14 St-Union Sq (N Q R W), about 6 min walk</t>
        </is>
      </c>
      <c r="AC3" t="inlineStr">
        <is>
          <t>23 St (R W), about 4 min walk</t>
        </is>
      </c>
    </row>
    <row r="4">
      <c r="A4" t="n">
        <v>1</v>
      </c>
      <c r="B4" t="inlineStr">
        <is>
          <t>core (inside the boundary)</t>
        </is>
      </c>
      <c r="C4" t="n">
        <v>3</v>
      </c>
      <c r="D4" s="3" t="inlineStr">
        <is>
          <t>B-R-009 Trader Joe's Union Square (store 540)</t>
        </is>
      </c>
      <c r="E4" t="inlineStr">
        <is>
          <t>retailer</t>
        </is>
      </c>
      <c r="F4" t="inlineStr">
        <is>
          <t>142 East 14th Street</t>
        </is>
      </c>
      <c r="G4" t="n">
        <v>40.73344</v>
      </c>
      <c r="H4" t="n">
        <v>-73.988123</v>
      </c>
      <c r="I4" t="n">
        <v>4.2</v>
      </c>
      <c r="J4" t="n">
        <v>3</v>
      </c>
      <c r="K4">
        <f>IF(A4=A3,K3,0)+I4+J4</f>
        <v/>
      </c>
      <c r="L4">
        <f>SUMIF($A$2:$A$117,A4,$I$2:$I$117)+SUMIF($A$2:$A$117,A4,$J$2:$J$117)</f>
        <v/>
      </c>
      <c r="M4" t="inlineStr">
        <is>
          <t>14 St-Union Sq (L), about 1 min walk</t>
        </is>
      </c>
      <c r="N4" t="inlineStr">
        <is>
          <t>14 St (F M), about 4 min walk</t>
        </is>
      </c>
      <c r="O4" s="3" t="inlineStr">
        <is>
          <t>RETAILER: Store open; photo of the local or emerging snack and drink set (aisle and shelf tags); note which shelf it is in; any 'local' or 'new' shelf signage</t>
        </is>
      </c>
      <c r="P4" s="10" t="inlineStr"/>
      <c r="Q4" s="10" t="inlineStr"/>
      <c r="R4" s="10" t="inlineStr"/>
      <c r="S4" s="10" t="inlineStr"/>
      <c r="T4" s="10" t="inlineStr"/>
      <c r="U4" s="10" t="inlineStr"/>
      <c r="V4" s="10" t="inlineStr"/>
      <c r="X4" t="n">
        <v>3</v>
      </c>
      <c r="Y4" t="inlineStr">
        <is>
          <t>core (inside the boundary)</t>
        </is>
      </c>
      <c r="Z4">
        <f>COUNTIF($A$2:$A$117,X4)</f>
        <v/>
      </c>
      <c r="AA4">
        <f>ROUND(SUMIF($A$2:$A$117,X4,$I$2:$I$117)+SUMIF($A$2:$A$117,X4,$J$2:$J$117),0)</f>
        <v/>
      </c>
      <c r="AB4" t="inlineStr">
        <is>
          <t>23 St (F M), about 2 min walk</t>
        </is>
      </c>
      <c r="AC4" t="inlineStr">
        <is>
          <t>14 St-Union Sq (N Q R W), about 4 min walk</t>
        </is>
      </c>
    </row>
    <row r="5">
      <c r="A5" t="n">
        <v>1</v>
      </c>
      <c r="B5" t="inlineStr">
        <is>
          <t>core (inside the boundary)</t>
        </is>
      </c>
      <c r="C5" t="n">
        <v>4</v>
      </c>
      <c r="D5" s="3" t="inlineStr">
        <is>
          <t>B-B-002 Zero Irving; B-W-001 Civic Hall, Union Square (Zero Irving)</t>
        </is>
      </c>
      <c r="E5" t="inlineStr">
        <is>
          <t>building; coworking</t>
        </is>
      </c>
      <c r="F5" t="inlineStr">
        <is>
          <t>124 East 14th Street</t>
        </is>
      </c>
      <c r="G5" t="n">
        <v>40.733674</v>
      </c>
      <c r="H5" t="n">
        <v>-73.988766</v>
      </c>
      <c r="I5" t="n">
        <v>0.8</v>
      </c>
      <c r="J5" t="n">
        <v>4.5</v>
      </c>
      <c r="K5">
        <f>IF(A5=A4,K4,0)+I5+J5</f>
        <v/>
      </c>
      <c r="L5">
        <f>SUMIF($A$2:$A$117,A5,$I$2:$I$117)+SUMIF($A$2:$A$117,A5,$J$2:$J$117)</f>
        <v/>
      </c>
      <c r="M5" t="inlineStr">
        <is>
          <t>14 St-Union Sq (L), about 1 min walk</t>
        </is>
      </c>
      <c r="N5" t="inlineStr">
        <is>
          <t>14 St (F M), about 4 min walk</t>
        </is>
      </c>
      <c r="O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 s="10" t="inlineStr"/>
      <c r="Q5" s="10" t="inlineStr"/>
      <c r="R5" s="10" t="inlineStr"/>
      <c r="S5" s="10" t="inlineStr"/>
      <c r="T5" s="10" t="inlineStr"/>
      <c r="U5" s="10" t="inlineStr"/>
      <c r="V5" s="10" t="inlineStr"/>
      <c r="X5" t="n">
        <v>4</v>
      </c>
      <c r="Y5" t="inlineStr">
        <is>
          <t>core (inside the boundary)</t>
        </is>
      </c>
      <c r="Z5">
        <f>COUNTIF($A$2:$A$117,X5)</f>
        <v/>
      </c>
      <c r="AA5">
        <f>ROUND(SUMIF($A$2:$A$117,X5,$I$2:$I$117)+SUMIF($A$2:$A$117,X5,$J$2:$J$117),0)</f>
        <v/>
      </c>
      <c r="AB5" t="inlineStr">
        <is>
          <t>14 St-Union Sq (N Q R W), about 1 min walk</t>
        </is>
      </c>
      <c r="AC5" t="inlineStr">
        <is>
          <t>28 St (6), about 4 min walk</t>
        </is>
      </c>
    </row>
    <row r="6">
      <c r="A6" t="n">
        <v>1</v>
      </c>
      <c r="B6" t="inlineStr">
        <is>
          <t>core (inside the boundary)</t>
        </is>
      </c>
      <c r="C6" t="n">
        <v>5</v>
      </c>
      <c r="D6" s="3" t="inlineStr">
        <is>
          <t>B-R-007 Target Manhattan Union Square</t>
        </is>
      </c>
      <c r="E6" t="inlineStr">
        <is>
          <t>retailer</t>
        </is>
      </c>
      <c r="F6" t="inlineStr">
        <is>
          <t>10 Union Square East</t>
        </is>
      </c>
      <c r="G6" t="n">
        <v>40.734642</v>
      </c>
      <c r="H6" t="n">
        <v>-73.98975299999999</v>
      </c>
      <c r="I6" t="n">
        <v>3</v>
      </c>
      <c r="J6" t="n">
        <v>3</v>
      </c>
      <c r="K6">
        <f>IF(A6=A5,K5,0)+I6+J6</f>
        <v/>
      </c>
      <c r="L6">
        <f>SUMIF($A$2:$A$117,A6,$I$2:$I$117)+SUMIF($A$2:$A$117,A6,$J$2:$J$117)</f>
        <v/>
      </c>
      <c r="M6" t="inlineStr">
        <is>
          <t>14 St-Union Sq (L), about 1 min walk</t>
        </is>
      </c>
      <c r="N6" t="inlineStr">
        <is>
          <t>14 St (F M), about 4 min walk</t>
        </is>
      </c>
      <c r="O6" s="3" t="inlineStr">
        <is>
          <t>RETAILER: Store open; photo of the local or emerging snack and drink set (aisle and shelf tags); note which shelf it is in; any 'local' or 'new' shelf signage</t>
        </is>
      </c>
      <c r="P6" s="10" t="inlineStr"/>
      <c r="Q6" s="10" t="inlineStr"/>
      <c r="R6" s="10" t="inlineStr"/>
      <c r="S6" s="10" t="inlineStr"/>
      <c r="T6" s="10" t="inlineStr"/>
      <c r="U6" s="10" t="inlineStr"/>
      <c r="V6" s="10" t="inlineStr"/>
      <c r="X6" t="n">
        <v>5</v>
      </c>
      <c r="Y6" t="inlineStr">
        <is>
          <t>core (inside the boundary)</t>
        </is>
      </c>
      <c r="Z6">
        <f>COUNTIF($A$2:$A$117,X6)</f>
        <v/>
      </c>
      <c r="AA6">
        <f>ROUND(SUMIF($A$2:$A$117,X6,$I$2:$I$117)+SUMIF($A$2:$A$117,X6,$J$2:$J$117),0)</f>
        <v/>
      </c>
      <c r="AB6" t="inlineStr">
        <is>
          <t>23 St (R W), about 4 min walk</t>
        </is>
      </c>
      <c r="AC6" t="inlineStr">
        <is>
          <t>23 St (F M), about 2 min walk</t>
        </is>
      </c>
    </row>
    <row r="7">
      <c r="A7" t="n">
        <v>1</v>
      </c>
      <c r="B7" t="inlineStr">
        <is>
          <t>core (inside the boundary)</t>
        </is>
      </c>
      <c r="C7" t="n">
        <v>6</v>
      </c>
      <c r="D7" s="3" t="inlineStr">
        <is>
          <t>B-B-003 Spingler Building (5-9 Union Square West)</t>
        </is>
      </c>
      <c r="E7" t="inlineStr">
        <is>
          <t>building</t>
        </is>
      </c>
      <c r="F7" t="inlineStr">
        <is>
          <t>5 Union Square West</t>
        </is>
      </c>
      <c r="G7" t="n">
        <v>40.7357</v>
      </c>
      <c r="H7" t="n">
        <v>-73.991754</v>
      </c>
      <c r="I7" t="n">
        <v>3.9</v>
      </c>
      <c r="J7" t="n">
        <v>3.5</v>
      </c>
      <c r="K7">
        <f>IF(A7=A6,K6,0)+I7+J7</f>
        <v/>
      </c>
      <c r="L7">
        <f>SUMIF($A$2:$A$117,A7,$I$2:$I$117)+SUMIF($A$2:$A$117,A7,$J$2:$J$117)</f>
        <v/>
      </c>
      <c r="M7" t="inlineStr">
        <is>
          <t>14 St-Union Sq (L), about 1 min walk</t>
        </is>
      </c>
      <c r="N7" t="inlineStr">
        <is>
          <t>14 St (F M), about 4 min walk</t>
        </is>
      </c>
      <c r="O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 s="10" t="inlineStr"/>
      <c r="Q7" s="10" t="inlineStr"/>
      <c r="R7" s="10" t="inlineStr"/>
      <c r="S7" s="10" t="inlineStr"/>
      <c r="T7" s="10" t="inlineStr"/>
      <c r="U7" s="10" t="inlineStr"/>
      <c r="V7" s="10" t="inlineStr"/>
      <c r="X7" t="n">
        <v>6</v>
      </c>
      <c r="Y7" t="inlineStr">
        <is>
          <t>core (inside the boundary)</t>
        </is>
      </c>
      <c r="Z7">
        <f>COUNTIF($A$2:$A$117,X7)</f>
        <v/>
      </c>
      <c r="AA7">
        <f>ROUND(SUMIF($A$2:$A$117,X7,$I$2:$I$117)+SUMIF($A$2:$A$117,X7,$J$2:$J$117),0)</f>
        <v/>
      </c>
      <c r="AB7" t="inlineStr">
        <is>
          <t>23 St (F M), about 3 min walk</t>
        </is>
      </c>
      <c r="AC7" t="inlineStr">
        <is>
          <t>28 St (R W), about 5 min walk</t>
        </is>
      </c>
    </row>
    <row r="8">
      <c r="A8" t="n">
        <v>1</v>
      </c>
      <c r="B8" t="inlineStr">
        <is>
          <t>core (inside the boundary)</t>
        </is>
      </c>
      <c r="C8" t="n">
        <v>7</v>
      </c>
      <c r="D8" s="3" t="inlineStr">
        <is>
          <t>B-R-002 Eden Gourmet Marketplace Union Square (formerly Garden of Eden)</t>
        </is>
      </c>
      <c r="E8" t="inlineStr">
        <is>
          <t>retailer</t>
        </is>
      </c>
      <c r="F8" t="inlineStr">
        <is>
          <t>7 East 14th Street</t>
        </is>
      </c>
      <c r="G8" t="n">
        <v>40.735814</v>
      </c>
      <c r="H8" t="n">
        <v>-73.992541</v>
      </c>
      <c r="I8" t="n">
        <v>3.8</v>
      </c>
      <c r="J8" t="n">
        <v>6</v>
      </c>
      <c r="K8">
        <f>IF(A8=A7,K7,0)+I8+J8</f>
        <v/>
      </c>
      <c r="L8">
        <f>SUMIF($A$2:$A$117,A8,$I$2:$I$117)+SUMIF($A$2:$A$117,A8,$J$2:$J$117)</f>
        <v/>
      </c>
      <c r="M8" t="inlineStr">
        <is>
          <t>14 St-Union Sq (L), about 1 min walk</t>
        </is>
      </c>
      <c r="N8" t="inlineStr">
        <is>
          <t>14 St (F M), about 4 min walk</t>
        </is>
      </c>
      <c r="O8" s="3" t="inlineStr">
        <is>
          <t>RETAILER: Store open; photo of the local or emerging snack and drink set (aisle and shelf tags); note which shelf it is in; any 'local' or 'new' shelf signage</t>
        </is>
      </c>
      <c r="P8" s="10" t="inlineStr"/>
      <c r="Q8" s="10" t="inlineStr"/>
      <c r="R8" s="10" t="inlineStr"/>
      <c r="S8" s="10" t="inlineStr"/>
      <c r="T8" s="10" t="inlineStr"/>
      <c r="U8" s="10" t="inlineStr"/>
      <c r="V8" s="10" t="inlineStr"/>
      <c r="X8" t="n">
        <v>7</v>
      </c>
      <c r="Y8" t="inlineStr">
        <is>
          <t>core (inside the boundary)</t>
        </is>
      </c>
      <c r="Z8">
        <f>COUNTIF($A$2:$A$117,X8)</f>
        <v/>
      </c>
      <c r="AA8">
        <f>ROUND(SUMIF($A$2:$A$117,X8,$I$2:$I$117)+SUMIF($A$2:$A$117,X8,$J$2:$J$117),0)</f>
        <v/>
      </c>
      <c r="AB8" t="inlineStr">
        <is>
          <t>33 St (6), about 2 min walk</t>
        </is>
      </c>
      <c r="AC8" t="inlineStr">
        <is>
          <t>23 St-Baruch College (6), about 3 min walk</t>
        </is>
      </c>
    </row>
    <row r="9">
      <c r="A9" t="n">
        <v>1</v>
      </c>
      <c r="B9" t="inlineStr">
        <is>
          <t>core (inside the boundary)</t>
        </is>
      </c>
      <c r="C9" t="n">
        <v>8</v>
      </c>
      <c r="D9" s="3" t="inlineStr">
        <is>
          <t>B-B-004 71 Fifth Avenue</t>
        </is>
      </c>
      <c r="E9" t="inlineStr">
        <is>
          <t>building</t>
        </is>
      </c>
      <c r="F9" t="inlineStr">
        <is>
          <t>71 Fifth Avenue</t>
        </is>
      </c>
      <c r="G9" t="n">
        <v>40.736419</v>
      </c>
      <c r="H9" t="n">
        <v>-73.99309599999999</v>
      </c>
      <c r="I9" t="n">
        <v>2</v>
      </c>
      <c r="J9" t="n">
        <v>3</v>
      </c>
      <c r="K9">
        <f>IF(A9=A8,K8,0)+I9+J9</f>
        <v/>
      </c>
      <c r="L9">
        <f>SUMIF($A$2:$A$117,A9,$I$2:$I$117)+SUMIF($A$2:$A$117,A9,$J$2:$J$117)</f>
        <v/>
      </c>
      <c r="M9" t="inlineStr">
        <is>
          <t>14 St-Union Sq (L), about 1 min walk</t>
        </is>
      </c>
      <c r="N9" t="inlineStr">
        <is>
          <t>14 St (F M), about 4 min walk</t>
        </is>
      </c>
      <c r="O9" s="3" t="inlineStr">
        <is>
          <t>ENTRANCE: Corner building: the address is on Fifth Avenue, and the building also fronts East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 s="10" t="inlineStr"/>
      <c r="Q9" s="10" t="inlineStr"/>
      <c r="R9" s="10" t="inlineStr"/>
      <c r="S9" s="10" t="inlineStr"/>
      <c r="T9" s="10" t="inlineStr"/>
      <c r="U9" s="10" t="inlineStr"/>
      <c r="V9" s="10" t="inlineStr"/>
      <c r="X9" t="n">
        <v>8</v>
      </c>
      <c r="Y9" t="inlineStr">
        <is>
          <t>outer retailers (within ten blocks)</t>
        </is>
      </c>
      <c r="Z9">
        <f>COUNTIF($A$2:$A$117,X9)</f>
        <v/>
      </c>
      <c r="AA9">
        <f>ROUND(SUMIF($A$2:$A$117,X9,$I$2:$I$117)+SUMIF($A$2:$A$117,X9,$J$2:$J$117),0)</f>
        <v/>
      </c>
      <c r="AB9" t="inlineStr">
        <is>
          <t>W 4 St-Wash Sq (A C E), about 3 min walk</t>
        </is>
      </c>
      <c r="AC9" t="inlineStr">
        <is>
          <t>23 St (C E), about 1 min walk</t>
        </is>
      </c>
    </row>
    <row r="10">
      <c r="A10" t="n">
        <v>1</v>
      </c>
      <c r="B10" t="inlineStr">
        <is>
          <t>core (inside the boundary)</t>
        </is>
      </c>
      <c r="C10" t="n">
        <v>9</v>
      </c>
      <c r="D10" s="3" t="inlineStr">
        <is>
          <t>B-B-006 100-104 Fifth Avenue</t>
        </is>
      </c>
      <c r="E10" t="inlineStr">
        <is>
          <t>building</t>
        </is>
      </c>
      <c r="F10" t="inlineStr">
        <is>
          <t>100 Fifth Avenue</t>
        </is>
      </c>
      <c r="G10" t="n">
        <v>40.736981</v>
      </c>
      <c r="H10" t="n">
        <v>-73.993144</v>
      </c>
      <c r="I10" t="n">
        <v>1.7</v>
      </c>
      <c r="J10" t="n">
        <v>4</v>
      </c>
      <c r="K10">
        <f>IF(A10=A9,K9,0)+I10+J10</f>
        <v/>
      </c>
      <c r="L10">
        <f>SUMIF($A$2:$A$117,A10,$I$2:$I$117)+SUMIF($A$2:$A$117,A10,$J$2:$J$117)</f>
        <v/>
      </c>
      <c r="M10" t="inlineStr">
        <is>
          <t>14 St-Union Sq (L), about 1 min walk</t>
        </is>
      </c>
      <c r="N10" t="inlineStr">
        <is>
          <t>14 St (F M), about 4 min walk</t>
        </is>
      </c>
      <c r="O10" s="3" t="inlineStr">
        <is>
          <t>ENTRANCE: Corner building: the address is on Fifth Avenue, and the building also fronts West 15th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0" s="10" t="inlineStr"/>
      <c r="Q10" s="10" t="inlineStr"/>
      <c r="R10" s="10" t="inlineStr"/>
      <c r="S10" s="10" t="inlineStr"/>
      <c r="T10" s="10" t="inlineStr"/>
      <c r="U10" s="10" t="inlineStr"/>
      <c r="V10" s="10" t="inlineStr"/>
      <c r="X10" t="n">
        <v>9</v>
      </c>
      <c r="Y10" t="inlineStr">
        <is>
          <t>outer retailers (within ten blocks)</t>
        </is>
      </c>
      <c r="Z10">
        <f>COUNTIF($A$2:$A$117,X10)</f>
        <v/>
      </c>
      <c r="AA10">
        <f>ROUND(SUMIF($A$2:$A$117,X10,$I$2:$I$117)+SUMIF($A$2:$A$117,X10,$J$2:$J$117),0)</f>
        <v/>
      </c>
      <c r="AB10" t="inlineStr">
        <is>
          <t>23 St (1), about 2 min walk</t>
        </is>
      </c>
      <c r="AC10" t="inlineStr">
        <is>
          <t>33 St (6), about 9 min walk</t>
        </is>
      </c>
    </row>
    <row r="11">
      <c r="A11" t="n">
        <v>1</v>
      </c>
      <c r="B11" t="inlineStr">
        <is>
          <t>core (inside the boundary)</t>
        </is>
      </c>
      <c r="C11" t="n">
        <v>10</v>
      </c>
      <c r="D11" s="3" t="inlineStr">
        <is>
          <t>B-B-009 114 Fifth Avenue; B-W-002 Hub Seventeen, 114 Fifth Avenue</t>
        </is>
      </c>
      <c r="E11" t="inlineStr">
        <is>
          <t>building; coworking</t>
        </is>
      </c>
      <c r="F11" t="inlineStr">
        <is>
          <t>114 Fifth Avenue</t>
        </is>
      </c>
      <c r="G11" t="n">
        <v>40.737788</v>
      </c>
      <c r="H11" t="n">
        <v>-73.992555</v>
      </c>
      <c r="I11" t="n">
        <v>1.7</v>
      </c>
      <c r="J11" t="n">
        <v>4</v>
      </c>
      <c r="K11">
        <f>IF(A11=A10,K10,0)+I11+J11</f>
        <v/>
      </c>
      <c r="L11">
        <f>SUMIF($A$2:$A$117,A11,$I$2:$I$117)+SUMIF($A$2:$A$117,A11,$J$2:$J$117)</f>
        <v/>
      </c>
      <c r="M11" t="inlineStr">
        <is>
          <t>14 St-Union Sq (L), about 1 min walk</t>
        </is>
      </c>
      <c r="N11" t="inlineStr">
        <is>
          <t>14 St (F M), about 4 min walk</t>
        </is>
      </c>
      <c r="O11" s="3" t="inlineStr">
        <is>
          <t>ENTRANCE: Corner building: the address is on Fifth Avenue, and the building also fronts West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1" s="10" t="inlineStr"/>
      <c r="Q11" s="10" t="inlineStr"/>
      <c r="R11" s="10" t="inlineStr"/>
      <c r="S11" s="10" t="inlineStr"/>
      <c r="T11" s="10" t="inlineStr"/>
      <c r="U11" s="10" t="inlineStr"/>
      <c r="V11" s="10" t="inlineStr"/>
      <c r="X11" t="n">
        <v>10</v>
      </c>
      <c r="Y11" t="inlineStr">
        <is>
          <t>outer retailers (within ten blocks)</t>
        </is>
      </c>
      <c r="Z11">
        <f>COUNTIF($A$2:$A$117,X11)</f>
        <v/>
      </c>
      <c r="AA11">
        <f>ROUND(SUMIF($A$2:$A$117,X11,$I$2:$I$117)+SUMIF($A$2:$A$117,X11,$J$2:$J$117),0)</f>
        <v/>
      </c>
      <c r="AB11" t="inlineStr">
        <is>
          <t>28 St (6), about 8 min walk</t>
        </is>
      </c>
      <c r="AC11" t="inlineStr">
        <is>
          <t>8 St-NYU (R W), about 1 min walk</t>
        </is>
      </c>
    </row>
    <row r="12">
      <c r="A12" t="n">
        <v>1</v>
      </c>
      <c r="B12" t="inlineStr">
        <is>
          <t>core (inside the boundary)</t>
        </is>
      </c>
      <c r="C12" t="n">
        <v>11</v>
      </c>
      <c r="D12" s="3" t="inlineStr">
        <is>
          <t>B-B-008 26 West 17th Street</t>
        </is>
      </c>
      <c r="E12" t="inlineStr">
        <is>
          <t>building</t>
        </is>
      </c>
      <c r="F12" t="inlineStr">
        <is>
          <t>26 West 17th Street</t>
        </is>
      </c>
      <c r="G12" t="n">
        <v>40.738405</v>
      </c>
      <c r="H12" t="n">
        <v>-73.99393999999999</v>
      </c>
      <c r="I12" t="n">
        <v>1.9</v>
      </c>
      <c r="J12" t="n">
        <v>3</v>
      </c>
      <c r="K12">
        <f>IF(A12=A11,K11,0)+I12+J12</f>
        <v/>
      </c>
      <c r="L12">
        <f>SUMIF($A$2:$A$117,A12,$I$2:$I$117)+SUMIF($A$2:$A$117,A12,$J$2:$J$117)</f>
        <v/>
      </c>
      <c r="M12" t="inlineStr">
        <is>
          <t>14 St-Union Sq (L), about 1 min walk</t>
        </is>
      </c>
      <c r="N12" t="inlineStr">
        <is>
          <t>14 St (F M), about 4 min walk</t>
        </is>
      </c>
      <c r="O1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2" s="10" t="inlineStr"/>
      <c r="Q12" s="10" t="inlineStr"/>
      <c r="R12" s="10" t="inlineStr"/>
      <c r="S12" s="10" t="inlineStr"/>
      <c r="T12" s="10" t="inlineStr"/>
      <c r="U12" s="10" t="inlineStr"/>
      <c r="V12" s="10" t="inlineStr"/>
      <c r="X12" t="inlineStr">
        <is>
          <t>total</t>
        </is>
      </c>
      <c r="Z12">
        <f>SUM(Z2:Z11)</f>
        <v/>
      </c>
      <c r="AA12">
        <f>SUM(AA2:AA11)</f>
        <v/>
      </c>
    </row>
    <row r="13">
      <c r="A13" t="n">
        <v>2</v>
      </c>
      <c r="B13" t="inlineStr">
        <is>
          <t>core (inside the boundary)</t>
        </is>
      </c>
      <c r="C13" t="n">
        <v>12</v>
      </c>
      <c r="D13" s="3" t="inlineStr">
        <is>
          <t>B-B-010 120 Fifth Avenue</t>
        </is>
      </c>
      <c r="E13" t="inlineStr">
        <is>
          <t>building</t>
        </is>
      </c>
      <c r="F13" t="inlineStr">
        <is>
          <t>120 Fifth Avenue</t>
        </is>
      </c>
      <c r="G13" t="n">
        <v>40.738186</v>
      </c>
      <c r="H13" t="n">
        <v>-73.992429</v>
      </c>
      <c r="I13" t="n">
        <v>0</v>
      </c>
      <c r="J13" t="n">
        <v>5</v>
      </c>
      <c r="K13">
        <f>IF(A13=A12,K12,0)+I13+J13</f>
        <v/>
      </c>
      <c r="L13">
        <f>SUMIF($A$2:$A$117,A13,$I$2:$I$117)+SUMIF($A$2:$A$117,A13,$J$2:$J$117)</f>
        <v/>
      </c>
      <c r="M13" t="inlineStr">
        <is>
          <t>14 St-Union Sq (N Q R W), about 6 min walk</t>
        </is>
      </c>
      <c r="N13" t="inlineStr">
        <is>
          <t>23 St (R W), about 4 min walk</t>
        </is>
      </c>
      <c r="O1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3" s="10" t="inlineStr"/>
      <c r="Q13" s="10" t="inlineStr"/>
      <c r="R13" s="10" t="inlineStr"/>
      <c r="S13" s="10" t="inlineStr"/>
      <c r="T13" s="10" t="inlineStr"/>
      <c r="U13" s="10" t="inlineStr"/>
      <c r="V13" s="10" t="inlineStr"/>
      <c r="X13" s="7" t="inlineStr">
        <is>
          <t>Times are estimates: walking at 73 m/min (MUTCD 4 ft/s) plus signal waits, and the dwell rule in Method. Fill the grey founder columns on foot.</t>
        </is>
      </c>
    </row>
    <row r="14">
      <c r="A14" t="n">
        <v>2</v>
      </c>
      <c r="B14" t="inlineStr">
        <is>
          <t>core (inside the boundary)</t>
        </is>
      </c>
      <c r="C14" t="n">
        <v>13</v>
      </c>
      <c r="D14" s="3" t="inlineStr">
        <is>
          <t>B-B-017 130 Fifth Avenue (Olnick Organization)</t>
        </is>
      </c>
      <c r="E14" t="inlineStr">
        <is>
          <t>building</t>
        </is>
      </c>
      <c r="F14" t="inlineStr">
        <is>
          <t>130 Fifth Avenue</t>
        </is>
      </c>
      <c r="G14" t="n">
        <v>40.738793</v>
      </c>
      <c r="H14" t="n">
        <v>-73.991823</v>
      </c>
      <c r="I14" t="n">
        <v>1.4</v>
      </c>
      <c r="J14" t="n">
        <v>4</v>
      </c>
      <c r="K14">
        <f>IF(A14=A13,K13,0)+I14+J14</f>
        <v/>
      </c>
      <c r="L14">
        <f>SUMIF($A$2:$A$117,A14,$I$2:$I$117)+SUMIF($A$2:$A$117,A14,$J$2:$J$117)</f>
        <v/>
      </c>
      <c r="M14" t="inlineStr">
        <is>
          <t>14 St-Union Sq (N Q R W), about 6 min walk</t>
        </is>
      </c>
      <c r="N14" t="inlineStr">
        <is>
          <t>23 St (R W), about 4 min walk</t>
        </is>
      </c>
      <c r="O14" s="3" t="inlineStr">
        <is>
          <t>ENTRANCE: Corner building: the address is on Fifth Avenue, and the building also fronts West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4" s="10" t="inlineStr"/>
      <c r="Q14" s="10" t="inlineStr"/>
      <c r="R14" s="10" t="inlineStr"/>
      <c r="S14" s="10" t="inlineStr"/>
      <c r="T14" s="10" t="inlineStr"/>
      <c r="U14" s="10" t="inlineStr"/>
      <c r="V14" s="10" t="inlineStr"/>
      <c r="X14" s="11" t="inlineStr">
        <is>
          <t>Do sessions 1 to 7 (the core, inside the boundary) on Tuesday or Wednesday mornings between 8 and 11 am, two sessions a morning, so lobby observations (security desk staffed? receiving hours?) match drop day.</t>
        </is>
      </c>
    </row>
    <row r="15">
      <c r="A15" t="n">
        <v>2</v>
      </c>
      <c r="B15" t="inlineStr">
        <is>
          <t>core (inside the boundary)</t>
        </is>
      </c>
      <c r="C15" t="n">
        <v>14</v>
      </c>
      <c r="D15" s="3" t="inlineStr">
        <is>
          <t>B-B-022 Cluett Building (Kaufman Organization)</t>
        </is>
      </c>
      <c r="E15" t="inlineStr">
        <is>
          <t>building</t>
        </is>
      </c>
      <c r="F15" t="inlineStr">
        <is>
          <t>22 West 19th Street</t>
        </is>
      </c>
      <c r="G15" t="n">
        <v>40.739487</v>
      </c>
      <c r="H15" t="n">
        <v>-73.99283</v>
      </c>
      <c r="I15" t="n">
        <v>2</v>
      </c>
      <c r="J15" t="n">
        <v>3</v>
      </c>
      <c r="K15">
        <f>IF(A15=A14,K14,0)+I15+J15</f>
        <v/>
      </c>
      <c r="L15">
        <f>SUMIF($A$2:$A$117,A15,$I$2:$I$117)+SUMIF($A$2:$A$117,A15,$J$2:$J$117)</f>
        <v/>
      </c>
      <c r="M15" t="inlineStr">
        <is>
          <t>14 St-Union Sq (N Q R W), about 6 min walk</t>
        </is>
      </c>
      <c r="N15" t="inlineStr">
        <is>
          <t>23 St (R W), about 4 min walk</t>
        </is>
      </c>
      <c r="O1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5" s="10" t="inlineStr"/>
      <c r="Q15" s="10" t="inlineStr"/>
      <c r="R15" s="10" t="inlineStr"/>
      <c r="S15" s="10" t="inlineStr"/>
      <c r="T15" s="10" t="inlineStr"/>
      <c r="U15" s="10" t="inlineStr"/>
      <c r="V15" s="10" t="inlineStr"/>
    </row>
    <row r="16">
      <c r="A16" t="n">
        <v>2</v>
      </c>
      <c r="B16" t="inlineStr">
        <is>
          <t>core (inside the boundary)</t>
        </is>
      </c>
      <c r="C16" t="n">
        <v>15</v>
      </c>
      <c r="D16" s="3" t="inlineStr">
        <is>
          <t>B-B-018 111 Fifth Avenue (Winter Organization)</t>
        </is>
      </c>
      <c r="E16" t="inlineStr">
        <is>
          <t>building</t>
        </is>
      </c>
      <c r="F16" t="inlineStr">
        <is>
          <t>111 Fifth Avenue</t>
        </is>
      </c>
      <c r="G16" t="n">
        <v>40.73865</v>
      </c>
      <c r="H16" t="n">
        <v>-73.991471</v>
      </c>
      <c r="I16" t="n">
        <v>2.8</v>
      </c>
      <c r="J16" t="n">
        <v>4.5</v>
      </c>
      <c r="K16">
        <f>IF(A16=A15,K15,0)+I16+J16</f>
        <v/>
      </c>
      <c r="L16">
        <f>SUMIF($A$2:$A$117,A16,$I$2:$I$117)+SUMIF($A$2:$A$117,A16,$J$2:$J$117)</f>
        <v/>
      </c>
      <c r="M16" t="inlineStr">
        <is>
          <t>14 St-Union Sq (N Q R W), about 6 min walk</t>
        </is>
      </c>
      <c r="N16" t="inlineStr">
        <is>
          <t>23 St (R W), about 4 min walk</t>
        </is>
      </c>
      <c r="O16" s="3" t="inlineStr">
        <is>
          <t>ENTRANCE: Corner building: the address is on Fifth Avenue, and the building also fronts East 18th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6" s="10" t="inlineStr"/>
      <c r="Q16" s="10" t="inlineStr"/>
      <c r="R16" s="10" t="inlineStr"/>
      <c r="S16" s="10" t="inlineStr"/>
      <c r="T16" s="10" t="inlineStr"/>
      <c r="U16" s="10" t="inlineStr"/>
      <c r="V16" s="10" t="inlineStr"/>
    </row>
    <row r="17">
      <c r="A17" t="n">
        <v>2</v>
      </c>
      <c r="B17" t="inlineStr">
        <is>
          <t>core (inside the boundary)</t>
        </is>
      </c>
      <c r="C17" t="n">
        <v>16</v>
      </c>
      <c r="D17" s="3" t="inlineStr">
        <is>
          <t>B-B-023 115 Fifth Avenue / 881 Broadway (Arnold Constable block)</t>
        </is>
      </c>
      <c r="E17" t="inlineStr">
        <is>
          <t>building</t>
        </is>
      </c>
      <c r="F17" t="inlineStr">
        <is>
          <t>115 Fifth Avenue</t>
        </is>
      </c>
      <c r="G17" t="n">
        <v>40.738809</v>
      </c>
      <c r="H17" t="n">
        <v>-73.991356</v>
      </c>
      <c r="I17" t="n">
        <v>0.3</v>
      </c>
      <c r="J17" t="n">
        <v>3</v>
      </c>
      <c r="K17">
        <f>IF(A17=A16,K16,0)+I17+J17</f>
        <v/>
      </c>
      <c r="L17">
        <f>SUMIF($A$2:$A$117,A17,$I$2:$I$117)+SUMIF($A$2:$A$117,A17,$J$2:$J$117)</f>
        <v/>
      </c>
      <c r="M17" t="inlineStr">
        <is>
          <t>14 St-Union Sq (N Q R W), about 6 min walk</t>
        </is>
      </c>
      <c r="N17" t="inlineStr">
        <is>
          <t>23 St (R W), about 4 min walk</t>
        </is>
      </c>
      <c r="O17"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7" s="10" t="inlineStr"/>
      <c r="Q17" s="10" t="inlineStr"/>
      <c r="R17" s="10" t="inlineStr"/>
      <c r="S17" s="10" t="inlineStr"/>
      <c r="T17" s="10" t="inlineStr"/>
      <c r="U17" s="10" t="inlineStr"/>
      <c r="V17" s="10" t="inlineStr"/>
    </row>
    <row r="18">
      <c r="A18" t="n">
        <v>2</v>
      </c>
      <c r="B18" t="inlineStr">
        <is>
          <t>core (inside the boundary)</t>
        </is>
      </c>
      <c r="C18" t="n">
        <v>17</v>
      </c>
      <c r="D18" s="3" t="inlineStr">
        <is>
          <t>B-B-024 119 Fifth Avenue</t>
        </is>
      </c>
      <c r="E18" t="inlineStr">
        <is>
          <t>building</t>
        </is>
      </c>
      <c r="F18" t="inlineStr">
        <is>
          <t>119 Fifth Avenue</t>
        </is>
      </c>
      <c r="G18" t="n">
        <v>40.739228</v>
      </c>
      <c r="H18" t="n">
        <v>-73.99105</v>
      </c>
      <c r="I18" t="n">
        <v>1</v>
      </c>
      <c r="J18" t="n">
        <v>3</v>
      </c>
      <c r="K18">
        <f>IF(A18=A17,K17,0)+I18+J18</f>
        <v/>
      </c>
      <c r="L18">
        <f>SUMIF($A$2:$A$117,A18,$I$2:$I$117)+SUMIF($A$2:$A$117,A18,$J$2:$J$117)</f>
        <v/>
      </c>
      <c r="M18" t="inlineStr">
        <is>
          <t>14 St-Union Sq (N Q R W), about 6 min walk</t>
        </is>
      </c>
      <c r="N18" t="inlineStr">
        <is>
          <t>23 St (R W), about 4 min walk</t>
        </is>
      </c>
      <c r="O18" s="3" t="inlineStr">
        <is>
          <t>ENTRANCE: Corner building: the address is on Fifth Avenue, and the building also fronts East 19th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18" s="10" t="inlineStr"/>
      <c r="Q18" s="10" t="inlineStr"/>
      <c r="R18" s="10" t="inlineStr"/>
      <c r="S18" s="10" t="inlineStr"/>
      <c r="T18" s="10" t="inlineStr"/>
      <c r="U18" s="10" t="inlineStr"/>
      <c r="V18" s="10" t="inlineStr"/>
    </row>
    <row r="19">
      <c r="A19" t="n">
        <v>2</v>
      </c>
      <c r="B19" t="inlineStr">
        <is>
          <t>core (inside the boundary)</t>
        </is>
      </c>
      <c r="C19" t="n">
        <v>18</v>
      </c>
      <c r="D19" s="3" t="inlineStr">
        <is>
          <t>B-B-027 Equinox Building; B-W-006 The Malin Flatiron</t>
        </is>
      </c>
      <c r="E19" t="inlineStr">
        <is>
          <t>building; coworking</t>
        </is>
      </c>
      <c r="F19" t="inlineStr">
        <is>
          <t>895 Broadway</t>
        </is>
      </c>
      <c r="G19" t="n">
        <v>40.739015</v>
      </c>
      <c r="H19" t="n">
        <v>-73.989998</v>
      </c>
      <c r="I19" t="n">
        <v>1.7</v>
      </c>
      <c r="J19" t="n">
        <v>4</v>
      </c>
      <c r="K19">
        <f>IF(A19=A18,K18,0)+I19+J19</f>
        <v/>
      </c>
      <c r="L19">
        <f>SUMIF($A$2:$A$117,A19,$I$2:$I$117)+SUMIF($A$2:$A$117,A19,$J$2:$J$117)</f>
        <v/>
      </c>
      <c r="M19" t="inlineStr">
        <is>
          <t>14 St-Union Sq (N Q R W), about 6 min walk</t>
        </is>
      </c>
      <c r="N19" t="inlineStr">
        <is>
          <t>23 St (R W), about 4 min walk</t>
        </is>
      </c>
      <c r="O19"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19" s="10" t="inlineStr"/>
      <c r="Q19" s="10" t="inlineStr"/>
      <c r="R19" s="10" t="inlineStr"/>
      <c r="S19" s="10" t="inlineStr"/>
      <c r="T19" s="10" t="inlineStr"/>
      <c r="U19" s="10" t="inlineStr"/>
      <c r="V19" s="10" t="inlineStr"/>
    </row>
    <row r="20">
      <c r="A20" t="n">
        <v>2</v>
      </c>
      <c r="B20" t="inlineStr">
        <is>
          <t>core (inside the boundary)</t>
        </is>
      </c>
      <c r="C20" t="n">
        <v>19</v>
      </c>
      <c r="D20" s="3" t="inlineStr">
        <is>
          <t>B-B-031 902 Broadway (Rosen family / Koeppel Rosen); B-W-008 Industrious 902 Broadway</t>
        </is>
      </c>
      <c r="E20" t="inlineStr">
        <is>
          <t>building; coworking</t>
        </is>
      </c>
      <c r="F20" t="inlineStr">
        <is>
          <t>902 Broadway</t>
        </is>
      </c>
      <c r="G20" t="n">
        <v>40.739363</v>
      </c>
      <c r="H20" t="n">
        <v>-73.98953400000001</v>
      </c>
      <c r="I20" t="n">
        <v>1.7</v>
      </c>
      <c r="J20" t="n">
        <v>5</v>
      </c>
      <c r="K20">
        <f>IF(A20=A19,K19,0)+I20+J20</f>
        <v/>
      </c>
      <c r="L20">
        <f>SUMIF($A$2:$A$117,A20,$I$2:$I$117)+SUMIF($A$2:$A$117,A20,$J$2:$J$117)</f>
        <v/>
      </c>
      <c r="M20" t="inlineStr">
        <is>
          <t>14 St-Union Sq (N Q R W), about 6 min walk</t>
        </is>
      </c>
      <c r="N20" t="inlineStr">
        <is>
          <t>23 St (R W), about 4 min walk</t>
        </is>
      </c>
      <c r="O20" s="3" t="inlineStr">
        <is>
          <t>ENTRANCE: Corner building: the address is on Broadway, and the building also fronts East 20th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0" s="10" t="inlineStr"/>
      <c r="Q20" s="10" t="inlineStr"/>
      <c r="R20" s="10" t="inlineStr"/>
      <c r="S20" s="10" t="inlineStr"/>
      <c r="T20" s="10" t="inlineStr"/>
      <c r="U20" s="10" t="inlineStr"/>
      <c r="V20" s="10" t="inlineStr"/>
    </row>
    <row r="21">
      <c r="A21" t="n">
        <v>2</v>
      </c>
      <c r="B21" t="inlineStr">
        <is>
          <t>core (inside the boundary)</t>
        </is>
      </c>
      <c r="C21" t="n">
        <v>20</v>
      </c>
      <c r="D21" s="3" t="inlineStr">
        <is>
          <t>B-B-034 915 Broadway (ABS Partners)</t>
        </is>
      </c>
      <c r="E21" t="inlineStr">
        <is>
          <t>building</t>
        </is>
      </c>
      <c r="F21" t="inlineStr">
        <is>
          <t>915 Broadway</t>
        </is>
      </c>
      <c r="G21" t="n">
        <v>40.739695</v>
      </c>
      <c r="H21" t="n">
        <v>-73.989816</v>
      </c>
      <c r="I21" t="n">
        <v>1.1</v>
      </c>
      <c r="J21" t="n">
        <v>3.5</v>
      </c>
      <c r="K21">
        <f>IF(A21=A20,K20,0)+I21+J21</f>
        <v/>
      </c>
      <c r="L21">
        <f>SUMIF($A$2:$A$117,A21,$I$2:$I$117)+SUMIF($A$2:$A$117,A21,$J$2:$J$117)</f>
        <v/>
      </c>
      <c r="M21" t="inlineStr">
        <is>
          <t>14 St-Union Sq (N Q R W), about 6 min walk</t>
        </is>
      </c>
      <c r="N21" t="inlineStr">
        <is>
          <t>23 St (R W), about 4 min walk</t>
        </is>
      </c>
      <c r="O21" s="3" t="inlineStr">
        <is>
          <t>ENTRANCE: Corner building: the address is on Broadway, and the building also fronts East 21st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1" s="10" t="inlineStr"/>
      <c r="Q21" s="10" t="inlineStr"/>
      <c r="R21" s="10" t="inlineStr"/>
      <c r="S21" s="10" t="inlineStr"/>
      <c r="T21" s="10" t="inlineStr"/>
      <c r="U21" s="10" t="inlineStr"/>
      <c r="V21" s="10" t="inlineStr"/>
    </row>
    <row r="22">
      <c r="A22" t="n">
        <v>2</v>
      </c>
      <c r="B22" t="inlineStr">
        <is>
          <t>core (inside the boundary)</t>
        </is>
      </c>
      <c r="C22" t="n">
        <v>21</v>
      </c>
      <c r="D22" s="3" t="inlineStr">
        <is>
          <t>B-B-029 Presbyterian Building / Flatiron Suites (HRC); B-W-007 Industrious 156 5th Ave</t>
        </is>
      </c>
      <c r="E22" t="inlineStr">
        <is>
          <t>building; coworking</t>
        </is>
      </c>
      <c r="F22" t="inlineStr">
        <is>
          <t>156 Fifth Avenue</t>
        </is>
      </c>
      <c r="G22" t="n">
        <v>40.739961</v>
      </c>
      <c r="H22" t="n">
        <v>-73.990971</v>
      </c>
      <c r="I22" t="n">
        <v>2.1</v>
      </c>
      <c r="J22" t="n">
        <v>4.5</v>
      </c>
      <c r="K22">
        <f>IF(A22=A21,K21,0)+I22+J22</f>
        <v/>
      </c>
      <c r="L22">
        <f>SUMIF($A$2:$A$117,A22,$I$2:$I$117)+SUMIF($A$2:$A$117,A22,$J$2:$J$117)</f>
        <v/>
      </c>
      <c r="M22" t="inlineStr">
        <is>
          <t>14 St-Union Sq (N Q R W), about 6 min walk</t>
        </is>
      </c>
      <c r="N22" t="inlineStr">
        <is>
          <t>23 St (R W), about 4 min walk</t>
        </is>
      </c>
      <c r="O22" s="3" t="inlineStr">
        <is>
          <t>ENTRANCE: Corner building: the address is on Fifth Avenue, and the building also fronts West 20th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22" s="10" t="inlineStr"/>
      <c r="Q22" s="10" t="inlineStr"/>
      <c r="R22" s="10" t="inlineStr"/>
      <c r="S22" s="10" t="inlineStr"/>
      <c r="T22" s="10" t="inlineStr"/>
      <c r="U22" s="10" t="inlineStr"/>
      <c r="V22" s="10" t="inlineStr"/>
    </row>
    <row r="23">
      <c r="A23" t="n">
        <v>2</v>
      </c>
      <c r="B23" t="inlineStr">
        <is>
          <t>core (inside the boundary)</t>
        </is>
      </c>
      <c r="C23" t="n">
        <v>22</v>
      </c>
      <c r="D23" s="3" t="inlineStr">
        <is>
          <t>B-B-035 149 Fifth Avenue</t>
        </is>
      </c>
      <c r="E23" t="inlineStr">
        <is>
          <t>building</t>
        </is>
      </c>
      <c r="F23" t="inlineStr">
        <is>
          <t>149 Fifth Avenue</t>
        </is>
      </c>
      <c r="G23" t="n">
        <v>40.740407</v>
      </c>
      <c r="H23" t="n">
        <v>-73.990193</v>
      </c>
      <c r="I23" t="n">
        <v>2</v>
      </c>
      <c r="J23" t="n">
        <v>3</v>
      </c>
      <c r="K23">
        <f>IF(A23=A22,K22,0)+I23+J23</f>
        <v/>
      </c>
      <c r="L23">
        <f>SUMIF($A$2:$A$117,A23,$I$2:$I$117)+SUMIF($A$2:$A$117,A23,$J$2:$J$117)</f>
        <v/>
      </c>
      <c r="M23" t="inlineStr">
        <is>
          <t>14 St-Union Sq (N Q R W), about 6 min walk</t>
        </is>
      </c>
      <c r="N23" t="inlineStr">
        <is>
          <t>23 St (R W), about 4 min walk</t>
        </is>
      </c>
      <c r="O23" s="3" t="inlineStr">
        <is>
          <t>ENTRANCE: Corner building: the address is on Fifth Avenue, and the building also fronts East 21st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3" s="10" t="inlineStr"/>
      <c r="Q23" s="10" t="inlineStr"/>
      <c r="R23" s="10" t="inlineStr"/>
      <c r="S23" s="10" t="inlineStr"/>
      <c r="T23" s="10" t="inlineStr"/>
      <c r="U23" s="10" t="inlineStr"/>
      <c r="V23" s="10" t="inlineStr"/>
    </row>
    <row r="24">
      <c r="A24" t="n">
        <v>2</v>
      </c>
      <c r="B24" t="inlineStr">
        <is>
          <t>core (inside the boundary)</t>
        </is>
      </c>
      <c r="C24" t="n">
        <v>23</v>
      </c>
      <c r="D24" s="3" t="inlineStr">
        <is>
          <t>B-B-037 Scribner Building</t>
        </is>
      </c>
      <c r="E24" t="inlineStr">
        <is>
          <t>building</t>
        </is>
      </c>
      <c r="F24" t="inlineStr">
        <is>
          <t>155 Fifth Avenue</t>
        </is>
      </c>
      <c r="G24" t="n">
        <v>40.740438</v>
      </c>
      <c r="H24" t="n">
        <v>-73.99003399999999</v>
      </c>
      <c r="I24" t="n">
        <v>0.1</v>
      </c>
      <c r="J24" t="n">
        <v>3.5</v>
      </c>
      <c r="K24">
        <f>IF(A24=A23,K23,0)+I24+J24</f>
        <v/>
      </c>
      <c r="L24">
        <f>SUMIF($A$2:$A$117,A24,$I$2:$I$117)+SUMIF($A$2:$A$117,A24,$J$2:$J$117)</f>
        <v/>
      </c>
      <c r="M24" t="inlineStr">
        <is>
          <t>14 St-Union Sq (N Q R W), about 6 min walk</t>
        </is>
      </c>
      <c r="N24" t="inlineStr">
        <is>
          <t>23 St (R W), about 4 min walk</t>
        </is>
      </c>
      <c r="O2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4" s="10" t="inlineStr"/>
      <c r="Q24" s="10" t="inlineStr"/>
      <c r="R24" s="10" t="inlineStr"/>
      <c r="S24" s="10" t="inlineStr"/>
      <c r="T24" s="10" t="inlineStr"/>
      <c r="U24" s="10" t="inlineStr"/>
      <c r="V24" s="10" t="inlineStr"/>
    </row>
    <row r="25">
      <c r="A25" t="n">
        <v>2</v>
      </c>
      <c r="B25" t="inlineStr">
        <is>
          <t>core (inside the boundary)</t>
        </is>
      </c>
      <c r="C25" t="n">
        <v>24</v>
      </c>
      <c r="D25" s="3" t="inlineStr">
        <is>
          <t>B-B-043 7 West 22nd Street</t>
        </is>
      </c>
      <c r="E25" t="inlineStr">
        <is>
          <t>building</t>
        </is>
      </c>
      <c r="F25" t="inlineStr">
        <is>
          <t>7 West 22nd Street</t>
        </is>
      </c>
      <c r="G25" t="n">
        <v>40.741355</v>
      </c>
      <c r="H25" t="n">
        <v>-73.99059800000001</v>
      </c>
      <c r="I25" t="n">
        <v>2.5</v>
      </c>
      <c r="J25" t="n">
        <v>3</v>
      </c>
      <c r="K25">
        <f>IF(A25=A24,K24,0)+I25+J25</f>
        <v/>
      </c>
      <c r="L25">
        <f>SUMIF($A$2:$A$117,A25,$I$2:$I$117)+SUMIF($A$2:$A$117,A25,$J$2:$J$117)</f>
        <v/>
      </c>
      <c r="M25" t="inlineStr">
        <is>
          <t>14 St-Union Sq (N Q R W), about 6 min walk</t>
        </is>
      </c>
      <c r="N25" t="inlineStr">
        <is>
          <t>23 St (R W), about 4 min walk</t>
        </is>
      </c>
      <c r="O2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5" s="10" t="inlineStr"/>
      <c r="Q25" s="10" t="inlineStr"/>
      <c r="R25" s="10" t="inlineStr"/>
      <c r="S25" s="10" t="inlineStr"/>
      <c r="T25" s="10" t="inlineStr"/>
      <c r="U25" s="10" t="inlineStr"/>
      <c r="V25" s="10" t="inlineStr"/>
    </row>
    <row r="26">
      <c r="A26" t="n">
        <v>2</v>
      </c>
      <c r="B26" t="inlineStr">
        <is>
          <t>core (inside the boundary)</t>
        </is>
      </c>
      <c r="C26" t="n">
        <v>25</v>
      </c>
      <c r="D26" s="3" t="inlineStr">
        <is>
          <t>B-B-041 16 West 22nd Street (Meysar Realty / GFP)</t>
        </is>
      </c>
      <c r="E26" t="inlineStr">
        <is>
          <t>building</t>
        </is>
      </c>
      <c r="F26" t="inlineStr">
        <is>
          <t>16 West 22nd Street</t>
        </is>
      </c>
      <c r="G26" t="n">
        <v>40.74118</v>
      </c>
      <c r="H26" t="n">
        <v>-73.99129000000001</v>
      </c>
      <c r="I26" t="n">
        <v>2.5</v>
      </c>
      <c r="J26" t="n">
        <v>3.5</v>
      </c>
      <c r="K26">
        <f>IF(A26=A25,K25,0)+I26+J26</f>
        <v/>
      </c>
      <c r="L26">
        <f>SUMIF($A$2:$A$117,A26,$I$2:$I$117)+SUMIF($A$2:$A$117,A26,$J$2:$J$117)</f>
        <v/>
      </c>
      <c r="M26" t="inlineStr">
        <is>
          <t>14 St-Union Sq (N Q R W), about 6 min walk</t>
        </is>
      </c>
      <c r="N26" t="inlineStr">
        <is>
          <t>23 St (R W), about 4 min walk</t>
        </is>
      </c>
      <c r="O2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6" s="10" t="inlineStr"/>
      <c r="Q26" s="10" t="inlineStr"/>
      <c r="R26" s="10" t="inlineStr"/>
      <c r="S26" s="10" t="inlineStr"/>
      <c r="T26" s="10" t="inlineStr"/>
      <c r="U26" s="10" t="inlineStr"/>
      <c r="V26" s="10" t="inlineStr"/>
    </row>
    <row r="27">
      <c r="A27" t="n">
        <v>2</v>
      </c>
      <c r="B27" t="inlineStr">
        <is>
          <t>core (inside the boundary)</t>
        </is>
      </c>
      <c r="C27" t="n">
        <v>26</v>
      </c>
      <c r="D27" s="3" t="inlineStr">
        <is>
          <t>B-B-040 20 West 22nd Street (ABS Partners, managing agent)</t>
        </is>
      </c>
      <c r="E27" t="inlineStr">
        <is>
          <t>building</t>
        </is>
      </c>
      <c r="F27" t="inlineStr">
        <is>
          <t>20 West 22nd Street</t>
        </is>
      </c>
      <c r="G27" t="n">
        <v>40.74129</v>
      </c>
      <c r="H27" t="n">
        <v>-73.991589</v>
      </c>
      <c r="I27" t="n">
        <v>0.4</v>
      </c>
      <c r="J27" t="n">
        <v>3</v>
      </c>
      <c r="K27">
        <f>IF(A27=A26,K26,0)+I27+J27</f>
        <v/>
      </c>
      <c r="L27">
        <f>SUMIF($A$2:$A$117,A27,$I$2:$I$117)+SUMIF($A$2:$A$117,A27,$J$2:$J$117)</f>
        <v/>
      </c>
      <c r="M27" t="inlineStr">
        <is>
          <t>14 St-Union Sq (N Q R W), about 6 min walk</t>
        </is>
      </c>
      <c r="N27" t="inlineStr">
        <is>
          <t>23 St (R W), about 4 min walk</t>
        </is>
      </c>
      <c r="O2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7" s="10" t="inlineStr"/>
      <c r="Q27" s="10" t="inlineStr"/>
      <c r="R27" s="10" t="inlineStr"/>
      <c r="S27" s="10" t="inlineStr"/>
      <c r="T27" s="10" t="inlineStr"/>
      <c r="U27" s="10" t="inlineStr"/>
      <c r="V27" s="10" t="inlineStr"/>
    </row>
    <row r="28">
      <c r="A28" t="n">
        <v>3</v>
      </c>
      <c r="B28" t="inlineStr">
        <is>
          <t>core (inside the boundary)</t>
        </is>
      </c>
      <c r="C28" t="n">
        <v>27</v>
      </c>
      <c r="D28" s="3" t="inlineStr">
        <is>
          <t>B-B-039 56 West 22nd Street (Kaufman Organization)</t>
        </is>
      </c>
      <c r="E28" t="inlineStr">
        <is>
          <t>building</t>
        </is>
      </c>
      <c r="F28" t="inlineStr">
        <is>
          <t>56 West 22nd Street</t>
        </is>
      </c>
      <c r="G28" t="n">
        <v>40.741838</v>
      </c>
      <c r="H28" t="n">
        <v>-73.992892</v>
      </c>
      <c r="I28" t="n">
        <v>0</v>
      </c>
      <c r="J28" t="n">
        <v>3.5</v>
      </c>
      <c r="K28">
        <f>IF(A28=A27,K27,0)+I28+J28</f>
        <v/>
      </c>
      <c r="L28">
        <f>SUMIF($A$2:$A$117,A28,$I$2:$I$117)+SUMIF($A$2:$A$117,A28,$J$2:$J$117)</f>
        <v/>
      </c>
      <c r="M28" t="inlineStr">
        <is>
          <t>23 St (F M), about 2 min walk</t>
        </is>
      </c>
      <c r="N28" t="inlineStr">
        <is>
          <t>14 St-Union Sq (N Q R W), about 4 min walk</t>
        </is>
      </c>
      <c r="O2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28" s="10" t="inlineStr"/>
      <c r="Q28" s="10" t="inlineStr"/>
      <c r="R28" s="10" t="inlineStr"/>
      <c r="S28" s="10" t="inlineStr"/>
      <c r="T28" s="10" t="inlineStr"/>
      <c r="U28" s="10" t="inlineStr"/>
      <c r="V28" s="10" t="inlineStr"/>
    </row>
    <row r="29">
      <c r="A29" t="n">
        <v>3</v>
      </c>
      <c r="B29" t="inlineStr">
        <is>
          <t>core (inside the boundary)</t>
        </is>
      </c>
      <c r="C29" t="n">
        <v>28</v>
      </c>
      <c r="D29" s="3" t="inlineStr">
        <is>
          <t>B-B-038 Adams Dry Goods / Mattel Building (GFP Real Estate); B-R-008 Trader Joe's Chelsea (store 543)</t>
        </is>
      </c>
      <c r="E29" t="inlineStr">
        <is>
          <t>building; retailer</t>
        </is>
      </c>
      <c r="F29" t="inlineStr">
        <is>
          <t>675 Avenue of the Americas</t>
        </is>
      </c>
      <c r="G29" t="n">
        <v>40.742014</v>
      </c>
      <c r="H29" t="n">
        <v>-73.99370500000001</v>
      </c>
      <c r="I29" t="n">
        <v>1.9</v>
      </c>
      <c r="J29" t="n">
        <v>4.5</v>
      </c>
      <c r="K29">
        <f>IF(A29=A28,K28,0)+I29+J29</f>
        <v/>
      </c>
      <c r="L29">
        <f>SUMIF($A$2:$A$117,A29,$I$2:$I$117)+SUMIF($A$2:$A$117,A29,$J$2:$J$117)</f>
        <v/>
      </c>
      <c r="M29" t="inlineStr">
        <is>
          <t>23 St (F M), about 2 min walk</t>
        </is>
      </c>
      <c r="N29" t="inlineStr">
        <is>
          <t>14 St-Union Sq (N Q R W), about 4 min walk</t>
        </is>
      </c>
      <c r="O29" s="3" t="inlineStr">
        <is>
          <t>ENTRANCE: Corner building: the address is on Avenue of the Americas, and the building also fronts West 21st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RETAILER: Store open; photo of the local or emerging snack and drink set (aisle and shelf tags); note which shelf it is in; any 'local' or 'new' shelf signage</t>
        </is>
      </c>
      <c r="P29" s="10" t="inlineStr"/>
      <c r="Q29" s="10" t="inlineStr"/>
      <c r="R29" s="10" t="inlineStr"/>
      <c r="S29" s="10" t="inlineStr"/>
      <c r="T29" s="10" t="inlineStr"/>
      <c r="U29" s="10" t="inlineStr"/>
      <c r="V29" s="10" t="inlineStr"/>
    </row>
    <row r="30">
      <c r="A30" t="n">
        <v>3</v>
      </c>
      <c r="B30" t="inlineStr">
        <is>
          <t>core (inside the boundary)</t>
        </is>
      </c>
      <c r="C30" t="n">
        <v>29</v>
      </c>
      <c r="D30" s="3" t="inlineStr">
        <is>
          <t>B-B-036 53-55 West 21st Street (Moinian Group)</t>
        </is>
      </c>
      <c r="E30" t="inlineStr">
        <is>
          <t>building</t>
        </is>
      </c>
      <c r="F30" t="inlineStr">
        <is>
          <t>53 West 21st Street</t>
        </is>
      </c>
      <c r="G30" t="n">
        <v>40.741548</v>
      </c>
      <c r="H30" t="n">
        <v>-73.99300700000001</v>
      </c>
      <c r="I30" t="n">
        <v>1.7</v>
      </c>
      <c r="J30" t="n">
        <v>4</v>
      </c>
      <c r="K30">
        <f>IF(A30=A29,K29,0)+I30+J30</f>
        <v/>
      </c>
      <c r="L30">
        <f>SUMIF($A$2:$A$117,A30,$I$2:$I$117)+SUMIF($A$2:$A$117,A30,$J$2:$J$117)</f>
        <v/>
      </c>
      <c r="M30" t="inlineStr">
        <is>
          <t>23 St (F M), about 2 min walk</t>
        </is>
      </c>
      <c r="N30" t="inlineStr">
        <is>
          <t>14 St-Union Sq (N Q R W), about 4 min walk</t>
        </is>
      </c>
      <c r="O3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0" s="10" t="inlineStr"/>
      <c r="Q30" s="10" t="inlineStr"/>
      <c r="R30" s="10" t="inlineStr"/>
      <c r="S30" s="10" t="inlineStr"/>
      <c r="T30" s="10" t="inlineStr"/>
      <c r="U30" s="10" t="inlineStr"/>
      <c r="V30" s="10" t="inlineStr"/>
    </row>
    <row r="31">
      <c r="A31" t="n">
        <v>3</v>
      </c>
      <c r="B31" t="inlineStr">
        <is>
          <t>core (inside the boundary)</t>
        </is>
      </c>
      <c r="C31" t="n">
        <v>30</v>
      </c>
      <c r="D31" s="3" t="inlineStr">
        <is>
          <t>B-B-033 30 West 21st Street (Skyway Development Group)</t>
        </is>
      </c>
      <c r="E31" t="inlineStr">
        <is>
          <t>building</t>
        </is>
      </c>
      <c r="F31" t="inlineStr">
        <is>
          <t>30 West 21st Street</t>
        </is>
      </c>
      <c r="G31" t="n">
        <v>40.74082</v>
      </c>
      <c r="H31" t="n">
        <v>-73.992366</v>
      </c>
      <c r="I31" t="n">
        <v>3</v>
      </c>
      <c r="J31" t="n">
        <v>3.5</v>
      </c>
      <c r="K31">
        <f>IF(A31=A30,K30,0)+I31+J31</f>
        <v/>
      </c>
      <c r="L31">
        <f>SUMIF($A$2:$A$117,A31,$I$2:$I$117)+SUMIF($A$2:$A$117,A31,$J$2:$J$117)</f>
        <v/>
      </c>
      <c r="M31" t="inlineStr">
        <is>
          <t>23 St (F M), about 2 min walk</t>
        </is>
      </c>
      <c r="N31" t="inlineStr">
        <is>
          <t>14 St-Union Sq (N Q R W), about 4 min walk</t>
        </is>
      </c>
      <c r="O31"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1" s="10" t="inlineStr"/>
      <c r="Q31" s="10" t="inlineStr"/>
      <c r="R31" s="10" t="inlineStr"/>
      <c r="S31" s="10" t="inlineStr"/>
      <c r="T31" s="10" t="inlineStr"/>
      <c r="U31" s="10" t="inlineStr"/>
      <c r="V31" s="10" t="inlineStr"/>
    </row>
    <row r="32">
      <c r="A32" t="n">
        <v>3</v>
      </c>
      <c r="B32" t="inlineStr">
        <is>
          <t>core (inside the boundary)</t>
        </is>
      </c>
      <c r="C32" t="n">
        <v>31</v>
      </c>
      <c r="D32" s="3" t="inlineStr">
        <is>
          <t>B-B-030 37 West 20th Street</t>
        </is>
      </c>
      <c r="E32" t="inlineStr">
        <is>
          <t>building</t>
        </is>
      </c>
      <c r="F32" t="inlineStr">
        <is>
          <t>37 West 20th Street</t>
        </is>
      </c>
      <c r="G32" t="n">
        <v>40.740813</v>
      </c>
      <c r="H32" t="n">
        <v>-73.99310699999999</v>
      </c>
      <c r="I32" t="n">
        <v>3.8</v>
      </c>
      <c r="J32" t="n">
        <v>3</v>
      </c>
      <c r="K32">
        <f>IF(A32=A31,K31,0)+I32+J32</f>
        <v/>
      </c>
      <c r="L32">
        <f>SUMIF($A$2:$A$117,A32,$I$2:$I$117)+SUMIF($A$2:$A$117,A32,$J$2:$J$117)</f>
        <v/>
      </c>
      <c r="M32" t="inlineStr">
        <is>
          <t>23 St (F M), about 2 min walk</t>
        </is>
      </c>
      <c r="N32" t="inlineStr">
        <is>
          <t>14 St-Union Sq (N Q R W), about 4 min walk</t>
        </is>
      </c>
      <c r="O3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2" s="10" t="inlineStr"/>
      <c r="Q32" s="10" t="inlineStr"/>
      <c r="R32" s="10" t="inlineStr"/>
      <c r="S32" s="10" t="inlineStr"/>
      <c r="T32" s="10" t="inlineStr"/>
      <c r="U32" s="10" t="inlineStr"/>
      <c r="V32" s="10" t="inlineStr"/>
    </row>
    <row r="33">
      <c r="A33" t="n">
        <v>3</v>
      </c>
      <c r="B33" t="inlineStr">
        <is>
          <t>core (inside the boundary)</t>
        </is>
      </c>
      <c r="C33" t="n">
        <v>32</v>
      </c>
      <c r="D33" s="3" t="inlineStr">
        <is>
          <t>B-B-026 635-641 Avenue of the Americas (Spear Street Capital)</t>
        </is>
      </c>
      <c r="E33" t="inlineStr">
        <is>
          <t>building</t>
        </is>
      </c>
      <c r="F33" t="inlineStr">
        <is>
          <t>641 Avenue of the Americas</t>
        </is>
      </c>
      <c r="G33" t="n">
        <v>40.7409</v>
      </c>
      <c r="H33" t="n">
        <v>-73.994512</v>
      </c>
      <c r="I33" t="n">
        <v>2.7</v>
      </c>
      <c r="J33" t="n">
        <v>3</v>
      </c>
      <c r="K33">
        <f>IF(A33=A32,K32,0)+I33+J33</f>
        <v/>
      </c>
      <c r="L33">
        <f>SUMIF($A$2:$A$117,A33,$I$2:$I$117)+SUMIF($A$2:$A$117,A33,$J$2:$J$117)</f>
        <v/>
      </c>
      <c r="M33" t="inlineStr">
        <is>
          <t>23 St (F M), about 2 min walk</t>
        </is>
      </c>
      <c r="N33" t="inlineStr">
        <is>
          <t>14 St-Union Sq (N Q R W), about 4 min walk</t>
        </is>
      </c>
      <c r="O33" s="3" t="inlineStr">
        <is>
          <t>ENTRANCE: Corner building: the address is on Avenue of the Americas, and the building also fronts West 20th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3" s="10" t="inlineStr"/>
      <c r="Q33" s="10" t="inlineStr"/>
      <c r="R33" s="10" t="inlineStr"/>
      <c r="S33" s="10" t="inlineStr"/>
      <c r="T33" s="10" t="inlineStr"/>
      <c r="U33" s="10" t="inlineStr"/>
      <c r="V33" s="10" t="inlineStr"/>
    </row>
    <row r="34">
      <c r="A34" t="n">
        <v>3</v>
      </c>
      <c r="B34" t="inlineStr">
        <is>
          <t>core (inside the boundary)</t>
        </is>
      </c>
      <c r="C34" t="n">
        <v>33</v>
      </c>
      <c r="D34" s="3" t="inlineStr">
        <is>
          <t>B-B-025 39 West 19th Street (Rosen family)</t>
        </is>
      </c>
      <c r="E34" t="inlineStr">
        <is>
          <t>building</t>
        </is>
      </c>
      <c r="F34" t="inlineStr">
        <is>
          <t>39 West 19th Street</t>
        </is>
      </c>
      <c r="G34" t="n">
        <v>40.740157</v>
      </c>
      <c r="H34" t="n">
        <v>-73.993377</v>
      </c>
      <c r="I34" t="n">
        <v>2.6</v>
      </c>
      <c r="J34" t="n">
        <v>3</v>
      </c>
      <c r="K34">
        <f>IF(A34=A33,K33,0)+I34+J34</f>
        <v/>
      </c>
      <c r="L34">
        <f>SUMIF($A$2:$A$117,A34,$I$2:$I$117)+SUMIF($A$2:$A$117,A34,$J$2:$J$117)</f>
        <v/>
      </c>
      <c r="M34" t="inlineStr">
        <is>
          <t>23 St (F M), about 2 min walk</t>
        </is>
      </c>
      <c r="N34" t="inlineStr">
        <is>
          <t>14 St-Union Sq (N Q R W), about 4 min walk</t>
        </is>
      </c>
      <c r="O3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4" s="10" t="inlineStr"/>
      <c r="Q34" s="10" t="inlineStr"/>
      <c r="R34" s="10" t="inlineStr"/>
      <c r="S34" s="10" t="inlineStr"/>
      <c r="T34" s="10" t="inlineStr"/>
      <c r="U34" s="10" t="inlineStr"/>
      <c r="V34" s="10" t="inlineStr"/>
    </row>
    <row r="35">
      <c r="A35" t="n">
        <v>3</v>
      </c>
      <c r="B35" t="inlineStr">
        <is>
          <t>core (inside the boundary)</t>
        </is>
      </c>
      <c r="C35" t="n">
        <v>34</v>
      </c>
      <c r="D35" s="3" t="inlineStr">
        <is>
          <t>B-B-021 Siegel-Cooper Building (RXR / Hudson Bay)</t>
        </is>
      </c>
      <c r="E35" t="inlineStr">
        <is>
          <t>building</t>
        </is>
      </c>
      <c r="F35" t="inlineStr">
        <is>
          <t>620 Avenue of the Americas</t>
        </is>
      </c>
      <c r="G35" t="n">
        <v>40.740084</v>
      </c>
      <c r="H35" t="n">
        <v>-73.994613</v>
      </c>
      <c r="I35" t="n">
        <v>2.2</v>
      </c>
      <c r="J35" t="n">
        <v>3</v>
      </c>
      <c r="K35">
        <f>IF(A35=A34,K34,0)+I35+J35</f>
        <v/>
      </c>
      <c r="L35">
        <f>SUMIF($A$2:$A$117,A35,$I$2:$I$117)+SUMIF($A$2:$A$117,A35,$J$2:$J$117)</f>
        <v/>
      </c>
      <c r="M35" t="inlineStr">
        <is>
          <t>23 St (F M), about 2 min walk</t>
        </is>
      </c>
      <c r="N35" t="inlineStr">
        <is>
          <t>14 St-Union Sq (N Q R W), about 4 min walk</t>
        </is>
      </c>
      <c r="O35"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5" s="10" t="inlineStr"/>
      <c r="Q35" s="10" t="inlineStr"/>
      <c r="R35" s="10" t="inlineStr"/>
      <c r="S35" s="10" t="inlineStr"/>
      <c r="T35" s="10" t="inlineStr"/>
      <c r="U35" s="10" t="inlineStr"/>
      <c r="V35" s="10" t="inlineStr"/>
    </row>
    <row r="36">
      <c r="A36" t="n">
        <v>3</v>
      </c>
      <c r="B36" t="inlineStr">
        <is>
          <t>core (inside the boundary)</t>
        </is>
      </c>
      <c r="C36" t="n">
        <v>35</v>
      </c>
      <c r="D36" s="3" t="inlineStr">
        <is>
          <t>B-B-020 625 Avenue of the Americas (Taub family)</t>
        </is>
      </c>
      <c r="E36" t="inlineStr">
        <is>
          <t>building</t>
        </is>
      </c>
      <c r="F36" t="inlineStr">
        <is>
          <t>625 Avenue of the Americas</t>
        </is>
      </c>
      <c r="G36" t="n">
        <v>40.74024</v>
      </c>
      <c r="H36" t="n">
        <v>-73.994996</v>
      </c>
      <c r="I36" t="n">
        <v>0.8</v>
      </c>
      <c r="J36" t="n">
        <v>3</v>
      </c>
      <c r="K36">
        <f>IF(A36=A35,K35,0)+I36+J36</f>
        <v/>
      </c>
      <c r="L36">
        <f>SUMIF($A$2:$A$117,A36,$I$2:$I$117)+SUMIF($A$2:$A$117,A36,$J$2:$J$117)</f>
        <v/>
      </c>
      <c r="M36" t="inlineStr">
        <is>
          <t>23 St (F M), about 2 min walk</t>
        </is>
      </c>
      <c r="N36" t="inlineStr">
        <is>
          <t>14 St-Union Sq (N Q R W), about 4 min walk</t>
        </is>
      </c>
      <c r="O36" s="3" t="inlineStr">
        <is>
          <t>ENTRANCE: Corner building: the address is on Avenue of the Americas, and the building also fronts West 19th Street. The pin sits on the Avenue of the Americas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6" s="10" t="inlineStr"/>
      <c r="Q36" s="10" t="inlineStr"/>
      <c r="R36" s="10" t="inlineStr"/>
      <c r="S36" s="10" t="inlineStr"/>
      <c r="T36" s="10" t="inlineStr"/>
      <c r="U36" s="10" t="inlineStr"/>
      <c r="V36" s="10" t="inlineStr"/>
    </row>
    <row r="37">
      <c r="A37" t="n">
        <v>3</v>
      </c>
      <c r="B37" t="inlineStr">
        <is>
          <t>core (inside the boundary)</t>
        </is>
      </c>
      <c r="C37" t="n">
        <v>36</v>
      </c>
      <c r="D37" s="3" t="inlineStr">
        <is>
          <t>B-B-013 44 West 18th Street</t>
        </is>
      </c>
      <c r="E37" t="inlineStr">
        <is>
          <t>building</t>
        </is>
      </c>
      <c r="F37" t="inlineStr">
        <is>
          <t>44 West 18th Street</t>
        </is>
      </c>
      <c r="G37" t="n">
        <v>40.739342</v>
      </c>
      <c r="H37" t="n">
        <v>-73.994287</v>
      </c>
      <c r="I37" t="n">
        <v>2.7</v>
      </c>
      <c r="J37" t="n">
        <v>3</v>
      </c>
      <c r="K37">
        <f>IF(A37=A36,K36,0)+I37+J37</f>
        <v/>
      </c>
      <c r="L37">
        <f>SUMIF($A$2:$A$117,A37,$I$2:$I$117)+SUMIF($A$2:$A$117,A37,$J$2:$J$117)</f>
        <v/>
      </c>
      <c r="M37" t="inlineStr">
        <is>
          <t>23 St (F M), about 2 min walk</t>
        </is>
      </c>
      <c r="N37" t="inlineStr">
        <is>
          <t>14 St-Union Sq (N Q R W), about 4 min walk</t>
        </is>
      </c>
      <c r="O3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7" s="10" t="inlineStr"/>
      <c r="Q37" s="10" t="inlineStr"/>
      <c r="R37" s="10" t="inlineStr"/>
      <c r="S37" s="10" t="inlineStr"/>
      <c r="T37" s="10" t="inlineStr"/>
      <c r="U37" s="10" t="inlineStr"/>
      <c r="V37" s="10" t="inlineStr"/>
    </row>
    <row r="38">
      <c r="A38" t="n">
        <v>3</v>
      </c>
      <c r="B38" t="inlineStr">
        <is>
          <t>core (inside the boundary)</t>
        </is>
      </c>
      <c r="C38" t="n">
        <v>37</v>
      </c>
      <c r="D38" s="3" t="inlineStr">
        <is>
          <t>B-B-014 18 West 18th Street; B-W-004 WeWork 18 West 18th Street</t>
        </is>
      </c>
      <c r="E38" t="inlineStr">
        <is>
          <t>building; coworking</t>
        </is>
      </c>
      <c r="F38" t="inlineStr">
        <is>
          <t>18 West 18th Street</t>
        </is>
      </c>
      <c r="G38" t="n">
        <v>40.738939</v>
      </c>
      <c r="H38" t="n">
        <v>-73.993331</v>
      </c>
      <c r="I38" t="n">
        <v>1.3</v>
      </c>
      <c r="J38" t="n">
        <v>4</v>
      </c>
      <c r="K38">
        <f>IF(A38=A37,K37,0)+I38+J38</f>
        <v/>
      </c>
      <c r="L38">
        <f>SUMIF($A$2:$A$117,A38,$I$2:$I$117)+SUMIF($A$2:$A$117,A38,$J$2:$J$117)</f>
        <v/>
      </c>
      <c r="M38" t="inlineStr">
        <is>
          <t>23 St (F M), about 2 min walk</t>
        </is>
      </c>
      <c r="N38" t="inlineStr">
        <is>
          <t>14 St-Union Sq (N Q R W), about 4 min walk</t>
        </is>
      </c>
      <c r="O3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38" s="10" t="inlineStr"/>
      <c r="Q38" s="10" t="inlineStr"/>
      <c r="R38" s="10" t="inlineStr"/>
      <c r="S38" s="10" t="inlineStr"/>
      <c r="T38" s="10" t="inlineStr"/>
      <c r="U38" s="10" t="inlineStr"/>
      <c r="V38" s="10" t="inlineStr"/>
    </row>
    <row r="39">
      <c r="A39" t="n">
        <v>3</v>
      </c>
      <c r="B39" t="inlineStr">
        <is>
          <t>core (inside the boundary)</t>
        </is>
      </c>
      <c r="C39" t="n">
        <v>38</v>
      </c>
      <c r="D39" s="3" t="inlineStr">
        <is>
          <t>B-B-015 10 West 18th Street</t>
        </is>
      </c>
      <c r="E39" t="inlineStr">
        <is>
          <t>building</t>
        </is>
      </c>
      <c r="F39" t="inlineStr">
        <is>
          <t>10 West 18th Street</t>
        </is>
      </c>
      <c r="G39" t="n">
        <v>40.738754</v>
      </c>
      <c r="H39" t="n">
        <v>-73.99292199999999</v>
      </c>
      <c r="I39" t="n">
        <v>0.6</v>
      </c>
      <c r="J39" t="n">
        <v>3</v>
      </c>
      <c r="K39">
        <f>IF(A39=A38,K38,0)+I39+J39</f>
        <v/>
      </c>
      <c r="L39">
        <f>SUMIF($A$2:$A$117,A39,$I$2:$I$117)+SUMIF($A$2:$A$117,A39,$J$2:$J$117)</f>
        <v/>
      </c>
      <c r="M39" t="inlineStr">
        <is>
          <t>23 St (F M), about 2 min walk</t>
        </is>
      </c>
      <c r="N39" t="inlineStr">
        <is>
          <t>14 St-Union Sq (N Q R W), about 4 min walk</t>
        </is>
      </c>
      <c r="O3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39" s="10" t="inlineStr"/>
      <c r="Q39" s="10" t="inlineStr"/>
      <c r="R39" s="10" t="inlineStr"/>
      <c r="S39" s="10" t="inlineStr"/>
      <c r="T39" s="10" t="inlineStr"/>
      <c r="U39" s="10" t="inlineStr"/>
      <c r="V39" s="10" t="inlineStr"/>
    </row>
    <row r="40">
      <c r="A40" t="n">
        <v>3</v>
      </c>
      <c r="B40" t="inlineStr">
        <is>
          <t>core (inside the boundary)</t>
        </is>
      </c>
      <c r="C40" t="n">
        <v>39</v>
      </c>
      <c r="D40" s="3" t="inlineStr">
        <is>
          <t>B-R-005 Sunac (4 West 18th St)</t>
        </is>
      </c>
      <c r="E40" t="inlineStr">
        <is>
          <t>retailer</t>
        </is>
      </c>
      <c r="F40" t="inlineStr">
        <is>
          <t>4 West 18th Street</t>
        </is>
      </c>
      <c r="G40" t="n">
        <v>40.738668</v>
      </c>
      <c r="H40" t="n">
        <v>-73.992664</v>
      </c>
      <c r="I40" t="n">
        <v>0.3</v>
      </c>
      <c r="J40" t="n">
        <v>6</v>
      </c>
      <c r="K40">
        <f>IF(A40=A39,K39,0)+I40+J40</f>
        <v/>
      </c>
      <c r="L40">
        <f>SUMIF($A$2:$A$117,A40,$I$2:$I$117)+SUMIF($A$2:$A$117,A40,$J$2:$J$117)</f>
        <v/>
      </c>
      <c r="M40" t="inlineStr">
        <is>
          <t>23 St (F M), about 2 min walk</t>
        </is>
      </c>
      <c r="N40" t="inlineStr">
        <is>
          <t>14 St-Union Sq (N Q R W), about 4 min walk</t>
        </is>
      </c>
      <c r="O40" s="3" t="inlineStr">
        <is>
          <t>RETAILER: Store open; photo of the local or emerging snack and drink set (aisle and shelf tags); note which shelf it is in; any 'local' or 'new' shelf signage</t>
        </is>
      </c>
      <c r="P40" s="10" t="inlineStr"/>
      <c r="Q40" s="10" t="inlineStr"/>
      <c r="R40" s="10" t="inlineStr"/>
      <c r="S40" s="10" t="inlineStr"/>
      <c r="T40" s="10" t="inlineStr"/>
      <c r="U40" s="10" t="inlineStr"/>
      <c r="V40" s="10" t="inlineStr"/>
    </row>
    <row r="41">
      <c r="A41" t="n">
        <v>3</v>
      </c>
      <c r="B41" t="inlineStr">
        <is>
          <t>core (inside the boundary)</t>
        </is>
      </c>
      <c r="C41" t="n">
        <v>40</v>
      </c>
      <c r="D41" s="3" t="inlineStr">
        <is>
          <t>B-B-012 101 Fifth Avenue</t>
        </is>
      </c>
      <c r="E41" t="inlineStr">
        <is>
          <t>building</t>
        </is>
      </c>
      <c r="F41" t="inlineStr">
        <is>
          <t>101 Fifth Avenue</t>
        </is>
      </c>
      <c r="G41" t="n">
        <v>40.738063</v>
      </c>
      <c r="H41" t="n">
        <v>-73.99189800000001</v>
      </c>
      <c r="I41" t="n">
        <v>1.9</v>
      </c>
      <c r="J41" t="n">
        <v>3.5</v>
      </c>
      <c r="K41">
        <f>IF(A41=A40,K40,0)+I41+J41</f>
        <v/>
      </c>
      <c r="L41">
        <f>SUMIF($A$2:$A$117,A41,$I$2:$I$117)+SUMIF($A$2:$A$117,A41,$J$2:$J$117)</f>
        <v/>
      </c>
      <c r="M41" t="inlineStr">
        <is>
          <t>23 St (F M), about 2 min walk</t>
        </is>
      </c>
      <c r="N41" t="inlineStr">
        <is>
          <t>14 St-Union Sq (N Q R W), about 4 min walk</t>
        </is>
      </c>
      <c r="O41" s="3" t="inlineStr">
        <is>
          <t>ENTRANCE: Corner building: the address is on Fifth Avenue, and the building also fronts East 17th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1" s="10" t="inlineStr"/>
      <c r="Q41" s="10" t="inlineStr"/>
      <c r="R41" s="10" t="inlineStr"/>
      <c r="S41" s="10" t="inlineStr"/>
      <c r="T41" s="10" t="inlineStr"/>
      <c r="U41" s="10" t="inlineStr"/>
      <c r="V41" s="10" t="inlineStr"/>
    </row>
    <row r="42">
      <c r="A42" t="n">
        <v>3</v>
      </c>
      <c r="B42" t="inlineStr">
        <is>
          <t>core (inside the boundary)</t>
        </is>
      </c>
      <c r="C42" t="n">
        <v>41</v>
      </c>
      <c r="D42" s="3" t="inlineStr">
        <is>
          <t>B-B-007 79 Fifth Avenue</t>
        </is>
      </c>
      <c r="E42" t="inlineStr">
        <is>
          <t>building</t>
        </is>
      </c>
      <c r="F42" t="inlineStr">
        <is>
          <t>79 Fifth Avenue</t>
        </is>
      </c>
      <c r="G42" t="n">
        <v>40.737054</v>
      </c>
      <c r="H42" t="n">
        <v>-73.99263500000001</v>
      </c>
      <c r="I42" t="n">
        <v>2.3</v>
      </c>
      <c r="J42" t="n">
        <v>3</v>
      </c>
      <c r="K42">
        <f>IF(A42=A41,K41,0)+I42+J42</f>
        <v/>
      </c>
      <c r="L42">
        <f>SUMIF($A$2:$A$117,A42,$I$2:$I$117)+SUMIF($A$2:$A$117,A42,$J$2:$J$117)</f>
        <v/>
      </c>
      <c r="M42" t="inlineStr">
        <is>
          <t>23 St (F M), about 2 min walk</t>
        </is>
      </c>
      <c r="N42" t="inlineStr">
        <is>
          <t>14 St-Union Sq (N Q R W), about 4 min walk</t>
        </is>
      </c>
      <c r="O42" s="3" t="inlineStr">
        <is>
          <t>ENTRANCE: Corner building: the address is on Fifth Avenue, and the building also fronts East 16th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2" s="10" t="inlineStr"/>
      <c r="Q42" s="10" t="inlineStr"/>
      <c r="R42" s="10" t="inlineStr"/>
      <c r="S42" s="10" t="inlineStr"/>
      <c r="T42" s="10" t="inlineStr"/>
      <c r="U42" s="10" t="inlineStr"/>
      <c r="V42" s="10" t="inlineStr"/>
    </row>
    <row r="43">
      <c r="A43" t="n">
        <v>4</v>
      </c>
      <c r="B43" t="inlineStr">
        <is>
          <t>core (inside the boundary)</t>
        </is>
      </c>
      <c r="C43" t="n">
        <v>42</v>
      </c>
      <c r="D43" s="3" t="inlineStr">
        <is>
          <t>B-B-005 19 Union Square West</t>
        </is>
      </c>
      <c r="E43" t="inlineStr">
        <is>
          <t>building</t>
        </is>
      </c>
      <c r="F43" t="inlineStr">
        <is>
          <t>19 Union Square West</t>
        </is>
      </c>
      <c r="G43" t="n">
        <v>40.73616</v>
      </c>
      <c r="H43" t="n">
        <v>-73.991181</v>
      </c>
      <c r="I43" t="n">
        <v>0</v>
      </c>
      <c r="J43" t="n">
        <v>3</v>
      </c>
      <c r="K43">
        <f>IF(A43=A42,K42,0)+I43+J43</f>
        <v/>
      </c>
      <c r="L43">
        <f>SUMIF($A$2:$A$117,A43,$I$2:$I$117)+SUMIF($A$2:$A$117,A43,$J$2:$J$117)</f>
        <v/>
      </c>
      <c r="M43" t="inlineStr">
        <is>
          <t>14 St-Union Sq (N Q R W), about 1 min walk</t>
        </is>
      </c>
      <c r="N43" t="inlineStr">
        <is>
          <t>28 St (6), about 4 min walk</t>
        </is>
      </c>
      <c r="O43" s="3" t="inlineStr">
        <is>
          <t>ENTRANCE: Corner building: the address is on Union Square West, and the building also fronts East 15th Street. The pin sits on the Union Square West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3" s="10" t="inlineStr"/>
      <c r="Q43" s="10" t="inlineStr"/>
      <c r="R43" s="10" t="inlineStr"/>
      <c r="S43" s="10" t="inlineStr"/>
      <c r="T43" s="10" t="inlineStr"/>
      <c r="U43" s="10" t="inlineStr"/>
      <c r="V43" s="10" t="inlineStr"/>
    </row>
    <row r="44">
      <c r="A44" t="n">
        <v>4</v>
      </c>
      <c r="B44" t="inlineStr">
        <is>
          <t>core (inside the boundary)</t>
        </is>
      </c>
      <c r="C44" t="n">
        <v>43</v>
      </c>
      <c r="D44" s="3" t="inlineStr">
        <is>
          <t>B-B-011 860 Broadway; B-W-003 Industrious Union Square on Broadway</t>
        </is>
      </c>
      <c r="E44" t="inlineStr">
        <is>
          <t>building; coworking</t>
        </is>
      </c>
      <c r="F44" t="inlineStr">
        <is>
          <t>860 Broadway</t>
        </is>
      </c>
      <c r="G44" t="n">
        <v>40.737311</v>
      </c>
      <c r="H44" t="n">
        <v>-73.990092</v>
      </c>
      <c r="I44" t="n">
        <v>2.9</v>
      </c>
      <c r="J44" t="n">
        <v>4</v>
      </c>
      <c r="K44">
        <f>IF(A44=A43,K43,0)+I44+J44</f>
        <v/>
      </c>
      <c r="L44">
        <f>SUMIF($A$2:$A$117,A44,$I$2:$I$117)+SUMIF($A$2:$A$117,A44,$J$2:$J$117)</f>
        <v/>
      </c>
      <c r="M44" t="inlineStr">
        <is>
          <t>14 St-Union Sq (N Q R W), about 1 min walk</t>
        </is>
      </c>
      <c r="N44" t="inlineStr">
        <is>
          <t>28 St (6), about 4 min walk</t>
        </is>
      </c>
      <c r="O44" s="3" t="inlineStr">
        <is>
          <t>ENTRANCE: Corner building: the address is on Broadway, and the building also fronts East 17th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44" s="10" t="inlineStr"/>
      <c r="Q44" s="10" t="inlineStr"/>
      <c r="R44" s="10" t="inlineStr"/>
      <c r="S44" s="10" t="inlineStr"/>
      <c r="T44" s="10" t="inlineStr"/>
      <c r="U44" s="10" t="inlineStr"/>
      <c r="V44" s="10" t="inlineStr"/>
    </row>
    <row r="45">
      <c r="A45" t="n">
        <v>4</v>
      </c>
      <c r="B45" t="inlineStr">
        <is>
          <t>core (inside the boundary)</t>
        </is>
      </c>
      <c r="C45" t="n">
        <v>44</v>
      </c>
      <c r="D45" s="3" t="inlineStr">
        <is>
          <t>B-B-019 37 East 18th Street (Zar Property NY)</t>
        </is>
      </c>
      <c r="E45" t="inlineStr">
        <is>
          <t>building</t>
        </is>
      </c>
      <c r="F45" t="inlineStr">
        <is>
          <t>37 East 18th Street</t>
        </is>
      </c>
      <c r="G45" t="n">
        <v>40.737722</v>
      </c>
      <c r="H45" t="n">
        <v>-73.989367</v>
      </c>
      <c r="I45" t="n">
        <v>1.6</v>
      </c>
      <c r="J45" t="n">
        <v>3.5</v>
      </c>
      <c r="K45">
        <f>IF(A45=A44,K44,0)+I45+J45</f>
        <v/>
      </c>
      <c r="L45">
        <f>SUMIF($A$2:$A$117,A45,$I$2:$I$117)+SUMIF($A$2:$A$117,A45,$J$2:$J$117)</f>
        <v/>
      </c>
      <c r="M45" t="inlineStr">
        <is>
          <t>14 St-Union Sq (N Q R W), about 1 min walk</t>
        </is>
      </c>
      <c r="N45" t="inlineStr">
        <is>
          <t>28 St (6), about 4 min walk</t>
        </is>
      </c>
      <c r="O4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5" s="10" t="inlineStr"/>
      <c r="Q45" s="10" t="inlineStr"/>
      <c r="R45" s="10" t="inlineStr"/>
      <c r="S45" s="10" t="inlineStr"/>
      <c r="T45" s="10" t="inlineStr"/>
      <c r="U45" s="10" t="inlineStr"/>
      <c r="V45" s="10" t="inlineStr"/>
    </row>
    <row r="46">
      <c r="A46" t="n">
        <v>4</v>
      </c>
      <c r="B46" t="inlineStr">
        <is>
          <t>core (inside the boundary)</t>
        </is>
      </c>
      <c r="C46" t="n">
        <v>45</v>
      </c>
      <c r="D46" s="3" t="inlineStr">
        <is>
          <t>B-B-016 215 Park Avenue South (SL Green managed); B-W-005 Industrious Union Square on Park</t>
        </is>
      </c>
      <c r="E46" t="inlineStr">
        <is>
          <t>building; coworking</t>
        </is>
      </c>
      <c r="F46" t="inlineStr">
        <is>
          <t>215 Park Avenue South</t>
        </is>
      </c>
      <c r="G46" t="n">
        <v>40.73686</v>
      </c>
      <c r="H46" t="n">
        <v>-73.988546</v>
      </c>
      <c r="I46" t="n">
        <v>2.4</v>
      </c>
      <c r="J46" t="n">
        <v>7</v>
      </c>
      <c r="K46">
        <f>IF(A46=A45,K45,0)+I46+J46</f>
        <v/>
      </c>
      <c r="L46">
        <f>SUMIF($A$2:$A$117,A46,$I$2:$I$117)+SUMIF($A$2:$A$117,A46,$J$2:$J$117)</f>
        <v/>
      </c>
      <c r="M46" t="inlineStr">
        <is>
          <t>14 St-Union Sq (N Q R W), about 1 min walk</t>
        </is>
      </c>
      <c r="N46" t="inlineStr">
        <is>
          <t>28 St (6), about 4 min walk</t>
        </is>
      </c>
      <c r="O46" s="3" t="inlineStr">
        <is>
          <t>ENTRANCE: Corner building: the address is on Park Avenue South, and the building also fronts East 18th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46" s="10" t="inlineStr"/>
      <c r="Q46" s="10" t="inlineStr"/>
      <c r="R46" s="10" t="inlineStr"/>
      <c r="S46" s="10" t="inlineStr"/>
      <c r="T46" s="10" t="inlineStr"/>
      <c r="U46" s="10" t="inlineStr"/>
      <c r="V46" s="10" t="inlineStr"/>
    </row>
    <row r="47">
      <c r="A47" t="n">
        <v>4</v>
      </c>
      <c r="B47" t="inlineStr">
        <is>
          <t>core (inside the boundary)</t>
        </is>
      </c>
      <c r="C47" t="n">
        <v>46</v>
      </c>
      <c r="D47" s="3" t="inlineStr">
        <is>
          <t>B-B-028 250 Park Avenue South (Feil Organization)</t>
        </is>
      </c>
      <c r="E47" t="inlineStr">
        <is>
          <t>building</t>
        </is>
      </c>
      <c r="F47" t="inlineStr">
        <is>
          <t>250 Park Avenue South</t>
        </is>
      </c>
      <c r="G47" t="n">
        <v>40.73827</v>
      </c>
      <c r="H47" t="n">
        <v>-73.98819899999999</v>
      </c>
      <c r="I47" t="n">
        <v>3.3</v>
      </c>
      <c r="J47" t="n">
        <v>4</v>
      </c>
      <c r="K47">
        <f>IF(A47=A46,K46,0)+I47+J47</f>
        <v/>
      </c>
      <c r="L47">
        <f>SUMIF($A$2:$A$117,A47,$I$2:$I$117)+SUMIF($A$2:$A$117,A47,$J$2:$J$117)</f>
        <v/>
      </c>
      <c r="M47" t="inlineStr">
        <is>
          <t>14 St-Union Sq (N Q R W), about 1 min walk</t>
        </is>
      </c>
      <c r="N47" t="inlineStr">
        <is>
          <t>28 St (6), about 4 min walk</t>
        </is>
      </c>
      <c r="O4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7" s="10" t="inlineStr"/>
      <c r="Q47" s="10" t="inlineStr"/>
      <c r="R47" s="10" t="inlineStr"/>
      <c r="S47" s="10" t="inlineStr"/>
      <c r="T47" s="10" t="inlineStr"/>
      <c r="U47" s="10" t="inlineStr"/>
      <c r="V47" s="10" t="inlineStr"/>
    </row>
    <row r="48">
      <c r="A48" t="n">
        <v>4</v>
      </c>
      <c r="B48" t="inlineStr">
        <is>
          <t>core (inside the boundary)</t>
        </is>
      </c>
      <c r="C48" t="n">
        <v>47</v>
      </c>
      <c r="D48" s="3" t="inlineStr">
        <is>
          <t>B-B-032 Gramercy Park Building (Feil Organization)</t>
        </is>
      </c>
      <c r="E48" t="inlineStr">
        <is>
          <t>building</t>
        </is>
      </c>
      <c r="F48" t="inlineStr">
        <is>
          <t>257 Park Avenue South</t>
        </is>
      </c>
      <c r="G48" t="n">
        <v>40.738577</v>
      </c>
      <c r="H48" t="n">
        <v>-73.987151</v>
      </c>
      <c r="I48" t="n">
        <v>2</v>
      </c>
      <c r="J48" t="n">
        <v>6</v>
      </c>
      <c r="K48">
        <f>IF(A48=A47,K47,0)+I48+J48</f>
        <v/>
      </c>
      <c r="L48">
        <f>SUMIF($A$2:$A$117,A48,$I$2:$I$117)+SUMIF($A$2:$A$117,A48,$J$2:$J$117)</f>
        <v/>
      </c>
      <c r="M48" t="inlineStr">
        <is>
          <t>14 St-Union Sq (N Q R W), about 1 min walk</t>
        </is>
      </c>
      <c r="N48" t="inlineStr">
        <is>
          <t>28 St (6), about 4 min walk</t>
        </is>
      </c>
      <c r="O4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48" s="10" t="inlineStr"/>
      <c r="Q48" s="10" t="inlineStr"/>
      <c r="R48" s="10" t="inlineStr"/>
      <c r="S48" s="10" t="inlineStr"/>
      <c r="T48" s="10" t="inlineStr"/>
      <c r="U48" s="10" t="inlineStr"/>
      <c r="V48" s="10" t="inlineStr"/>
    </row>
    <row r="49">
      <c r="A49" t="n">
        <v>4</v>
      </c>
      <c r="B49" t="inlineStr">
        <is>
          <t>core (inside the boundary)</t>
        </is>
      </c>
      <c r="C49" t="n">
        <v>48</v>
      </c>
      <c r="D49" s="3" t="inlineStr">
        <is>
          <t>B-R-004 Morton Williams (278 Park Avenue South)</t>
        </is>
      </c>
      <c r="E49" t="inlineStr">
        <is>
          <t>retailer</t>
        </is>
      </c>
      <c r="F49" t="inlineStr">
        <is>
          <t>278 Park Avenue South</t>
        </is>
      </c>
      <c r="G49" t="n">
        <v>40.7394</v>
      </c>
      <c r="H49" t="n">
        <v>-73.98719699999999</v>
      </c>
      <c r="I49" t="n">
        <v>2.1</v>
      </c>
      <c r="J49" t="n">
        <v>3</v>
      </c>
      <c r="K49">
        <f>IF(A49=A48,K48,0)+I49+J49</f>
        <v/>
      </c>
      <c r="L49">
        <f>SUMIF($A$2:$A$117,A49,$I$2:$I$117)+SUMIF($A$2:$A$117,A49,$J$2:$J$117)</f>
        <v/>
      </c>
      <c r="M49" t="inlineStr">
        <is>
          <t>14 St-Union Sq (N Q R W), about 1 min walk</t>
        </is>
      </c>
      <c r="N49" t="inlineStr">
        <is>
          <t>28 St (6), about 4 min walk</t>
        </is>
      </c>
      <c r="O49" s="3" t="inlineStr">
        <is>
          <t>RETAILER: Store open; photo of the local or emerging snack and drink set (aisle and shelf tags); note which shelf it is in; any 'local' or 'new' shelf signage</t>
        </is>
      </c>
      <c r="P49" s="10" t="inlineStr"/>
      <c r="Q49" s="10" t="inlineStr"/>
      <c r="R49" s="10" t="inlineStr"/>
      <c r="S49" s="10" t="inlineStr"/>
      <c r="T49" s="10" t="inlineStr"/>
      <c r="U49" s="10" t="inlineStr"/>
      <c r="V49" s="10" t="inlineStr"/>
    </row>
    <row r="50">
      <c r="A50" t="n">
        <v>4</v>
      </c>
      <c r="B50" t="inlineStr">
        <is>
          <t>core (inside the boundary)</t>
        </is>
      </c>
      <c r="C50" t="n">
        <v>49</v>
      </c>
      <c r="D50" s="3" t="inlineStr">
        <is>
          <t>B-B-044 300 Park Avenue South (Rockrose); also addressed 290 Park Avenue South</t>
        </is>
      </c>
      <c r="E50" t="inlineStr">
        <is>
          <t>building</t>
        </is>
      </c>
      <c r="F50" t="inlineStr">
        <is>
          <t>300 Park Avenue South</t>
        </is>
      </c>
      <c r="G50" t="n">
        <v>40.739819</v>
      </c>
      <c r="H50" t="n">
        <v>-73.986885</v>
      </c>
      <c r="I50" t="n">
        <v>1</v>
      </c>
      <c r="J50" t="n">
        <v>3.5</v>
      </c>
      <c r="K50">
        <f>IF(A50=A49,K49,0)+I50+J50</f>
        <v/>
      </c>
      <c r="L50">
        <f>SUMIF($A$2:$A$117,A50,$I$2:$I$117)+SUMIF($A$2:$A$117,A50,$J$2:$J$117)</f>
        <v/>
      </c>
      <c r="M50" t="inlineStr">
        <is>
          <t>14 St-Union Sq (N Q R W), about 1 min walk</t>
        </is>
      </c>
      <c r="N50" t="inlineStr">
        <is>
          <t>28 St (6), about 4 min walk</t>
        </is>
      </c>
      <c r="O50"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0" s="10" t="inlineStr"/>
      <c r="Q50" s="10" t="inlineStr"/>
      <c r="R50" s="10" t="inlineStr"/>
      <c r="S50" s="10" t="inlineStr"/>
      <c r="T50" s="10" t="inlineStr"/>
      <c r="U50" s="10" t="inlineStr"/>
      <c r="V50" s="10" t="inlineStr"/>
    </row>
    <row r="51">
      <c r="A51" t="n">
        <v>4</v>
      </c>
      <c r="B51" t="inlineStr">
        <is>
          <t>core (inside the boundary)</t>
        </is>
      </c>
      <c r="C51" t="n">
        <v>50</v>
      </c>
      <c r="D51" s="3" t="inlineStr">
        <is>
          <t>B-B-042 United Charities Building; B-W-009 Le Parc Coworking Offices</t>
        </is>
      </c>
      <c r="E51" t="inlineStr">
        <is>
          <t>building; coworking</t>
        </is>
      </c>
      <c r="F51" t="inlineStr">
        <is>
          <t>287 Park Avenue South</t>
        </is>
      </c>
      <c r="G51" t="n">
        <v>40.739654</v>
      </c>
      <c r="H51" t="n">
        <v>-73.98649</v>
      </c>
      <c r="I51" t="n">
        <v>0.8</v>
      </c>
      <c r="J51" t="n">
        <v>4</v>
      </c>
      <c r="K51">
        <f>IF(A51=A50,K50,0)+I51+J51</f>
        <v/>
      </c>
      <c r="L51">
        <f>SUMIF($A$2:$A$117,A51,$I$2:$I$117)+SUMIF($A$2:$A$117,A51,$J$2:$J$117)</f>
        <v/>
      </c>
      <c r="M51" t="inlineStr">
        <is>
          <t>14 St-Union Sq (N Q R W), about 1 min walk</t>
        </is>
      </c>
      <c r="N51" t="inlineStr">
        <is>
          <t>28 St (6), about 4 min walk</t>
        </is>
      </c>
      <c r="O51" s="3" t="inlineStr">
        <is>
          <t>ENTRANCE: Corner building: the address is on Park Avenue South, and the building also fronts East 22nd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1" s="10" t="inlineStr"/>
      <c r="Q51" s="10" t="inlineStr"/>
      <c r="R51" s="10" t="inlineStr"/>
      <c r="S51" s="10" t="inlineStr"/>
      <c r="T51" s="10" t="inlineStr"/>
      <c r="U51" s="10" t="inlineStr"/>
      <c r="V51" s="10" t="inlineStr"/>
    </row>
    <row r="52">
      <c r="A52" t="n">
        <v>4</v>
      </c>
      <c r="B52" t="inlineStr">
        <is>
          <t>core (inside the boundary)</t>
        </is>
      </c>
      <c r="C52" t="n">
        <v>51</v>
      </c>
      <c r="D52" s="3" t="inlineStr">
        <is>
          <t>B-B-045 25 East 22nd Street (owner-occupied by Kodansha)</t>
        </is>
      </c>
      <c r="E52" t="inlineStr">
        <is>
          <t>building</t>
        </is>
      </c>
      <c r="F52" t="inlineStr">
        <is>
          <t>25 East 22nd Street</t>
        </is>
      </c>
      <c r="G52" t="n">
        <v>40.740287</v>
      </c>
      <c r="H52" t="n">
        <v>-73.98805</v>
      </c>
      <c r="I52" t="n">
        <v>2.5</v>
      </c>
      <c r="J52" t="n">
        <v>3</v>
      </c>
      <c r="K52">
        <f>IF(A52=A51,K51,0)+I52+J52</f>
        <v/>
      </c>
      <c r="L52">
        <f>SUMIF($A$2:$A$117,A52,$I$2:$I$117)+SUMIF($A$2:$A$117,A52,$J$2:$J$117)</f>
        <v/>
      </c>
      <c r="M52" t="inlineStr">
        <is>
          <t>14 St-Union Sq (N Q R W), about 1 min walk</t>
        </is>
      </c>
      <c r="N52" t="inlineStr">
        <is>
          <t>28 St (6), about 4 min walk</t>
        </is>
      </c>
      <c r="O5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2" s="10" t="inlineStr"/>
      <c r="Q52" s="10" t="inlineStr"/>
      <c r="R52" s="10" t="inlineStr"/>
      <c r="S52" s="10" t="inlineStr"/>
      <c r="T52" s="10" t="inlineStr"/>
      <c r="U52" s="10" t="inlineStr"/>
      <c r="V52" s="10" t="inlineStr"/>
    </row>
    <row r="53">
      <c r="A53" t="n">
        <v>4</v>
      </c>
      <c r="B53" t="inlineStr">
        <is>
          <t>core (inside the boundary)</t>
        </is>
      </c>
      <c r="C53" t="n">
        <v>52</v>
      </c>
      <c r="D53" s="3" t="inlineStr">
        <is>
          <t>B-B-052 11 Madison Avenue (SL Green); Sony Music uses 25 Madison Ave entrance</t>
        </is>
      </c>
      <c r="E53" t="inlineStr">
        <is>
          <t>building</t>
        </is>
      </c>
      <c r="F53" t="inlineStr">
        <is>
          <t>11 Madison Avenue</t>
        </is>
      </c>
      <c r="G53" t="n">
        <v>40.741761</v>
      </c>
      <c r="H53" t="n">
        <v>-73.987033</v>
      </c>
      <c r="I53" t="n">
        <v>3.4</v>
      </c>
      <c r="J53" t="n">
        <v>3</v>
      </c>
      <c r="K53">
        <f>IF(A53=A52,K52,0)+I53+J53</f>
        <v/>
      </c>
      <c r="L53">
        <f>SUMIF($A$2:$A$117,A53,$I$2:$I$117)+SUMIF($A$2:$A$117,A53,$J$2:$J$117)</f>
        <v/>
      </c>
      <c r="M53" t="inlineStr">
        <is>
          <t>14 St-Union Sq (N Q R W), about 1 min walk</t>
        </is>
      </c>
      <c r="N53" t="inlineStr">
        <is>
          <t>28 St (6), about 4 min walk</t>
        </is>
      </c>
      <c r="O5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3" s="10" t="inlineStr"/>
      <c r="Q53" s="10" t="inlineStr"/>
      <c r="R53" s="10" t="inlineStr"/>
      <c r="S53" s="10" t="inlineStr"/>
      <c r="T53" s="10" t="inlineStr"/>
      <c r="U53" s="10" t="inlineStr"/>
      <c r="V53" s="10" t="inlineStr"/>
    </row>
    <row r="54">
      <c r="A54" t="n">
        <v>4</v>
      </c>
      <c r="B54" t="inlineStr">
        <is>
          <t>core (inside the boundary)</t>
        </is>
      </c>
      <c r="C54" t="n">
        <v>53</v>
      </c>
      <c r="D54" s="3" t="inlineStr">
        <is>
          <t>B-B-057 41 Madison Avenue (Rudin); B-W-012 Regus 41 Madison Avenue</t>
        </is>
      </c>
      <c r="E54" t="inlineStr">
        <is>
          <t>building; coworking</t>
        </is>
      </c>
      <c r="F54" t="inlineStr">
        <is>
          <t>41 Madison Avenue</t>
        </is>
      </c>
      <c r="G54" t="n">
        <v>40.742477</v>
      </c>
      <c r="H54" t="n">
        <v>-73.986608</v>
      </c>
      <c r="I54" t="n">
        <v>1.4</v>
      </c>
      <c r="J54" t="n">
        <v>7</v>
      </c>
      <c r="K54">
        <f>IF(A54=A53,K53,0)+I54+J54</f>
        <v/>
      </c>
      <c r="L54">
        <f>SUMIF($A$2:$A$117,A54,$I$2:$I$117)+SUMIF($A$2:$A$117,A54,$J$2:$J$117)</f>
        <v/>
      </c>
      <c r="M54" t="inlineStr">
        <is>
          <t>14 St-Union Sq (N Q R W), about 1 min walk</t>
        </is>
      </c>
      <c r="N54" t="inlineStr">
        <is>
          <t>28 St (6), about 4 min walk</t>
        </is>
      </c>
      <c r="O54" s="3" t="inlineStr">
        <is>
          <t>ENTRANCE: Corner building: the address is on Madison Avenue, and the building also fronts East 26th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54" s="10" t="inlineStr"/>
      <c r="Q54" s="10" t="inlineStr"/>
      <c r="R54" s="10" t="inlineStr"/>
      <c r="S54" s="10" t="inlineStr"/>
      <c r="T54" s="10" t="inlineStr"/>
      <c r="U54" s="10" t="inlineStr"/>
      <c r="V54" s="10" t="inlineStr"/>
    </row>
    <row r="55">
      <c r="A55" t="n">
        <v>4</v>
      </c>
      <c r="B55" t="inlineStr">
        <is>
          <t>core (inside the boundary)</t>
        </is>
      </c>
      <c r="C55" t="n">
        <v>54</v>
      </c>
      <c r="D55" s="3" t="inlineStr">
        <is>
          <t>B-B-066 60 Madison Avenue (Moinian Group)</t>
        </is>
      </c>
      <c r="E55" t="inlineStr">
        <is>
          <t>building</t>
        </is>
      </c>
      <c r="F55" t="inlineStr">
        <is>
          <t>60 Madison Avenue</t>
        </is>
      </c>
      <c r="G55" t="n">
        <v>40.743288</v>
      </c>
      <c r="H55" t="n">
        <v>-73.986627</v>
      </c>
      <c r="I55" t="n">
        <v>2.1</v>
      </c>
      <c r="J55" t="n">
        <v>5</v>
      </c>
      <c r="K55">
        <f>IF(A55=A54,K54,0)+I55+J55</f>
        <v/>
      </c>
      <c r="L55">
        <f>SUMIF($A$2:$A$117,A55,$I$2:$I$117)+SUMIF($A$2:$A$117,A55,$J$2:$J$117)</f>
        <v/>
      </c>
      <c r="M55" t="inlineStr">
        <is>
          <t>14 St-Union Sq (N Q R W), about 1 min walk</t>
        </is>
      </c>
      <c r="N55" t="inlineStr">
        <is>
          <t>28 St (6), about 4 min walk</t>
        </is>
      </c>
      <c r="O5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5" s="10" t="inlineStr"/>
      <c r="Q55" s="10" t="inlineStr"/>
      <c r="R55" s="10" t="inlineStr"/>
      <c r="S55" s="10" t="inlineStr"/>
      <c r="T55" s="10" t="inlineStr"/>
      <c r="U55" s="10" t="inlineStr"/>
      <c r="V55" s="10" t="inlineStr"/>
    </row>
    <row r="56">
      <c r="A56" t="n">
        <v>5</v>
      </c>
      <c r="B56" t="inlineStr">
        <is>
          <t>core (inside the boundary)</t>
        </is>
      </c>
      <c r="C56" t="n">
        <v>55</v>
      </c>
      <c r="D56" s="3" t="inlineStr">
        <is>
          <t>B-B-065 11 East 26th Street (Rockrose; joined to 15 East 26th Street)</t>
        </is>
      </c>
      <c r="E56" t="inlineStr">
        <is>
          <t>building</t>
        </is>
      </c>
      <c r="F56" t="inlineStr">
        <is>
          <t>11 East 26th Street</t>
        </is>
      </c>
      <c r="G56" t="n">
        <v>40.743309</v>
      </c>
      <c r="H56" t="n">
        <v>-73.987329</v>
      </c>
      <c r="I56" t="n">
        <v>0</v>
      </c>
      <c r="J56" t="n">
        <v>6</v>
      </c>
      <c r="K56">
        <f>IF(A56=A55,K55,0)+I56+J56</f>
        <v/>
      </c>
      <c r="L56">
        <f>SUMIF($A$2:$A$117,A56,$I$2:$I$117)+SUMIF($A$2:$A$117,A56,$J$2:$J$117)</f>
        <v/>
      </c>
      <c r="M56" t="inlineStr">
        <is>
          <t>23 St (R W), about 4 min walk</t>
        </is>
      </c>
      <c r="N56" t="inlineStr">
        <is>
          <t>23 St (F M), about 2 min walk</t>
        </is>
      </c>
      <c r="O5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6" s="10" t="inlineStr"/>
      <c r="Q56" s="10" t="inlineStr"/>
      <c r="R56" s="10" t="inlineStr"/>
      <c r="S56" s="10" t="inlineStr"/>
      <c r="T56" s="10" t="inlineStr"/>
      <c r="U56" s="10" t="inlineStr"/>
      <c r="V56" s="10" t="inlineStr"/>
    </row>
    <row r="57">
      <c r="A57" t="n">
        <v>5</v>
      </c>
      <c r="B57" t="inlineStr">
        <is>
          <t>core (inside the boundary)</t>
        </is>
      </c>
      <c r="C57" t="n">
        <v>56</v>
      </c>
      <c r="D57" s="3" t="inlineStr">
        <is>
          <t>B-B-060 220 Fifth Avenue</t>
        </is>
      </c>
      <c r="E57" t="inlineStr">
        <is>
          <t>building</t>
        </is>
      </c>
      <c r="F57" t="inlineStr">
        <is>
          <t>220 Fifth Avenue</t>
        </is>
      </c>
      <c r="G57" t="n">
        <v>40.743738</v>
      </c>
      <c r="H57" t="n">
        <v>-73.98822</v>
      </c>
      <c r="I57" t="n">
        <v>1.8</v>
      </c>
      <c r="J57" t="n">
        <v>3</v>
      </c>
      <c r="K57">
        <f>IF(A57=A56,K56,0)+I57+J57</f>
        <v/>
      </c>
      <c r="L57">
        <f>SUMIF($A$2:$A$117,A57,$I$2:$I$117)+SUMIF($A$2:$A$117,A57,$J$2:$J$117)</f>
        <v/>
      </c>
      <c r="M57" t="inlineStr">
        <is>
          <t>23 St (R W), about 4 min walk</t>
        </is>
      </c>
      <c r="N57" t="inlineStr">
        <is>
          <t>23 St (F M), about 2 min walk</t>
        </is>
      </c>
      <c r="O57" s="3" t="inlineStr">
        <is>
          <t>ENTRANCE: Corner building: the address is on Fifth Avenue, and the building also fronts West 26th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7" s="10" t="inlineStr"/>
      <c r="Q57" s="10" t="inlineStr"/>
      <c r="R57" s="10" t="inlineStr"/>
      <c r="S57" s="10" t="inlineStr"/>
      <c r="T57" s="10" t="inlineStr"/>
      <c r="U57" s="10" t="inlineStr"/>
      <c r="V57" s="10" t="inlineStr"/>
    </row>
    <row r="58">
      <c r="A58" t="n">
        <v>5</v>
      </c>
      <c r="B58" t="inlineStr">
        <is>
          <t>core (inside the boundary)</t>
        </is>
      </c>
      <c r="C58" t="n">
        <v>57</v>
      </c>
      <c r="D58" s="3" t="inlineStr">
        <is>
          <t>B-B-063 1140 Broadway (Williams Equities)</t>
        </is>
      </c>
      <c r="E58" t="inlineStr">
        <is>
          <t>building</t>
        </is>
      </c>
      <c r="F58" t="inlineStr">
        <is>
          <t>1140 Broadway</t>
        </is>
      </c>
      <c r="G58" t="n">
        <v>40.743939</v>
      </c>
      <c r="H58" t="n">
        <v>-73.988677</v>
      </c>
      <c r="I58" t="n">
        <v>0.9</v>
      </c>
      <c r="J58" t="n">
        <v>3</v>
      </c>
      <c r="K58">
        <f>IF(A58=A57,K57,0)+I58+J58</f>
        <v/>
      </c>
      <c r="L58">
        <f>SUMIF($A$2:$A$117,A58,$I$2:$I$117)+SUMIF($A$2:$A$117,A58,$J$2:$J$117)</f>
        <v/>
      </c>
      <c r="M58" t="inlineStr">
        <is>
          <t>23 St (R W), about 4 min walk</t>
        </is>
      </c>
      <c r="N58" t="inlineStr">
        <is>
          <t>23 St (F M), about 2 min walk</t>
        </is>
      </c>
      <c r="O5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8" s="10" t="inlineStr"/>
      <c r="Q58" s="10" t="inlineStr"/>
      <c r="R58" s="10" t="inlineStr"/>
      <c r="S58" s="10" t="inlineStr"/>
      <c r="T58" s="10" t="inlineStr"/>
      <c r="U58" s="10" t="inlineStr"/>
      <c r="V58" s="10" t="inlineStr"/>
    </row>
    <row r="59">
      <c r="A59" t="n">
        <v>5</v>
      </c>
      <c r="B59" t="inlineStr">
        <is>
          <t>core (inside the boundary)</t>
        </is>
      </c>
      <c r="C59" t="n">
        <v>58</v>
      </c>
      <c r="D59" s="3" t="inlineStr">
        <is>
          <t>B-B-061 25 West 26th Street</t>
        </is>
      </c>
      <c r="E59" t="inlineStr">
        <is>
          <t>building</t>
        </is>
      </c>
      <c r="F59" t="inlineStr">
        <is>
          <t>25 West 26th Street</t>
        </is>
      </c>
      <c r="G59" t="n">
        <v>40.744387</v>
      </c>
      <c r="H59" t="n">
        <v>-73.98987099999999</v>
      </c>
      <c r="I59" t="n">
        <v>2.1</v>
      </c>
      <c r="J59" t="n">
        <v>3</v>
      </c>
      <c r="K59">
        <f>IF(A59=A58,K58,0)+I59+J59</f>
        <v/>
      </c>
      <c r="L59">
        <f>SUMIF($A$2:$A$117,A59,$I$2:$I$117)+SUMIF($A$2:$A$117,A59,$J$2:$J$117)</f>
        <v/>
      </c>
      <c r="M59" t="inlineStr">
        <is>
          <t>23 St (R W), about 4 min walk</t>
        </is>
      </c>
      <c r="N59" t="inlineStr">
        <is>
          <t>23 St (F M), about 2 min walk</t>
        </is>
      </c>
      <c r="O5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59" s="10" t="inlineStr"/>
      <c r="Q59" s="10" t="inlineStr"/>
      <c r="R59" s="10" t="inlineStr"/>
      <c r="S59" s="10" t="inlineStr"/>
      <c r="T59" s="10" t="inlineStr"/>
      <c r="U59" s="10" t="inlineStr"/>
      <c r="V59" s="10" t="inlineStr"/>
    </row>
    <row r="60">
      <c r="A60" t="n">
        <v>5</v>
      </c>
      <c r="B60" t="inlineStr">
        <is>
          <t>core (inside the boundary)</t>
        </is>
      </c>
      <c r="C60" t="n">
        <v>59</v>
      </c>
      <c r="D60" s="3" t="inlineStr">
        <is>
          <t>B-B-062 37 West 26th Street</t>
        </is>
      </c>
      <c r="E60" t="inlineStr">
        <is>
          <t>building</t>
        </is>
      </c>
      <c r="F60" t="inlineStr">
        <is>
          <t>37 West 26th Street</t>
        </is>
      </c>
      <c r="G60" t="n">
        <v>40.744624</v>
      </c>
      <c r="H60" t="n">
        <v>-73.99041800000001</v>
      </c>
      <c r="I60" t="n">
        <v>0.7</v>
      </c>
      <c r="J60" t="n">
        <v>3</v>
      </c>
      <c r="K60">
        <f>IF(A60=A59,K59,0)+I60+J60</f>
        <v/>
      </c>
      <c r="L60">
        <f>SUMIF($A$2:$A$117,A60,$I$2:$I$117)+SUMIF($A$2:$A$117,A60,$J$2:$J$117)</f>
        <v/>
      </c>
      <c r="M60" t="inlineStr">
        <is>
          <t>23 St (R W), about 4 min walk</t>
        </is>
      </c>
      <c r="N60" t="inlineStr">
        <is>
          <t>23 St (F M), about 2 min walk</t>
        </is>
      </c>
      <c r="O6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0" s="10" t="inlineStr"/>
      <c r="Q60" s="10" t="inlineStr"/>
      <c r="R60" s="10" t="inlineStr"/>
      <c r="S60" s="10" t="inlineStr"/>
      <c r="T60" s="10" t="inlineStr"/>
      <c r="U60" s="10" t="inlineStr"/>
      <c r="V60" s="10" t="inlineStr"/>
    </row>
    <row r="61">
      <c r="A61" t="n">
        <v>5</v>
      </c>
      <c r="B61" t="inlineStr">
        <is>
          <t>core (inside the boundary)</t>
        </is>
      </c>
      <c r="C61" t="n">
        <v>60</v>
      </c>
      <c r="D61" s="3" t="inlineStr">
        <is>
          <t>B-R-006 Sunac (765 Sixth Ave)</t>
        </is>
      </c>
      <c r="E61" t="inlineStr">
        <is>
          <t>retailer</t>
        </is>
      </c>
      <c r="F61" t="inlineStr">
        <is>
          <t>765 Sixth Avenue</t>
        </is>
      </c>
      <c r="G61" t="n">
        <v>40.744664</v>
      </c>
      <c r="H61" t="n">
        <v>-73.991882</v>
      </c>
      <c r="I61" t="n">
        <v>2.6</v>
      </c>
      <c r="J61" t="n">
        <v>6</v>
      </c>
      <c r="K61">
        <f>IF(A61=A60,K60,0)+I61+J61</f>
        <v/>
      </c>
      <c r="L61">
        <f>SUMIF($A$2:$A$117,A61,$I$2:$I$117)+SUMIF($A$2:$A$117,A61,$J$2:$J$117)</f>
        <v/>
      </c>
      <c r="M61" t="inlineStr">
        <is>
          <t>23 St (R W), about 4 min walk</t>
        </is>
      </c>
      <c r="N61" t="inlineStr">
        <is>
          <t>23 St (F M), about 2 min walk</t>
        </is>
      </c>
      <c r="O61" s="3" t="inlineStr">
        <is>
          <t>RETAILER: Store open; photo of the local or emerging snack and drink set (aisle and shelf tags); note which shelf it is in; any 'local' or 'new' shelf signage</t>
        </is>
      </c>
      <c r="P61" s="10" t="inlineStr"/>
      <c r="Q61" s="10" t="inlineStr"/>
      <c r="R61" s="10" t="inlineStr"/>
      <c r="S61" s="10" t="inlineStr"/>
      <c r="T61" s="10" t="inlineStr"/>
      <c r="U61" s="10" t="inlineStr"/>
      <c r="V61" s="10" t="inlineStr"/>
    </row>
    <row r="62">
      <c r="A62" t="n">
        <v>5</v>
      </c>
      <c r="B62" t="inlineStr">
        <is>
          <t>core (inside the boundary)</t>
        </is>
      </c>
      <c r="C62" t="n">
        <v>61</v>
      </c>
      <c r="D62" s="3" t="inlineStr">
        <is>
          <t>B-B-054 48 West 25th Street (Kaufman Organization; part of former Savanna 'Madison Square Collection')</t>
        </is>
      </c>
      <c r="E62" t="inlineStr">
        <is>
          <t>building</t>
        </is>
      </c>
      <c r="F62" t="inlineStr">
        <is>
          <t>48 West 25th Street</t>
        </is>
      </c>
      <c r="G62" t="n">
        <v>40.743751</v>
      </c>
      <c r="H62" t="n">
        <v>-73.99137399999999</v>
      </c>
      <c r="I62" t="n">
        <v>2.4</v>
      </c>
      <c r="J62" t="n">
        <v>4</v>
      </c>
      <c r="K62">
        <f>IF(A62=A61,K61,0)+I62+J62</f>
        <v/>
      </c>
      <c r="L62">
        <f>SUMIF($A$2:$A$117,A62,$I$2:$I$117)+SUMIF($A$2:$A$117,A62,$J$2:$J$117)</f>
        <v/>
      </c>
      <c r="M62" t="inlineStr">
        <is>
          <t>23 St (R W), about 4 min walk</t>
        </is>
      </c>
      <c r="N62" t="inlineStr">
        <is>
          <t>23 St (F M), about 2 min walk</t>
        </is>
      </c>
      <c r="O62"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2" s="10" t="inlineStr"/>
      <c r="Q62" s="10" t="inlineStr"/>
      <c r="R62" s="10" t="inlineStr"/>
      <c r="S62" s="10" t="inlineStr"/>
      <c r="T62" s="10" t="inlineStr"/>
      <c r="U62" s="10" t="inlineStr"/>
      <c r="V62" s="10" t="inlineStr"/>
    </row>
    <row r="63">
      <c r="A63" t="n">
        <v>5</v>
      </c>
      <c r="B63" t="inlineStr">
        <is>
          <t>core (inside the boundary)</t>
        </is>
      </c>
      <c r="C63" t="n">
        <v>62</v>
      </c>
      <c r="D63" s="3" t="inlineStr">
        <is>
          <t>B-B-053 40 West 25th Street (Kaufman Investments / Two Sigma Real Estate)</t>
        </is>
      </c>
      <c r="E63" t="inlineStr">
        <is>
          <t>building</t>
        </is>
      </c>
      <c r="F63" t="inlineStr">
        <is>
          <t>40 West 25th Street</t>
        </is>
      </c>
      <c r="G63" t="n">
        <v>40.743613</v>
      </c>
      <c r="H63" t="n">
        <v>-73.991062</v>
      </c>
      <c r="I63" t="n">
        <v>0.4</v>
      </c>
      <c r="J63" t="n">
        <v>3</v>
      </c>
      <c r="K63">
        <f>IF(A63=A62,K62,0)+I63+J63</f>
        <v/>
      </c>
      <c r="L63">
        <f>SUMIF($A$2:$A$117,A63,$I$2:$I$117)+SUMIF($A$2:$A$117,A63,$J$2:$J$117)</f>
        <v/>
      </c>
      <c r="M63" t="inlineStr">
        <is>
          <t>23 St (R W), about 4 min walk</t>
        </is>
      </c>
      <c r="N63" t="inlineStr">
        <is>
          <t>23 St (F M), about 2 min walk</t>
        </is>
      </c>
      <c r="O6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3" s="10" t="inlineStr"/>
      <c r="Q63" s="10" t="inlineStr"/>
      <c r="R63" s="10" t="inlineStr"/>
      <c r="S63" s="10" t="inlineStr"/>
      <c r="T63" s="10" t="inlineStr"/>
      <c r="U63" s="10" t="inlineStr"/>
      <c r="V63" s="10" t="inlineStr"/>
    </row>
    <row r="64">
      <c r="A64" t="n">
        <v>5</v>
      </c>
      <c r="B64" t="inlineStr">
        <is>
          <t>core (inside the boundary)</t>
        </is>
      </c>
      <c r="C64" t="n">
        <v>63</v>
      </c>
      <c r="D64" s="3" t="inlineStr">
        <is>
          <t>B-B-056 16 Madison Square West / 1115 Broadway (Adams &amp; Company); B-W-011 Select Office Suites Flatiron</t>
        </is>
      </c>
      <c r="E64" t="inlineStr">
        <is>
          <t>building; coworking</t>
        </is>
      </c>
      <c r="F64" t="inlineStr">
        <is>
          <t>1115 Broadway</t>
        </is>
      </c>
      <c r="G64" t="n">
        <v>40.74285</v>
      </c>
      <c r="H64" t="n">
        <v>-73.98934800000001</v>
      </c>
      <c r="I64" t="n">
        <v>2.6</v>
      </c>
      <c r="J64" t="n">
        <v>5</v>
      </c>
      <c r="K64">
        <f>IF(A64=A63,K63,0)+I64+J64</f>
        <v/>
      </c>
      <c r="L64">
        <f>SUMIF($A$2:$A$117,A64,$I$2:$I$117)+SUMIF($A$2:$A$117,A64,$J$2:$J$117)</f>
        <v/>
      </c>
      <c r="M64" t="inlineStr">
        <is>
          <t>23 St (R W), about 4 min walk</t>
        </is>
      </c>
      <c r="N64" t="inlineStr">
        <is>
          <t>23 St (F M), about 2 min walk</t>
        </is>
      </c>
      <c r="O64" s="3" t="inlineStr">
        <is>
          <t>ENTRANCE: Corner building: the address is on Broadway, and the building also fronts West 25th Street. The pin sits on the Broadway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64" s="10" t="inlineStr"/>
      <c r="Q64" s="10" t="inlineStr"/>
      <c r="R64" s="10" t="inlineStr"/>
      <c r="S64" s="10" t="inlineStr"/>
      <c r="T64" s="10" t="inlineStr"/>
      <c r="U64" s="10" t="inlineStr"/>
      <c r="V64" s="10" t="inlineStr"/>
    </row>
    <row r="65">
      <c r="A65" t="n">
        <v>5</v>
      </c>
      <c r="B65" t="inlineStr">
        <is>
          <t>core (inside the boundary)</t>
        </is>
      </c>
      <c r="C65" t="n">
        <v>64</v>
      </c>
      <c r="D65" s="3" t="inlineStr">
        <is>
          <t>B-R-001 Eataly NYC Flatiron</t>
        </is>
      </c>
      <c r="E65" t="inlineStr">
        <is>
          <t>retailer</t>
        </is>
      </c>
      <c r="F65" t="inlineStr">
        <is>
          <t>200 Fifth Avenue</t>
        </is>
      </c>
      <c r="G65" t="n">
        <v>40.741986</v>
      </c>
      <c r="H65" t="n">
        <v>-73.98947699999999</v>
      </c>
      <c r="I65" t="n">
        <v>2.3</v>
      </c>
      <c r="J65" t="n">
        <v>6</v>
      </c>
      <c r="K65">
        <f>IF(A65=A64,K64,0)+I65+J65</f>
        <v/>
      </c>
      <c r="L65">
        <f>SUMIF($A$2:$A$117,A65,$I$2:$I$117)+SUMIF($A$2:$A$117,A65,$J$2:$J$117)</f>
        <v/>
      </c>
      <c r="M65" t="inlineStr">
        <is>
          <t>23 St (R W), about 4 min walk</t>
        </is>
      </c>
      <c r="N65" t="inlineStr">
        <is>
          <t>23 St (F M), about 2 min walk</t>
        </is>
      </c>
      <c r="O65" s="3" t="inlineStr">
        <is>
          <t>RETAILER: Store open; photo of the local or emerging snack and drink set (aisle and shelf tags); note which shelf it is in; any 'local' or 'new' shelf signage</t>
        </is>
      </c>
      <c r="P65" s="10" t="inlineStr"/>
      <c r="Q65" s="10" t="inlineStr"/>
      <c r="R65" s="10" t="inlineStr"/>
      <c r="S65" s="10" t="inlineStr"/>
      <c r="T65" s="10" t="inlineStr"/>
      <c r="U65" s="10" t="inlineStr"/>
      <c r="V65" s="10" t="inlineStr"/>
    </row>
    <row r="66">
      <c r="A66" t="n">
        <v>5</v>
      </c>
      <c r="B66" t="inlineStr">
        <is>
          <t>core (inside the boundary)</t>
        </is>
      </c>
      <c r="C66" t="n">
        <v>65</v>
      </c>
      <c r="D66" s="3" t="inlineStr">
        <is>
          <t>B-B-049 43 West 23rd Street (Castro Properties)</t>
        </is>
      </c>
      <c r="E66" t="inlineStr">
        <is>
          <t>building</t>
        </is>
      </c>
      <c r="F66" t="inlineStr">
        <is>
          <t>43 West 23rd Street</t>
        </is>
      </c>
      <c r="G66" t="n">
        <v>40.742498</v>
      </c>
      <c r="H66" t="n">
        <v>-73.99118799999999</v>
      </c>
      <c r="I66" t="n">
        <v>2.6</v>
      </c>
      <c r="J66" t="n">
        <v>3</v>
      </c>
      <c r="K66">
        <f>IF(A66=A65,K65,0)+I66+J66</f>
        <v/>
      </c>
      <c r="L66">
        <f>SUMIF($A$2:$A$117,A66,$I$2:$I$117)+SUMIF($A$2:$A$117,A66,$J$2:$J$117)</f>
        <v/>
      </c>
      <c r="M66" t="inlineStr">
        <is>
          <t>23 St (R W), about 4 min walk</t>
        </is>
      </c>
      <c r="N66" t="inlineStr">
        <is>
          <t>23 St (F M), about 2 min walk</t>
        </is>
      </c>
      <c r="O66"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6" s="10" t="inlineStr"/>
      <c r="Q66" s="10" t="inlineStr"/>
      <c r="R66" s="10" t="inlineStr"/>
      <c r="S66" s="10" t="inlineStr"/>
      <c r="T66" s="10" t="inlineStr"/>
      <c r="U66" s="10" t="inlineStr"/>
      <c r="V66" s="10" t="inlineStr"/>
    </row>
    <row r="67">
      <c r="A67" t="n">
        <v>5</v>
      </c>
      <c r="B67" t="inlineStr">
        <is>
          <t>core (inside the boundary)</t>
        </is>
      </c>
      <c r="C67" t="n">
        <v>66</v>
      </c>
      <c r="D67" s="3" t="inlineStr">
        <is>
          <t>B-B-050 49-53 West 23rd Street (Adams &amp; Company)</t>
        </is>
      </c>
      <c r="E67" t="inlineStr">
        <is>
          <t>building</t>
        </is>
      </c>
      <c r="F67" t="inlineStr">
        <is>
          <t>53 West 23rd Street</t>
        </is>
      </c>
      <c r="G67" t="n">
        <v>40.742654</v>
      </c>
      <c r="H67" t="n">
        <v>-73.991559</v>
      </c>
      <c r="I67" t="n">
        <v>0.5</v>
      </c>
      <c r="J67" t="n">
        <v>3.5</v>
      </c>
      <c r="K67">
        <f>IF(A67=A66,K66,0)+I67+J67</f>
        <v/>
      </c>
      <c r="L67">
        <f>SUMIF($A$2:$A$117,A67,$I$2:$I$117)+SUMIF($A$2:$A$117,A67,$J$2:$J$117)</f>
        <v/>
      </c>
      <c r="M67" t="inlineStr">
        <is>
          <t>23 St (R W), about 4 min walk</t>
        </is>
      </c>
      <c r="N67" t="inlineStr">
        <is>
          <t>23 St (F M), about 2 min walk</t>
        </is>
      </c>
      <c r="O6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7" s="10" t="inlineStr"/>
      <c r="Q67" s="10" t="inlineStr"/>
      <c r="R67" s="10" t="inlineStr"/>
      <c r="S67" s="10" t="inlineStr"/>
      <c r="T67" s="10" t="inlineStr"/>
      <c r="U67" s="10" t="inlineStr"/>
      <c r="V67" s="10" t="inlineStr"/>
    </row>
    <row r="68">
      <c r="A68" t="n">
        <v>5</v>
      </c>
      <c r="B68" t="inlineStr">
        <is>
          <t>core (inside the boundary)</t>
        </is>
      </c>
      <c r="C68" t="n">
        <v>67</v>
      </c>
      <c r="D68" s="3" t="inlineStr">
        <is>
          <t>B-B-047 61 West 23rd Street (Zegna family; Taconic development partner)</t>
        </is>
      </c>
      <c r="E68" t="inlineStr">
        <is>
          <t>building</t>
        </is>
      </c>
      <c r="F68" t="inlineStr">
        <is>
          <t>61 West 23rd Street</t>
        </is>
      </c>
      <c r="G68" t="n">
        <v>40.742771</v>
      </c>
      <c r="H68" t="n">
        <v>-73.991782</v>
      </c>
      <c r="I68" t="n">
        <v>0.3</v>
      </c>
      <c r="J68" t="n">
        <v>3.5</v>
      </c>
      <c r="K68">
        <f>IF(A68=A67,K67,0)+I68+J68</f>
        <v/>
      </c>
      <c r="L68">
        <f>SUMIF($A$2:$A$117,A68,$I$2:$I$117)+SUMIF($A$2:$A$117,A68,$J$2:$J$117)</f>
        <v/>
      </c>
      <c r="M68" t="inlineStr">
        <is>
          <t>23 St (R W), about 4 min walk</t>
        </is>
      </c>
      <c r="N68" t="inlineStr">
        <is>
          <t>23 St (F M), about 2 min walk</t>
        </is>
      </c>
      <c r="O6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8" s="10" t="inlineStr"/>
      <c r="Q68" s="10" t="inlineStr"/>
      <c r="R68" s="10" t="inlineStr"/>
      <c r="S68" s="10" t="inlineStr"/>
      <c r="T68" s="10" t="inlineStr"/>
      <c r="U68" s="10" t="inlineStr"/>
      <c r="V68" s="10" t="inlineStr"/>
    </row>
    <row r="69">
      <c r="A69" t="n">
        <v>5</v>
      </c>
      <c r="B69" t="inlineStr">
        <is>
          <t>core (inside the boundary)</t>
        </is>
      </c>
      <c r="C69" t="n">
        <v>68</v>
      </c>
      <c r="D69" s="3" t="inlineStr">
        <is>
          <t>B-B-048 71 West 23rd Street</t>
        </is>
      </c>
      <c r="E69" t="inlineStr">
        <is>
          <t>building</t>
        </is>
      </c>
      <c r="F69" t="inlineStr">
        <is>
          <t>71 West 23rd Street</t>
        </is>
      </c>
      <c r="G69" t="n">
        <v>40.743043</v>
      </c>
      <c r="H69" t="n">
        <v>-73.99233</v>
      </c>
      <c r="I69" t="n">
        <v>0.8</v>
      </c>
      <c r="J69" t="n">
        <v>3</v>
      </c>
      <c r="K69">
        <f>IF(A69=A68,K68,0)+I69+J69</f>
        <v/>
      </c>
      <c r="L69">
        <f>SUMIF($A$2:$A$117,A69,$I$2:$I$117)+SUMIF($A$2:$A$117,A69,$J$2:$J$117)</f>
        <v/>
      </c>
      <c r="M69" t="inlineStr">
        <is>
          <t>23 St (R W), about 4 min walk</t>
        </is>
      </c>
      <c r="N69" t="inlineStr">
        <is>
          <t>23 St (F M), about 2 min walk</t>
        </is>
      </c>
      <c r="O6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69" s="10" t="inlineStr"/>
      <c r="Q69" s="10" t="inlineStr"/>
      <c r="R69" s="10" t="inlineStr"/>
      <c r="S69" s="10" t="inlineStr"/>
      <c r="T69" s="10" t="inlineStr"/>
      <c r="U69" s="10" t="inlineStr"/>
      <c r="V69" s="10" t="inlineStr"/>
    </row>
    <row r="70">
      <c r="A70" t="n">
        <v>5</v>
      </c>
      <c r="B70" t="inlineStr">
        <is>
          <t>core (inside the boundary)</t>
        </is>
      </c>
      <c r="C70" t="n">
        <v>69</v>
      </c>
      <c r="D70" s="3" t="inlineStr">
        <is>
          <t>B-B-046 50 West 23rd Street (Two Trees Management)</t>
        </is>
      </c>
      <c r="E70" t="inlineStr">
        <is>
          <t>building</t>
        </is>
      </c>
      <c r="F70" t="inlineStr">
        <is>
          <t>50 West 23rd Street</t>
        </is>
      </c>
      <c r="G70" t="n">
        <v>40.742199</v>
      </c>
      <c r="H70" t="n">
        <v>-73.99172</v>
      </c>
      <c r="I70" t="n">
        <v>2.2</v>
      </c>
      <c r="J70" t="n">
        <v>3.5</v>
      </c>
      <c r="K70">
        <f>IF(A70=A69,K69,0)+I70+J70</f>
        <v/>
      </c>
      <c r="L70">
        <f>SUMIF($A$2:$A$117,A70,$I$2:$I$117)+SUMIF($A$2:$A$117,A70,$J$2:$J$117)</f>
        <v/>
      </c>
      <c r="M70" t="inlineStr">
        <is>
          <t>23 St (R W), about 4 min walk</t>
        </is>
      </c>
      <c r="N70" t="inlineStr">
        <is>
          <t>23 St (F M), about 2 min walk</t>
        </is>
      </c>
      <c r="O7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0" s="10" t="inlineStr"/>
      <c r="Q70" s="10" t="inlineStr"/>
      <c r="R70" s="10" t="inlineStr"/>
      <c r="S70" s="10" t="inlineStr"/>
      <c r="T70" s="10" t="inlineStr"/>
      <c r="U70" s="10" t="inlineStr"/>
      <c r="V70" s="10" t="inlineStr"/>
    </row>
    <row r="71">
      <c r="A71" t="n">
        <v>6</v>
      </c>
      <c r="B71" t="inlineStr">
        <is>
          <t>core (inside the boundary)</t>
        </is>
      </c>
      <c r="C71" t="n">
        <v>70</v>
      </c>
      <c r="D71" s="3" t="inlineStr">
        <is>
          <t>B-R-003 Fairway Market Chelsea</t>
        </is>
      </c>
      <c r="E71" t="inlineStr">
        <is>
          <t>retailer</t>
        </is>
      </c>
      <c r="F71" t="inlineStr">
        <is>
          <t>766 Sixth Avenue</t>
        </is>
      </c>
      <c r="G71" t="n">
        <v>40.744457</v>
      </c>
      <c r="H71" t="n">
        <v>-73.99143100000001</v>
      </c>
      <c r="I71" t="n">
        <v>0</v>
      </c>
      <c r="J71" t="n">
        <v>6</v>
      </c>
      <c r="K71">
        <f>IF(A71=A70,K70,0)+I71+J71</f>
        <v/>
      </c>
      <c r="L71">
        <f>SUMIF($A$2:$A$117,A71,$I$2:$I$117)+SUMIF($A$2:$A$117,A71,$J$2:$J$117)</f>
        <v/>
      </c>
      <c r="M71" t="inlineStr">
        <is>
          <t>23 St (F M), about 3 min walk</t>
        </is>
      </c>
      <c r="N71" t="inlineStr">
        <is>
          <t>28 St (R W), about 5 min walk</t>
        </is>
      </c>
      <c r="O71" s="3" t="inlineStr">
        <is>
          <t>RETAILER: Store open; photo of the local or emerging snack and drink set (aisle and shelf tags); note which shelf it is in; any 'local' or 'new' shelf signage</t>
        </is>
      </c>
      <c r="P71" s="10" t="inlineStr"/>
      <c r="Q71" s="10" t="inlineStr"/>
      <c r="R71" s="10" t="inlineStr"/>
      <c r="S71" s="10" t="inlineStr"/>
      <c r="T71" s="10" t="inlineStr"/>
      <c r="U71" s="10" t="inlineStr"/>
      <c r="V71" s="10" t="inlineStr"/>
    </row>
    <row r="72">
      <c r="A72" t="n">
        <v>6</v>
      </c>
      <c r="B72" t="inlineStr">
        <is>
          <t>core (inside the boundary)</t>
        </is>
      </c>
      <c r="C72" t="n">
        <v>71</v>
      </c>
      <c r="D72" s="3" t="inlineStr">
        <is>
          <t>B-W-014 Industrious NoMad</t>
        </is>
      </c>
      <c r="E72" t="inlineStr">
        <is>
          <t>coworking</t>
        </is>
      </c>
      <c r="F72" t="inlineStr">
        <is>
          <t>776A Sixth Avenue</t>
        </is>
      </c>
      <c r="G72" t="n">
        <v>40.744955</v>
      </c>
      <c r="H72" t="n">
        <v>-73.990911</v>
      </c>
      <c r="I72" t="n">
        <v>1.2</v>
      </c>
      <c r="J72" t="n">
        <v>3</v>
      </c>
      <c r="K72">
        <f>IF(A72=A71,K71,0)+I72+J72</f>
        <v/>
      </c>
      <c r="L72">
        <f>SUMIF($A$2:$A$117,A72,$I$2:$I$117)+SUMIF($A$2:$A$117,A72,$J$2:$J$117)</f>
        <v/>
      </c>
      <c r="M72" t="inlineStr">
        <is>
          <t>23 St (F M), about 3 min walk</t>
        </is>
      </c>
      <c r="N72" t="inlineStr">
        <is>
          <t>28 St (R W), about 5 min walk</t>
        </is>
      </c>
      <c r="O72" s="3" t="inlineStr">
        <is>
          <t>COWORKING: Operator signage in the lobby; floors listed on the directory; front-desk hours; who receives deliveries for members</t>
        </is>
      </c>
      <c r="P72" s="10" t="inlineStr"/>
      <c r="Q72" s="10" t="inlineStr"/>
      <c r="R72" s="10" t="inlineStr"/>
      <c r="S72" s="10" t="inlineStr"/>
      <c r="T72" s="10" t="inlineStr"/>
      <c r="U72" s="10" t="inlineStr"/>
      <c r="V72" s="10" t="inlineStr"/>
    </row>
    <row r="73">
      <c r="A73" t="n">
        <v>6</v>
      </c>
      <c r="B73" t="inlineStr">
        <is>
          <t>core (inside the boundary)</t>
        </is>
      </c>
      <c r="C73" t="n">
        <v>72</v>
      </c>
      <c r="D73" s="3" t="inlineStr">
        <is>
          <t>B-B-069 45 West 27th Street</t>
        </is>
      </c>
      <c r="E73" t="inlineStr">
        <is>
          <t>building</t>
        </is>
      </c>
      <c r="F73" t="inlineStr">
        <is>
          <t>45 West 27th Street</t>
        </is>
      </c>
      <c r="G73" t="n">
        <v>40.745243</v>
      </c>
      <c r="H73" t="n">
        <v>-73.989968</v>
      </c>
      <c r="I73" t="n">
        <v>2</v>
      </c>
      <c r="J73" t="n">
        <v>3</v>
      </c>
      <c r="K73">
        <f>IF(A73=A72,K72,0)+I73+J73</f>
        <v/>
      </c>
      <c r="L73">
        <f>SUMIF($A$2:$A$117,A73,$I$2:$I$117)+SUMIF($A$2:$A$117,A73,$J$2:$J$117)</f>
        <v/>
      </c>
      <c r="M73" t="inlineStr">
        <is>
          <t>23 St (F M), about 3 min walk</t>
        </is>
      </c>
      <c r="N73" t="inlineStr">
        <is>
          <t>28 St (R W), about 5 min walk</t>
        </is>
      </c>
      <c r="O73"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3" s="10" t="inlineStr"/>
      <c r="Q73" s="10" t="inlineStr"/>
      <c r="R73" s="10" t="inlineStr"/>
      <c r="S73" s="10" t="inlineStr"/>
      <c r="T73" s="10" t="inlineStr"/>
      <c r="U73" s="10" t="inlineStr"/>
      <c r="V73" s="10" t="inlineStr"/>
    </row>
    <row r="74">
      <c r="A74" t="n">
        <v>6</v>
      </c>
      <c r="B74" t="inlineStr">
        <is>
          <t>core (inside the boundary)</t>
        </is>
      </c>
      <c r="C74" t="n">
        <v>73</v>
      </c>
      <c r="D74" s="3" t="inlineStr">
        <is>
          <t>B-B-071 1165 Broadway (Thor Equities, bought 2026)</t>
        </is>
      </c>
      <c r="E74" t="inlineStr">
        <is>
          <t>building</t>
        </is>
      </c>
      <c r="F74" t="inlineStr">
        <is>
          <t>1165 Broadway</t>
        </is>
      </c>
      <c r="G74" t="n">
        <v>40.744899</v>
      </c>
      <c r="H74" t="n">
        <v>-73.989082</v>
      </c>
      <c r="I74" t="n">
        <v>1.6</v>
      </c>
      <c r="J74" t="n">
        <v>3.5</v>
      </c>
      <c r="K74">
        <f>IF(A74=A73,K73,0)+I74+J74</f>
        <v/>
      </c>
      <c r="L74">
        <f>SUMIF($A$2:$A$117,A74,$I$2:$I$117)+SUMIF($A$2:$A$117,A74,$J$2:$J$117)</f>
        <v/>
      </c>
      <c r="M74" t="inlineStr">
        <is>
          <t>23 St (F M), about 3 min walk</t>
        </is>
      </c>
      <c r="N74" t="inlineStr">
        <is>
          <t>28 St (R W), about 5 min walk</t>
        </is>
      </c>
      <c r="O74"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4" s="10" t="inlineStr"/>
      <c r="Q74" s="10" t="inlineStr"/>
      <c r="R74" s="10" t="inlineStr"/>
      <c r="S74" s="10" t="inlineStr"/>
      <c r="T74" s="10" t="inlineStr"/>
      <c r="U74" s="10" t="inlineStr"/>
      <c r="V74" s="10" t="inlineStr"/>
    </row>
    <row r="75">
      <c r="A75" t="n">
        <v>6</v>
      </c>
      <c r="B75" t="inlineStr">
        <is>
          <t>core (inside the boundary)</t>
        </is>
      </c>
      <c r="C75" t="n">
        <v>74</v>
      </c>
      <c r="D75" s="3" t="inlineStr">
        <is>
          <t>B-B-070 15 West 27th Street (Kaufman Organization)</t>
        </is>
      </c>
      <c r="E75" t="inlineStr">
        <is>
          <t>building</t>
        </is>
      </c>
      <c r="F75" t="inlineStr">
        <is>
          <t>15 West 27th Street</t>
        </is>
      </c>
      <c r="G75" t="n">
        <v>40.744515</v>
      </c>
      <c r="H75" t="n">
        <v>-73.988255</v>
      </c>
      <c r="I75" t="n">
        <v>1.5</v>
      </c>
      <c r="J75" t="n">
        <v>3</v>
      </c>
      <c r="K75">
        <f>IF(A75=A74,K74,0)+I75+J75</f>
        <v/>
      </c>
      <c r="L75">
        <f>SUMIF($A$2:$A$117,A75,$I$2:$I$117)+SUMIF($A$2:$A$117,A75,$J$2:$J$117)</f>
        <v/>
      </c>
      <c r="M75" t="inlineStr">
        <is>
          <t>23 St (F M), about 3 min walk</t>
        </is>
      </c>
      <c r="N75" t="inlineStr">
        <is>
          <t>28 St (R W), about 5 min walk</t>
        </is>
      </c>
      <c r="O7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5" s="10" t="inlineStr"/>
      <c r="Q75" s="10" t="inlineStr"/>
      <c r="R75" s="10" t="inlineStr"/>
      <c r="S75" s="10" t="inlineStr"/>
      <c r="T75" s="10" t="inlineStr"/>
      <c r="U75" s="10" t="inlineStr"/>
      <c r="V75" s="10" t="inlineStr"/>
    </row>
    <row r="76">
      <c r="A76" t="n">
        <v>6</v>
      </c>
      <c r="B76" t="inlineStr">
        <is>
          <t>core (inside the boundary)</t>
        </is>
      </c>
      <c r="C76" t="n">
        <v>75</v>
      </c>
      <c r="D76" s="3" t="inlineStr">
        <is>
          <t>B-B-067 230 Fifth Avenue (New York MarketCenter, GFP Real Estate)</t>
        </is>
      </c>
      <c r="E76" t="inlineStr">
        <is>
          <t>building</t>
        </is>
      </c>
      <c r="F76" t="inlineStr">
        <is>
          <t>230 Fifth Avenue</t>
        </is>
      </c>
      <c r="G76" t="n">
        <v>40.743942</v>
      </c>
      <c r="H76" t="n">
        <v>-73.988072</v>
      </c>
      <c r="I76" t="n">
        <v>1.5</v>
      </c>
      <c r="J76" t="n">
        <v>3.5</v>
      </c>
      <c r="K76">
        <f>IF(A76=A75,K75,0)+I76+J76</f>
        <v/>
      </c>
      <c r="L76">
        <f>SUMIF($A$2:$A$117,A76,$I$2:$I$117)+SUMIF($A$2:$A$117,A76,$J$2:$J$117)</f>
        <v/>
      </c>
      <c r="M76" t="inlineStr">
        <is>
          <t>23 St (F M), about 3 min walk</t>
        </is>
      </c>
      <c r="N76" t="inlineStr">
        <is>
          <t>28 St (R W), about 5 min walk</t>
        </is>
      </c>
      <c r="O76" s="3" t="inlineStr">
        <is>
          <t>ENTRANCE: Corner building: the address is on Fifth Avenue, and the building also fronts West 27th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6" s="10" t="inlineStr"/>
      <c r="Q76" s="10" t="inlineStr"/>
      <c r="R76" s="10" t="inlineStr"/>
      <c r="S76" s="10" t="inlineStr"/>
      <c r="T76" s="10" t="inlineStr"/>
      <c r="U76" s="10" t="inlineStr"/>
      <c r="V76" s="10" t="inlineStr"/>
    </row>
    <row r="77">
      <c r="A77" t="n">
        <v>6</v>
      </c>
      <c r="B77" t="inlineStr">
        <is>
          <t>core (inside the boundary)</t>
        </is>
      </c>
      <c r="C77" t="n">
        <v>76</v>
      </c>
      <c r="D77" s="3" t="inlineStr">
        <is>
          <t>B-W-015 The Yard: Flatiron South</t>
        </is>
      </c>
      <c r="E77" t="inlineStr">
        <is>
          <t>coworking</t>
        </is>
      </c>
      <c r="F77" t="inlineStr">
        <is>
          <t>234 Fifth Avenue</t>
        </is>
      </c>
      <c r="G77" t="n">
        <v>40.744356</v>
      </c>
      <c r="H77" t="n">
        <v>-73.987771</v>
      </c>
      <c r="I77" t="n">
        <v>1</v>
      </c>
      <c r="J77" t="n">
        <v>3</v>
      </c>
      <c r="K77">
        <f>IF(A77=A76,K76,0)+I77+J77</f>
        <v/>
      </c>
      <c r="L77">
        <f>SUMIF($A$2:$A$117,A77,$I$2:$I$117)+SUMIF($A$2:$A$117,A77,$J$2:$J$117)</f>
        <v/>
      </c>
      <c r="M77" t="inlineStr">
        <is>
          <t>23 St (F M), about 3 min walk</t>
        </is>
      </c>
      <c r="N77" t="inlineStr">
        <is>
          <t>28 St (R W), about 5 min walk</t>
        </is>
      </c>
      <c r="O77" s="3" t="inlineStr">
        <is>
          <t>COWORKING: Operator signage in the lobby; floors listed on the directory; front-desk hours; who receives deliveries for members</t>
        </is>
      </c>
      <c r="P77" s="10" t="inlineStr"/>
      <c r="Q77" s="10" t="inlineStr"/>
      <c r="R77" s="10" t="inlineStr"/>
      <c r="S77" s="10" t="inlineStr"/>
      <c r="T77" s="10" t="inlineStr"/>
      <c r="U77" s="10" t="inlineStr"/>
      <c r="V77" s="10" t="inlineStr"/>
    </row>
    <row r="78">
      <c r="A78" t="n">
        <v>6</v>
      </c>
      <c r="B78" t="inlineStr">
        <is>
          <t>core (inside the boundary)</t>
        </is>
      </c>
      <c r="C78" t="n">
        <v>77</v>
      </c>
      <c r="D78" s="3" t="inlineStr">
        <is>
          <t>B-B-074 245 Fifth Avenue (Moinian Group); B-W-018 WeWork 245 5th Ave</t>
        </is>
      </c>
      <c r="E78" t="inlineStr">
        <is>
          <t>building; coworking</t>
        </is>
      </c>
      <c r="F78" t="inlineStr">
        <is>
          <t>245 Fifth Avenue</t>
        </is>
      </c>
      <c r="G78" t="n">
        <v>40.74441</v>
      </c>
      <c r="H78" t="n">
        <v>-73.987275</v>
      </c>
      <c r="I78" t="n">
        <v>1.1</v>
      </c>
      <c r="J78" t="n">
        <v>4.5</v>
      </c>
      <c r="K78">
        <f>IF(A78=A77,K77,0)+I78+J78</f>
        <v/>
      </c>
      <c r="L78">
        <f>SUMIF($A$2:$A$117,A78,$I$2:$I$117)+SUMIF($A$2:$A$117,A78,$J$2:$J$117)</f>
        <v/>
      </c>
      <c r="M78" t="inlineStr">
        <is>
          <t>23 St (F M), about 3 min walk</t>
        </is>
      </c>
      <c r="N78" t="inlineStr">
        <is>
          <t>28 St (R W), about 5 min walk</t>
        </is>
      </c>
      <c r="O78" s="3" t="inlineStr">
        <is>
          <t>ENTRANCE: Corner building: the address is on Fifth Avenue, and the building also fronts East 28th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78" s="10" t="inlineStr"/>
      <c r="Q78" s="10" t="inlineStr"/>
      <c r="R78" s="10" t="inlineStr"/>
      <c r="S78" s="10" t="inlineStr"/>
      <c r="T78" s="10" t="inlineStr"/>
      <c r="U78" s="10" t="inlineStr"/>
      <c r="V78" s="10" t="inlineStr"/>
    </row>
    <row r="79">
      <c r="A79" t="n">
        <v>6</v>
      </c>
      <c r="B79" t="inlineStr">
        <is>
          <t>core (inside the boundary)</t>
        </is>
      </c>
      <c r="C79" t="n">
        <v>78</v>
      </c>
      <c r="D79" s="3" t="inlineStr">
        <is>
          <t>B-B-077 261 Fifth Avenue (Feil Organization)</t>
        </is>
      </c>
      <c r="E79" t="inlineStr">
        <is>
          <t>building</t>
        </is>
      </c>
      <c r="F79" t="inlineStr">
        <is>
          <t>261 Fifth Avenue</t>
        </is>
      </c>
      <c r="G79" t="n">
        <v>40.745027</v>
      </c>
      <c r="H79" t="n">
        <v>-73.986825</v>
      </c>
      <c r="I79" t="n">
        <v>1.3</v>
      </c>
      <c r="J79" t="n">
        <v>3.5</v>
      </c>
      <c r="K79">
        <f>IF(A79=A78,K78,0)+I79+J79</f>
        <v/>
      </c>
      <c r="L79">
        <f>SUMIF($A$2:$A$117,A79,$I$2:$I$117)+SUMIF($A$2:$A$117,A79,$J$2:$J$117)</f>
        <v/>
      </c>
      <c r="M79" t="inlineStr">
        <is>
          <t>23 St (F M), about 3 min walk</t>
        </is>
      </c>
      <c r="N79" t="inlineStr">
        <is>
          <t>28 St (R W), about 5 min walk</t>
        </is>
      </c>
      <c r="O79" s="3" t="inlineStr">
        <is>
          <t>ENTRANCE: Corner building: the address is on Fifth Avenue, and the building also fronts East 29th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79" s="10" t="inlineStr"/>
      <c r="Q79" s="10" t="inlineStr"/>
      <c r="R79" s="10" t="inlineStr"/>
      <c r="S79" s="10" t="inlineStr"/>
      <c r="T79" s="10" t="inlineStr"/>
      <c r="U79" s="10" t="inlineStr"/>
      <c r="V79" s="10" t="inlineStr"/>
    </row>
    <row r="80">
      <c r="A80" t="n">
        <v>6</v>
      </c>
      <c r="B80" t="inlineStr">
        <is>
          <t>core (inside the boundary)</t>
        </is>
      </c>
      <c r="C80" t="n">
        <v>79</v>
      </c>
      <c r="D80" s="3" t="inlineStr">
        <is>
          <t>B-B-075 44 West 28th Street (Stellar Management)</t>
        </is>
      </c>
      <c r="E80" t="inlineStr">
        <is>
          <t>building</t>
        </is>
      </c>
      <c r="F80" t="inlineStr">
        <is>
          <t>44 West 28th Street</t>
        </is>
      </c>
      <c r="G80" t="n">
        <v>40.745609</v>
      </c>
      <c r="H80" t="n">
        <v>-73.990014</v>
      </c>
      <c r="I80" t="n">
        <v>5.5</v>
      </c>
      <c r="J80" t="n">
        <v>3</v>
      </c>
      <c r="K80">
        <f>IF(A80=A79,K79,0)+I80+J80</f>
        <v/>
      </c>
      <c r="L80">
        <f>SUMIF($A$2:$A$117,A80,$I$2:$I$117)+SUMIF($A$2:$A$117,A80,$J$2:$J$117)</f>
        <v/>
      </c>
      <c r="M80" t="inlineStr">
        <is>
          <t>23 St (F M), about 3 min walk</t>
        </is>
      </c>
      <c r="N80" t="inlineStr">
        <is>
          <t>28 St (R W), about 5 min walk</t>
        </is>
      </c>
      <c r="O80"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0" s="10" t="inlineStr"/>
      <c r="Q80" s="10" t="inlineStr"/>
      <c r="R80" s="10" t="inlineStr"/>
      <c r="S80" s="10" t="inlineStr"/>
      <c r="T80" s="10" t="inlineStr"/>
      <c r="U80" s="10" t="inlineStr"/>
      <c r="V80" s="10" t="inlineStr"/>
    </row>
    <row r="81">
      <c r="A81" t="n">
        <v>6</v>
      </c>
      <c r="B81" t="inlineStr">
        <is>
          <t>core (inside the boundary)</t>
        </is>
      </c>
      <c r="C81" t="n">
        <v>80</v>
      </c>
      <c r="D81" s="3" t="inlineStr">
        <is>
          <t>B-W-021 Luminary</t>
        </is>
      </c>
      <c r="E81" t="inlineStr">
        <is>
          <t>coworking</t>
        </is>
      </c>
      <c r="F81" t="inlineStr">
        <is>
          <t>1204 Broadway</t>
        </is>
      </c>
      <c r="G81" t="n">
        <v>40.746321</v>
      </c>
      <c r="H81" t="n">
        <v>-73.988259</v>
      </c>
      <c r="I81" t="n">
        <v>3.3</v>
      </c>
      <c r="J81" t="n">
        <v>3</v>
      </c>
      <c r="K81">
        <f>IF(A81=A80,K80,0)+I81+J81</f>
        <v/>
      </c>
      <c r="L81">
        <f>SUMIF($A$2:$A$117,A81,$I$2:$I$117)+SUMIF($A$2:$A$117,A81,$J$2:$J$117)</f>
        <v/>
      </c>
      <c r="M81" t="inlineStr">
        <is>
          <t>23 St (F M), about 3 min walk</t>
        </is>
      </c>
      <c r="N81" t="inlineStr">
        <is>
          <t>28 St (R W), about 5 min walk</t>
        </is>
      </c>
      <c r="O81" s="3" t="inlineStr">
        <is>
          <t>COWORKING: Operator signage in the lobby; floors listed on the directory; front-desk hours; who receives deliveries for members</t>
        </is>
      </c>
      <c r="P81" s="10" t="inlineStr"/>
      <c r="Q81" s="10" t="inlineStr"/>
      <c r="R81" s="10" t="inlineStr"/>
      <c r="S81" s="10" t="inlineStr"/>
      <c r="T81" s="10" t="inlineStr"/>
      <c r="U81" s="10" t="inlineStr"/>
      <c r="V81" s="10" t="inlineStr"/>
    </row>
    <row r="82">
      <c r="A82" t="n">
        <v>6</v>
      </c>
      <c r="B82" t="inlineStr">
        <is>
          <t>core (inside the boundary)</t>
        </is>
      </c>
      <c r="C82" t="n">
        <v>81</v>
      </c>
      <c r="D82" s="3" t="inlineStr">
        <is>
          <t>B-W-023 Nomadworks 1216 Broadway</t>
        </is>
      </c>
      <c r="E82" t="inlineStr">
        <is>
          <t>coworking</t>
        </is>
      </c>
      <c r="F82" t="inlineStr">
        <is>
          <t>1216 Broadway</t>
        </is>
      </c>
      <c r="G82" t="n">
        <v>40.746477</v>
      </c>
      <c r="H82" t="n">
        <v>-73.988333</v>
      </c>
      <c r="I82" t="n">
        <v>0.2</v>
      </c>
      <c r="J82" t="n">
        <v>3</v>
      </c>
      <c r="K82">
        <f>IF(A82=A81,K81,0)+I82+J82</f>
        <v/>
      </c>
      <c r="L82">
        <f>SUMIF($A$2:$A$117,A82,$I$2:$I$117)+SUMIF($A$2:$A$117,A82,$J$2:$J$117)</f>
        <v/>
      </c>
      <c r="M82" t="inlineStr">
        <is>
          <t>23 St (F M), about 3 min walk</t>
        </is>
      </c>
      <c r="N82" t="inlineStr">
        <is>
          <t>28 St (R W), about 5 min walk</t>
        </is>
      </c>
      <c r="O82" s="3" t="inlineStr">
        <is>
          <t>COWORKING: Operator signage in the lobby; floors listed on the directory; front-desk hours; who receives deliveries for members</t>
        </is>
      </c>
      <c r="P82" s="10" t="inlineStr"/>
      <c r="Q82" s="10" t="inlineStr"/>
      <c r="R82" s="10" t="inlineStr"/>
      <c r="S82" s="10" t="inlineStr"/>
      <c r="T82" s="10" t="inlineStr"/>
      <c r="U82" s="10" t="inlineStr"/>
      <c r="V82" s="10" t="inlineStr"/>
    </row>
    <row r="83">
      <c r="A83" t="n">
        <v>6</v>
      </c>
      <c r="B83" t="inlineStr">
        <is>
          <t>core (inside the boundary)</t>
        </is>
      </c>
      <c r="C83" t="n">
        <v>82</v>
      </c>
      <c r="D83" s="3" t="inlineStr">
        <is>
          <t>B-W-022 Sage Workspace</t>
        </is>
      </c>
      <c r="E83" t="inlineStr">
        <is>
          <t>coworking</t>
        </is>
      </c>
      <c r="F83" t="inlineStr">
        <is>
          <t>276 Fifth Avenue</t>
        </is>
      </c>
      <c r="G83" t="n">
        <v>40.745792</v>
      </c>
      <c r="H83" t="n">
        <v>-73.986723</v>
      </c>
      <c r="I83" t="n">
        <v>2.3</v>
      </c>
      <c r="J83" t="n">
        <v>3</v>
      </c>
      <c r="K83">
        <f>IF(A83=A82,K82,0)+I83+J83</f>
        <v/>
      </c>
      <c r="L83">
        <f>SUMIF($A$2:$A$117,A83,$I$2:$I$117)+SUMIF($A$2:$A$117,A83,$J$2:$J$117)</f>
        <v/>
      </c>
      <c r="M83" t="inlineStr">
        <is>
          <t>23 St (F M), about 3 min walk</t>
        </is>
      </c>
      <c r="N83" t="inlineStr">
        <is>
          <t>28 St (R W), about 5 min walk</t>
        </is>
      </c>
      <c r="O83" s="3" t="inlineStr">
        <is>
          <t>COWORKING: Operator signage in the lobby; floors listed on the directory; front-desk hours; who receives deliveries for members</t>
        </is>
      </c>
      <c r="P83" s="10" t="inlineStr"/>
      <c r="Q83" s="10" t="inlineStr"/>
      <c r="R83" s="10" t="inlineStr"/>
      <c r="S83" s="10" t="inlineStr"/>
      <c r="T83" s="10" t="inlineStr"/>
      <c r="U83" s="10" t="inlineStr"/>
      <c r="V83" s="10" t="inlineStr"/>
    </row>
    <row r="84">
      <c r="A84" t="n">
        <v>6</v>
      </c>
      <c r="B84" t="inlineStr">
        <is>
          <t>core (inside the boundary)</t>
        </is>
      </c>
      <c r="C84" t="n">
        <v>83</v>
      </c>
      <c r="D84" s="3" t="inlineStr">
        <is>
          <t>B-B-082 Textile Building, 295 Fifth Avenue (Tribeca Investment Group, PGIM Real Estate, Meadow Partners)</t>
        </is>
      </c>
      <c r="E84" t="inlineStr">
        <is>
          <t>building</t>
        </is>
      </c>
      <c r="F84" t="inlineStr">
        <is>
          <t>295 Fifth Avenue</t>
        </is>
      </c>
      <c r="G84" t="n">
        <v>40.746186</v>
      </c>
      <c r="H84" t="n">
        <v>-73.985981</v>
      </c>
      <c r="I84" t="n">
        <v>1.9</v>
      </c>
      <c r="J84" t="n">
        <v>3</v>
      </c>
      <c r="K84">
        <f>IF(A84=A83,K83,0)+I84+J84</f>
        <v/>
      </c>
      <c r="L84">
        <f>SUMIF($A$2:$A$117,A84,$I$2:$I$117)+SUMIF($A$2:$A$117,A84,$J$2:$J$117)</f>
        <v/>
      </c>
      <c r="M84" t="inlineStr">
        <is>
          <t>23 St (F M), about 3 min walk</t>
        </is>
      </c>
      <c r="N84" t="inlineStr">
        <is>
          <t>28 St (R W), about 5 min walk</t>
        </is>
      </c>
      <c r="O84" s="3" t="inlineStr">
        <is>
          <t>ENTRANCE: Corner building: the address is on Fifth Avenue, and the building also fronts East 31st Street. The pin sits on the Fifth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4" s="10" t="inlineStr"/>
      <c r="Q84" s="10" t="inlineStr"/>
      <c r="R84" s="10" t="inlineStr"/>
      <c r="S84" s="10" t="inlineStr"/>
      <c r="T84" s="10" t="inlineStr"/>
      <c r="U84" s="10" t="inlineStr"/>
      <c r="V84" s="10" t="inlineStr"/>
    </row>
    <row r="85">
      <c r="A85" t="n">
        <v>7</v>
      </c>
      <c r="B85" t="inlineStr">
        <is>
          <t>core (inside the boundary)</t>
        </is>
      </c>
      <c r="C85" t="n">
        <v>84</v>
      </c>
      <c r="D85" s="3" t="inlineStr">
        <is>
          <t>B-B-081 450 Park Avenue South; B-W-024 WeWork 450 Park Ave S</t>
        </is>
      </c>
      <c r="E85" t="inlineStr">
        <is>
          <t>building; coworking</t>
        </is>
      </c>
      <c r="F85" t="inlineStr">
        <is>
          <t>450 Park Avenue South</t>
        </is>
      </c>
      <c r="G85" t="n">
        <v>40.744997</v>
      </c>
      <c r="H85" t="n">
        <v>-73.983237</v>
      </c>
      <c r="I85" t="n">
        <v>0</v>
      </c>
      <c r="J85" t="n">
        <v>4</v>
      </c>
      <c r="K85">
        <f>IF(A85=A84,K84,0)+I85+J85</f>
        <v/>
      </c>
      <c r="L85">
        <f>SUMIF($A$2:$A$117,A85,$I$2:$I$117)+SUMIF($A$2:$A$117,A85,$J$2:$J$117)</f>
        <v/>
      </c>
      <c r="M85" t="inlineStr">
        <is>
          <t>33 St (6), about 2 min walk</t>
        </is>
      </c>
      <c r="N85" t="inlineStr">
        <is>
          <t>23 St-Baruch College (6), about 3 min walk</t>
        </is>
      </c>
      <c r="O85"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5" s="10" t="inlineStr"/>
      <c r="Q85" s="10" t="inlineStr"/>
      <c r="R85" s="10" t="inlineStr"/>
      <c r="S85" s="10" t="inlineStr"/>
      <c r="T85" s="10" t="inlineStr"/>
      <c r="U85" s="10" t="inlineStr"/>
      <c r="V85" s="10" t="inlineStr"/>
    </row>
    <row r="86">
      <c r="A86" t="n">
        <v>7</v>
      </c>
      <c r="B86" t="inlineStr">
        <is>
          <t>core (inside the boundary)</t>
        </is>
      </c>
      <c r="C86" t="n">
        <v>85</v>
      </c>
      <c r="D86" s="3" t="inlineStr">
        <is>
          <t>B-B-080 440 Park Avenue South (Samco Properties)</t>
        </is>
      </c>
      <c r="E86" t="inlineStr">
        <is>
          <t>building</t>
        </is>
      </c>
      <c r="F86" t="inlineStr">
        <is>
          <t>440 Park Avenue South</t>
        </is>
      </c>
      <c r="G86" t="n">
        <v>40.744442</v>
      </c>
      <c r="H86" t="n">
        <v>-73.983525</v>
      </c>
      <c r="I86" t="n">
        <v>1.1</v>
      </c>
      <c r="J86" t="n">
        <v>3.5</v>
      </c>
      <c r="K86">
        <f>IF(A86=A85,K85,0)+I86+J86</f>
        <v/>
      </c>
      <c r="L86">
        <f>SUMIF($A$2:$A$117,A86,$I$2:$I$117)+SUMIF($A$2:$A$117,A86,$J$2:$J$117)</f>
        <v/>
      </c>
      <c r="M86" t="inlineStr">
        <is>
          <t>33 St (6), about 2 min walk</t>
        </is>
      </c>
      <c r="N86" t="inlineStr">
        <is>
          <t>23 St-Baruch College (6), about 3 min walk</t>
        </is>
      </c>
      <c r="O86" s="3" t="inlineStr">
        <is>
          <t>ENTRANCE: Corner building: the address is on Park Avenue South, and the building also fronts East 30th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6" s="10" t="inlineStr"/>
      <c r="Q86" s="10" t="inlineStr"/>
      <c r="R86" s="10" t="inlineStr"/>
      <c r="S86" s="10" t="inlineStr"/>
      <c r="T86" s="10" t="inlineStr"/>
      <c r="U86" s="10" t="inlineStr"/>
      <c r="V86" s="10" t="inlineStr"/>
    </row>
    <row r="87">
      <c r="A87" t="n">
        <v>7</v>
      </c>
      <c r="B87" t="inlineStr">
        <is>
          <t>core (inside the boundary)</t>
        </is>
      </c>
      <c r="C87" t="n">
        <v>86</v>
      </c>
      <c r="D87" s="3" t="inlineStr">
        <is>
          <t>B-B-079 432 Park Avenue South (Samco Properties)</t>
        </is>
      </c>
      <c r="E87" t="inlineStr">
        <is>
          <t>building</t>
        </is>
      </c>
      <c r="F87" t="inlineStr">
        <is>
          <t>432 Park Avenue South</t>
        </is>
      </c>
      <c r="G87" t="n">
        <v>40.744255</v>
      </c>
      <c r="H87" t="n">
        <v>-73.983762</v>
      </c>
      <c r="I87" t="n">
        <v>0.4</v>
      </c>
      <c r="J87" t="n">
        <v>3.5</v>
      </c>
      <c r="K87">
        <f>IF(A87=A86,K86,0)+I87+J87</f>
        <v/>
      </c>
      <c r="L87">
        <f>SUMIF($A$2:$A$117,A87,$I$2:$I$117)+SUMIF($A$2:$A$117,A87,$J$2:$J$117)</f>
        <v/>
      </c>
      <c r="M87" t="inlineStr">
        <is>
          <t>33 St (6), about 2 min walk</t>
        </is>
      </c>
      <c r="N87" t="inlineStr">
        <is>
          <t>23 St-Baruch College (6), about 3 min walk</t>
        </is>
      </c>
      <c r="O8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7" s="10" t="inlineStr"/>
      <c r="Q87" s="10" t="inlineStr"/>
      <c r="R87" s="10" t="inlineStr"/>
      <c r="S87" s="10" t="inlineStr"/>
      <c r="T87" s="10" t="inlineStr"/>
      <c r="U87" s="10" t="inlineStr"/>
      <c r="V87" s="10" t="inlineStr"/>
    </row>
    <row r="88">
      <c r="A88" t="n">
        <v>7</v>
      </c>
      <c r="B88" t="inlineStr">
        <is>
          <t>core (inside the boundary)</t>
        </is>
      </c>
      <c r="C88" t="n">
        <v>87</v>
      </c>
      <c r="D88" s="3" t="inlineStr">
        <is>
          <t>B-B-078 99 Madison Avenue (Windsor Management)</t>
        </is>
      </c>
      <c r="E88" t="inlineStr">
        <is>
          <t>building</t>
        </is>
      </c>
      <c r="F88" t="inlineStr">
        <is>
          <t>99 Madison Avenue</t>
        </is>
      </c>
      <c r="G88" t="n">
        <v>40.744774</v>
      </c>
      <c r="H88" t="n">
        <v>-73.984932</v>
      </c>
      <c r="I88" t="n">
        <v>2.2</v>
      </c>
      <c r="J88" t="n">
        <v>3.5</v>
      </c>
      <c r="K88">
        <f>IF(A88=A87,K87,0)+I88+J88</f>
        <v/>
      </c>
      <c r="L88">
        <f>SUMIF($A$2:$A$117,A88,$I$2:$I$117)+SUMIF($A$2:$A$117,A88,$J$2:$J$117)</f>
        <v/>
      </c>
      <c r="M88" t="inlineStr">
        <is>
          <t>33 St (6), about 2 min walk</t>
        </is>
      </c>
      <c r="N88" t="inlineStr">
        <is>
          <t>23 St-Baruch College (6), about 3 min walk</t>
        </is>
      </c>
      <c r="O88" s="3" t="inlineStr">
        <is>
          <t>ENTRANCE: Corner building: the address is on Madison Avenue, and the building also fronts East 29th Street. The pin sits on the Madison Avenue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88" s="10" t="inlineStr"/>
      <c r="Q88" s="10" t="inlineStr"/>
      <c r="R88" s="10" t="inlineStr"/>
      <c r="S88" s="10" t="inlineStr"/>
      <c r="T88" s="10" t="inlineStr"/>
      <c r="U88" s="10" t="inlineStr"/>
      <c r="V88" s="10" t="inlineStr"/>
    </row>
    <row r="89">
      <c r="A89" t="n">
        <v>7</v>
      </c>
      <c r="B89" t="inlineStr">
        <is>
          <t>core (inside the boundary)</t>
        </is>
      </c>
      <c r="C89" t="n">
        <v>88</v>
      </c>
      <c r="D89" s="3" t="inlineStr">
        <is>
          <t>B-B-076 79 Madison Avenue / 27 East 28th Street (Williams Equities); B-W-020 WeWork 27 E 28th St (79 Madison Ave building)</t>
        </is>
      </c>
      <c r="E89" t="inlineStr">
        <is>
          <t>building; coworking</t>
        </is>
      </c>
      <c r="F89" t="inlineStr">
        <is>
          <t>27 East 28th Street</t>
        </is>
      </c>
      <c r="G89" t="n">
        <v>40.744057</v>
      </c>
      <c r="H89" t="n">
        <v>-73.985252</v>
      </c>
      <c r="I89" t="n">
        <v>1.8</v>
      </c>
      <c r="J89" t="n">
        <v>4</v>
      </c>
      <c r="K89">
        <f>IF(A89=A88,K88,0)+I89+J89</f>
        <v/>
      </c>
      <c r="L89">
        <f>SUMIF($A$2:$A$117,A89,$I$2:$I$117)+SUMIF($A$2:$A$117,A89,$J$2:$J$117)</f>
        <v/>
      </c>
      <c r="M89" t="inlineStr">
        <is>
          <t>33 St (6), about 2 min walk</t>
        </is>
      </c>
      <c r="N89" t="inlineStr">
        <is>
          <t>23 St-Baruch College (6), about 3 min walk</t>
        </is>
      </c>
      <c r="O89"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89" s="10" t="inlineStr"/>
      <c r="Q89" s="10" t="inlineStr"/>
      <c r="R89" s="10" t="inlineStr"/>
      <c r="S89" s="10" t="inlineStr"/>
      <c r="T89" s="10" t="inlineStr"/>
      <c r="U89" s="10" t="inlineStr"/>
      <c r="V89" s="10" t="inlineStr"/>
    </row>
    <row r="90">
      <c r="A90" t="n">
        <v>7</v>
      </c>
      <c r="B90" t="inlineStr">
        <is>
          <t>core (inside the boundary)</t>
        </is>
      </c>
      <c r="C90" t="n">
        <v>89</v>
      </c>
      <c r="D90" s="3" t="inlineStr">
        <is>
          <t>B-R-010 Whole Foods Market NoMad</t>
        </is>
      </c>
      <c r="E90" t="inlineStr">
        <is>
          <t>retailer</t>
        </is>
      </c>
      <c r="F90" t="inlineStr">
        <is>
          <t>63 Madison Avenue</t>
        </is>
      </c>
      <c r="G90" t="n">
        <v>40.743448</v>
      </c>
      <c r="H90" t="n">
        <v>-73.98579100000001</v>
      </c>
      <c r="I90" t="n">
        <v>1.5</v>
      </c>
      <c r="J90" t="n">
        <v>10</v>
      </c>
      <c r="K90">
        <f>IF(A90=A89,K89,0)+I90+J90</f>
        <v/>
      </c>
      <c r="L90">
        <f>SUMIF($A$2:$A$117,A90,$I$2:$I$117)+SUMIF($A$2:$A$117,A90,$J$2:$J$117)</f>
        <v/>
      </c>
      <c r="M90" t="inlineStr">
        <is>
          <t>33 St (6), about 2 min walk</t>
        </is>
      </c>
      <c r="N90" t="inlineStr">
        <is>
          <t>23 St-Baruch College (6), about 3 min walk</t>
        </is>
      </c>
      <c r="O90" s="3" t="inlineStr">
        <is>
          <t>RETAILER: Store open; photo of the local or emerging snack and drink set (aisle and shelf tags); note which shelf it is in; any 'local' or 'new' shelf signage</t>
        </is>
      </c>
      <c r="P90" s="10" t="inlineStr"/>
      <c r="Q90" s="10" t="inlineStr"/>
      <c r="R90" s="10" t="inlineStr"/>
      <c r="S90" s="10" t="inlineStr"/>
      <c r="T90" s="10" t="inlineStr"/>
      <c r="U90" s="10" t="inlineStr"/>
      <c r="V90" s="10" t="inlineStr"/>
    </row>
    <row r="91">
      <c r="A91" t="n">
        <v>7</v>
      </c>
      <c r="B91" t="inlineStr">
        <is>
          <t>core (inside the boundary)</t>
        </is>
      </c>
      <c r="C91" t="n">
        <v>90</v>
      </c>
      <c r="D91" s="3" t="inlineStr">
        <is>
          <t>B-B-072 386 Park Avenue South (HSR Corporation); B-W-016 Industrious 386 Park Ave S</t>
        </is>
      </c>
      <c r="E91" t="inlineStr">
        <is>
          <t>building; coworking</t>
        </is>
      </c>
      <c r="F91" t="inlineStr">
        <is>
          <t>386 Park Avenue South</t>
        </is>
      </c>
      <c r="G91" t="n">
        <v>40.743003</v>
      </c>
      <c r="H91" t="n">
        <v>-73.98456899999999</v>
      </c>
      <c r="I91" t="n">
        <v>2.2</v>
      </c>
      <c r="J91" t="n">
        <v>4.5</v>
      </c>
      <c r="K91">
        <f>IF(A91=A90,K90,0)+I91+J91</f>
        <v/>
      </c>
      <c r="L91">
        <f>SUMIF($A$2:$A$117,A91,$I$2:$I$117)+SUMIF($A$2:$A$117,A91,$J$2:$J$117)</f>
        <v/>
      </c>
      <c r="M91" t="inlineStr">
        <is>
          <t>33 St (6), about 2 min walk</t>
        </is>
      </c>
      <c r="N91" t="inlineStr">
        <is>
          <t>23 St-Baruch College (6), about 3 min walk</t>
        </is>
      </c>
      <c r="O91"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1" s="10" t="inlineStr"/>
      <c r="Q91" s="10" t="inlineStr"/>
      <c r="R91" s="10" t="inlineStr"/>
      <c r="S91" s="10" t="inlineStr"/>
      <c r="T91" s="10" t="inlineStr"/>
      <c r="U91" s="10" t="inlineStr"/>
      <c r="V91" s="10" t="inlineStr"/>
    </row>
    <row r="92">
      <c r="A92" t="n">
        <v>7</v>
      </c>
      <c r="B92" t="inlineStr">
        <is>
          <t>core (inside the boundary)</t>
        </is>
      </c>
      <c r="C92" t="n">
        <v>91</v>
      </c>
      <c r="D92" s="3" t="inlineStr">
        <is>
          <t>B-W-019 Spaces Midtown South (401 Park Avenue South)</t>
        </is>
      </c>
      <c r="E92" t="inlineStr">
        <is>
          <t>coworking</t>
        </is>
      </c>
      <c r="F92" t="inlineStr">
        <is>
          <t>401 Park Avenue South</t>
        </is>
      </c>
      <c r="G92" t="n">
        <v>40.743042</v>
      </c>
      <c r="H92" t="n">
        <v>-73.98402400000001</v>
      </c>
      <c r="I92" t="n">
        <v>1.1</v>
      </c>
      <c r="J92" t="n">
        <v>3</v>
      </c>
      <c r="K92">
        <f>IF(A92=A91,K91,0)+I92+J92</f>
        <v/>
      </c>
      <c r="L92">
        <f>SUMIF($A$2:$A$117,A92,$I$2:$I$117)+SUMIF($A$2:$A$117,A92,$J$2:$J$117)</f>
        <v/>
      </c>
      <c r="M92" t="inlineStr">
        <is>
          <t>33 St (6), about 2 min walk</t>
        </is>
      </c>
      <c r="N92" t="inlineStr">
        <is>
          <t>23 St-Baruch College (6), about 3 min walk</t>
        </is>
      </c>
      <c r="O92" s="3" t="inlineStr">
        <is>
          <t>COWORKING: Operator signage in the lobby; floors listed on the directory; front-desk hours; who receives deliveries for members</t>
        </is>
      </c>
      <c r="P92" s="10" t="inlineStr"/>
      <c r="Q92" s="10" t="inlineStr"/>
      <c r="R92" s="10" t="inlineStr"/>
      <c r="S92" s="10" t="inlineStr"/>
      <c r="T92" s="10" t="inlineStr"/>
      <c r="U92" s="10" t="inlineStr"/>
      <c r="V92" s="10" t="inlineStr"/>
    </row>
    <row r="93">
      <c r="A93" t="n">
        <v>7</v>
      </c>
      <c r="B93" t="inlineStr">
        <is>
          <t>core (inside the boundary)</t>
        </is>
      </c>
      <c r="C93" t="n">
        <v>92</v>
      </c>
      <c r="D93" s="3" t="inlineStr">
        <is>
          <t>B-B-073 387 Park Avenue South (TF Cornerstone); B-W-017 The Malin NoMad</t>
        </is>
      </c>
      <c r="E93" t="inlineStr">
        <is>
          <t>building; coworking</t>
        </is>
      </c>
      <c r="F93" t="inlineStr">
        <is>
          <t>387 Park Avenue South</t>
        </is>
      </c>
      <c r="G93" t="n">
        <v>40.742833</v>
      </c>
      <c r="H93" t="n">
        <v>-73.984174</v>
      </c>
      <c r="I93" t="n">
        <v>0.4</v>
      </c>
      <c r="J93" t="n">
        <v>4.5</v>
      </c>
      <c r="K93">
        <f>IF(A93=A92,K92,0)+I93+J93</f>
        <v/>
      </c>
      <c r="L93">
        <f>SUMIF($A$2:$A$117,A93,$I$2:$I$117)+SUMIF($A$2:$A$117,A93,$J$2:$J$117)</f>
        <v/>
      </c>
      <c r="M93" t="inlineStr">
        <is>
          <t>33 St (6), about 2 min walk</t>
        </is>
      </c>
      <c r="N93" t="inlineStr">
        <is>
          <t>23 St-Baruch College (6), about 3 min walk</t>
        </is>
      </c>
      <c r="O93"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3" s="10" t="inlineStr"/>
      <c r="Q93" s="10" t="inlineStr"/>
      <c r="R93" s="10" t="inlineStr"/>
      <c r="S93" s="10" t="inlineStr"/>
      <c r="T93" s="10" t="inlineStr"/>
      <c r="U93" s="10" t="inlineStr"/>
      <c r="V93" s="10" t="inlineStr"/>
    </row>
    <row r="94">
      <c r="A94" t="n">
        <v>7</v>
      </c>
      <c r="B94" t="inlineStr">
        <is>
          <t>core (inside the boundary)</t>
        </is>
      </c>
      <c r="C94" t="n">
        <v>93</v>
      </c>
      <c r="D94" s="3" t="inlineStr">
        <is>
          <t>B-B-068 381 Park Avenue South (Olmstead Properties and Vertex)</t>
        </is>
      </c>
      <c r="E94" t="inlineStr">
        <is>
          <t>building</t>
        </is>
      </c>
      <c r="F94" t="inlineStr">
        <is>
          <t>381 Park Avenue South</t>
        </is>
      </c>
      <c r="G94" t="n">
        <v>40.742417</v>
      </c>
      <c r="H94" t="n">
        <v>-73.984477</v>
      </c>
      <c r="I94" t="n">
        <v>1</v>
      </c>
      <c r="J94" t="n">
        <v>5</v>
      </c>
      <c r="K94">
        <f>IF(A94=A93,K93,0)+I94+J94</f>
        <v/>
      </c>
      <c r="L94">
        <f>SUMIF($A$2:$A$117,A94,$I$2:$I$117)+SUMIF($A$2:$A$117,A94,$J$2:$J$117)</f>
        <v/>
      </c>
      <c r="M94" t="inlineStr">
        <is>
          <t>33 St (6), about 2 min walk</t>
        </is>
      </c>
      <c r="N94" t="inlineStr">
        <is>
          <t>23 St-Baruch College (6), about 3 min walk</t>
        </is>
      </c>
      <c r="O94" s="3" t="inlineStr">
        <is>
          <t>ENTRANCE: Corner building: the address is on Park Avenue South, and the building also fronts East 27th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4" s="10" t="inlineStr"/>
      <c r="Q94" s="10" t="inlineStr"/>
      <c r="R94" s="10" t="inlineStr"/>
      <c r="S94" s="10" t="inlineStr"/>
      <c r="T94" s="10" t="inlineStr"/>
      <c r="U94" s="10" t="inlineStr"/>
      <c r="V94" s="10" t="inlineStr"/>
    </row>
    <row r="95">
      <c r="A95" t="n">
        <v>7</v>
      </c>
      <c r="B95" t="inlineStr">
        <is>
          <t>core (inside the boundary)</t>
        </is>
      </c>
      <c r="C95" t="n">
        <v>94</v>
      </c>
      <c r="D95" s="3" t="inlineStr">
        <is>
          <t>B-B-064 373 Park Avenue South (Olmstead Properties and Vertex)</t>
        </is>
      </c>
      <c r="E95" t="inlineStr">
        <is>
          <t>building</t>
        </is>
      </c>
      <c r="F95" t="inlineStr">
        <is>
          <t>373 Park Avenue South</t>
        </is>
      </c>
      <c r="G95" t="n">
        <v>40.742242</v>
      </c>
      <c r="H95" t="n">
        <v>-73.984606</v>
      </c>
      <c r="I95" t="n">
        <v>0.3</v>
      </c>
      <c r="J95" t="n">
        <v>3</v>
      </c>
      <c r="K95">
        <f>IF(A95=A94,K94,0)+I95+J95</f>
        <v/>
      </c>
      <c r="L95">
        <f>SUMIF($A$2:$A$117,A95,$I$2:$I$117)+SUMIF($A$2:$A$117,A95,$J$2:$J$117)</f>
        <v/>
      </c>
      <c r="M95" t="inlineStr">
        <is>
          <t>33 St (6), about 2 min walk</t>
        </is>
      </c>
      <c r="N95" t="inlineStr">
        <is>
          <t>23 St-Baruch College (6), about 3 min walk</t>
        </is>
      </c>
      <c r="O95"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5" s="10" t="inlineStr"/>
      <c r="Q95" s="10" t="inlineStr"/>
      <c r="R95" s="10" t="inlineStr"/>
      <c r="S95" s="10" t="inlineStr"/>
      <c r="T95" s="10" t="inlineStr"/>
      <c r="U95" s="10" t="inlineStr"/>
      <c r="V95" s="10" t="inlineStr"/>
    </row>
    <row r="96">
      <c r="A96" t="n">
        <v>7</v>
      </c>
      <c r="B96" t="inlineStr">
        <is>
          <t>core (inside the boundary)</t>
        </is>
      </c>
      <c r="C96" t="n">
        <v>95</v>
      </c>
      <c r="D96" s="3" t="inlineStr">
        <is>
          <t>B-B-059 360 Park Avenue South (BXP)</t>
        </is>
      </c>
      <c r="E96" t="inlineStr">
        <is>
          <t>building</t>
        </is>
      </c>
      <c r="F96" t="inlineStr">
        <is>
          <t>360 Park Avenue South</t>
        </is>
      </c>
      <c r="G96" t="n">
        <v>40.741968</v>
      </c>
      <c r="H96" t="n">
        <v>-73.985327</v>
      </c>
      <c r="I96" t="n">
        <v>1.8</v>
      </c>
      <c r="J96" t="n">
        <v>5</v>
      </c>
      <c r="K96">
        <f>IF(A96=A95,K95,0)+I96+J96</f>
        <v/>
      </c>
      <c r="L96">
        <f>SUMIF($A$2:$A$117,A96,$I$2:$I$117)+SUMIF($A$2:$A$117,A96,$J$2:$J$117)</f>
        <v/>
      </c>
      <c r="M96" t="inlineStr">
        <is>
          <t>33 St (6), about 2 min walk</t>
        </is>
      </c>
      <c r="N96" t="inlineStr">
        <is>
          <t>23 St-Baruch College (6), about 3 min walk</t>
        </is>
      </c>
      <c r="O96" s="3" t="inlineStr">
        <is>
          <t>ENTRANCE: Corner building: the address is on Park Avenue South, and the building also fronts East 26th Street. The pin sits on the Park Avenue South side; check which door takes deliveries. || BUILDING: Lobby type (walk-up, security desk, loading dock); security desk staffed at 8 am? (Y/N); loading dock or freight entrance and its posted hours; any COI or vendor-insurance signage; posted receiving or delivery hours; candidate names on the lobby directory; photo of the entrance</t>
        </is>
      </c>
      <c r="P96" s="10" t="inlineStr"/>
      <c r="Q96" s="10" t="inlineStr"/>
      <c r="R96" s="10" t="inlineStr"/>
      <c r="S96" s="10" t="inlineStr"/>
      <c r="T96" s="10" t="inlineStr"/>
      <c r="U96" s="10" t="inlineStr"/>
      <c r="V96" s="10" t="inlineStr"/>
    </row>
    <row r="97">
      <c r="A97" t="n">
        <v>7</v>
      </c>
      <c r="B97" t="inlineStr">
        <is>
          <t>core (inside the boundary)</t>
        </is>
      </c>
      <c r="C97" t="n">
        <v>96</v>
      </c>
      <c r="D97" s="3" t="inlineStr">
        <is>
          <t>B-B-058 345 Park Avenue South (Deerfield Management; home of Cure); B-W-013 Cure, 345 Park Avenue South</t>
        </is>
      </c>
      <c r="E97" t="inlineStr">
        <is>
          <t>building; coworking</t>
        </is>
      </c>
      <c r="F97" t="inlineStr">
        <is>
          <t>345 Park Avenue South</t>
        </is>
      </c>
      <c r="G97" t="n">
        <v>40.741737</v>
      </c>
      <c r="H97" t="n">
        <v>-73.98485599999999</v>
      </c>
      <c r="I97" t="n">
        <v>0.8</v>
      </c>
      <c r="J97" t="n">
        <v>4</v>
      </c>
      <c r="K97">
        <f>IF(A97=A96,K96,0)+I97+J97</f>
        <v/>
      </c>
      <c r="L97">
        <f>SUMIF($A$2:$A$117,A97,$I$2:$I$117)+SUMIF($A$2:$A$117,A97,$J$2:$J$117)</f>
        <v/>
      </c>
      <c r="M97" t="inlineStr">
        <is>
          <t>33 St (6), about 2 min walk</t>
        </is>
      </c>
      <c r="N97" t="inlineStr">
        <is>
          <t>23 St-Baruch College (6), about 3 min walk</t>
        </is>
      </c>
      <c r="O97"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7" s="10" t="inlineStr"/>
      <c r="Q97" s="10" t="inlineStr"/>
      <c r="R97" s="10" t="inlineStr"/>
      <c r="S97" s="10" t="inlineStr"/>
      <c r="T97" s="10" t="inlineStr"/>
      <c r="U97" s="10" t="inlineStr"/>
      <c r="V97" s="10" t="inlineStr"/>
    </row>
    <row r="98">
      <c r="A98" t="n">
        <v>7</v>
      </c>
      <c r="B98" t="inlineStr">
        <is>
          <t>core (inside the boundary)</t>
        </is>
      </c>
      <c r="C98" t="n">
        <v>97</v>
      </c>
      <c r="D98" s="3" t="inlineStr">
        <is>
          <t>B-B-055 104 East 25th Street (Williams Equities; NeueHouse Madison Square); B-W-010 NeueHouse Madison Square</t>
        </is>
      </c>
      <c r="E98" t="inlineStr">
        <is>
          <t>building; coworking</t>
        </is>
      </c>
      <c r="F98" t="inlineStr">
        <is>
          <t>104 East 25th Street</t>
        </is>
      </c>
      <c r="G98" t="n">
        <v>40.741024</v>
      </c>
      <c r="H98" t="n">
        <v>-73.984936</v>
      </c>
      <c r="I98" t="n">
        <v>1.7</v>
      </c>
      <c r="J98" t="n">
        <v>4</v>
      </c>
      <c r="K98">
        <f>IF(A98=A97,K97,0)+I98+J98</f>
        <v/>
      </c>
      <c r="L98">
        <f>SUMIF($A$2:$A$117,A98,$I$2:$I$117)+SUMIF($A$2:$A$117,A98,$J$2:$J$117)</f>
        <v/>
      </c>
      <c r="M98" t="inlineStr">
        <is>
          <t>33 St (6), about 2 min walk</t>
        </is>
      </c>
      <c r="N98" t="inlineStr">
        <is>
          <t>23 St-Baruch College (6), about 3 min walk</t>
        </is>
      </c>
      <c r="O98" s="3" t="inlineStr">
        <is>
          <t>BUILDING: Lobby type (walk-up, security desk, loading dock); security desk staffed at 8 am? (Y/N); loading dock or freight entrance and its posted hours; any COI or vendor-insurance signage; posted receiving or delivery hours; candidate names on the lobby directory; photo of the entrance || COWORKING: Operator signage in the lobby; floors listed on the directory; front-desk hours; who receives deliveries for members</t>
        </is>
      </c>
      <c r="P98" s="10" t="inlineStr"/>
      <c r="Q98" s="10" t="inlineStr"/>
      <c r="R98" s="10" t="inlineStr"/>
      <c r="S98" s="10" t="inlineStr"/>
      <c r="T98" s="10" t="inlineStr"/>
      <c r="U98" s="10" t="inlineStr"/>
      <c r="V98" s="10" t="inlineStr"/>
    </row>
    <row r="99">
      <c r="A99" t="n">
        <v>8</v>
      </c>
      <c r="B99" t="inlineStr">
        <is>
          <t>outer retailers (within ten blocks)</t>
        </is>
      </c>
      <c r="C99" t="n">
        <v>98</v>
      </c>
      <c r="D99" s="3" t="inlineStr">
        <is>
          <t>B-R-025 LifeThyme Natural Market</t>
        </is>
      </c>
      <c r="E99" t="inlineStr">
        <is>
          <t>retailer</t>
        </is>
      </c>
      <c r="F99" t="inlineStr">
        <is>
          <t>410 Sixth Avenue</t>
        </is>
      </c>
      <c r="G99" t="n">
        <v>40.733799</v>
      </c>
      <c r="H99" t="n">
        <v>-73.999072</v>
      </c>
      <c r="I99" t="n">
        <v>0</v>
      </c>
      <c r="J99" t="n">
        <v>10</v>
      </c>
      <c r="K99">
        <f>IF(A99=A98,K98,0)+I99+J99</f>
        <v/>
      </c>
      <c r="L99">
        <f>SUMIF($A$2:$A$117,A99,$I$2:$I$117)+SUMIF($A$2:$A$117,A99,$J$2:$J$117)</f>
        <v/>
      </c>
      <c r="M99" t="inlineStr">
        <is>
          <t>W 4 St-Wash Sq (A C E), about 3 min walk</t>
        </is>
      </c>
      <c r="N99" t="inlineStr">
        <is>
          <t>23 St (C E), about 1 min walk</t>
        </is>
      </c>
      <c r="O99" s="3" t="inlineStr">
        <is>
          <t>RETAILER: Store open; photo of the local or emerging snack and drink set (aisle and shelf tags); note which shelf it is in; any 'local' or 'new' shelf signage</t>
        </is>
      </c>
      <c r="P99" s="10" t="inlineStr"/>
      <c r="Q99" s="10" t="inlineStr"/>
      <c r="R99" s="10" t="inlineStr"/>
      <c r="S99" s="10" t="inlineStr"/>
      <c r="T99" s="10" t="inlineStr"/>
      <c r="U99" s="10" t="inlineStr"/>
      <c r="V99" s="10" t="inlineStr"/>
    </row>
    <row r="100">
      <c r="A100" t="n">
        <v>8</v>
      </c>
      <c r="B100" t="inlineStr">
        <is>
          <t>outer retailers (within ten blocks)</t>
        </is>
      </c>
      <c r="C100" t="n">
        <v>99</v>
      </c>
      <c r="D100" s="3" t="inlineStr">
        <is>
          <t>B-R-023 Citarella Greenwich Village</t>
        </is>
      </c>
      <c r="E100" t="inlineStr">
        <is>
          <t>retailer</t>
        </is>
      </c>
      <c r="F100" t="inlineStr">
        <is>
          <t>424 Sixth Avenue</t>
        </is>
      </c>
      <c r="G100" t="n">
        <v>40.73434</v>
      </c>
      <c r="H100" t="n">
        <v>-73.99879799999999</v>
      </c>
      <c r="I100" t="n">
        <v>1.1</v>
      </c>
      <c r="J100" t="n">
        <v>6</v>
      </c>
      <c r="K100">
        <f>IF(A100=A99,K99,0)+I100+J100</f>
        <v/>
      </c>
      <c r="L100">
        <f>SUMIF($A$2:$A$117,A100,$I$2:$I$117)+SUMIF($A$2:$A$117,A100,$J$2:$J$117)</f>
        <v/>
      </c>
      <c r="M100" t="inlineStr">
        <is>
          <t>W 4 St-Wash Sq (A C E), about 3 min walk</t>
        </is>
      </c>
      <c r="N100" t="inlineStr">
        <is>
          <t>23 St (C E), about 1 min walk</t>
        </is>
      </c>
      <c r="O100" s="3" t="inlineStr">
        <is>
          <t>RETAILER: Store open; photo of the local or emerging snack and drink set (aisle and shelf tags); note which shelf it is in; any 'local' or 'new' shelf signage</t>
        </is>
      </c>
      <c r="P100" s="10" t="inlineStr"/>
      <c r="Q100" s="10" t="inlineStr"/>
      <c r="R100" s="10" t="inlineStr"/>
      <c r="S100" s="10" t="inlineStr"/>
      <c r="T100" s="10" t="inlineStr"/>
      <c r="U100" s="10" t="inlineStr"/>
      <c r="V100" s="10" t="inlineStr"/>
    </row>
    <row r="101">
      <c r="A101" t="n">
        <v>8</v>
      </c>
      <c r="B101" t="inlineStr">
        <is>
          <t>outer retailers (within ten blocks)</t>
        </is>
      </c>
      <c r="C101" t="n">
        <v>100</v>
      </c>
      <c r="D101" s="3" t="inlineStr">
        <is>
          <t>B-R-012 Merci Market Union Square</t>
        </is>
      </c>
      <c r="E101" t="inlineStr">
        <is>
          <t>retailer</t>
        </is>
      </c>
      <c r="F101" t="inlineStr">
        <is>
          <t>59 Fifth Avenue</t>
        </is>
      </c>
      <c r="G101" t="n">
        <v>40.735041</v>
      </c>
      <c r="H101" t="n">
        <v>-73.99410399999999</v>
      </c>
      <c r="I101" t="n">
        <v>9</v>
      </c>
      <c r="J101" t="n">
        <v>6</v>
      </c>
      <c r="K101">
        <f>IF(A101=A100,K100,0)+I101+J101</f>
        <v/>
      </c>
      <c r="L101">
        <f>SUMIF($A$2:$A$117,A101,$I$2:$I$117)+SUMIF($A$2:$A$117,A101,$J$2:$J$117)</f>
        <v/>
      </c>
      <c r="M101" t="inlineStr">
        <is>
          <t>W 4 St-Wash Sq (A C E), about 3 min walk</t>
        </is>
      </c>
      <c r="N101" t="inlineStr">
        <is>
          <t>23 St (C E), about 1 min walk</t>
        </is>
      </c>
      <c r="O101" s="3" t="inlineStr">
        <is>
          <t>RETAILER: Store open; photo of the local or emerging snack and drink set (aisle and shelf tags); note which shelf it is in; any 'local' or 'new' shelf signage</t>
        </is>
      </c>
      <c r="P101" s="10" t="inlineStr"/>
      <c r="Q101" s="10" t="inlineStr"/>
      <c r="R101" s="10" t="inlineStr"/>
      <c r="S101" s="10" t="inlineStr"/>
      <c r="T101" s="10" t="inlineStr"/>
      <c r="U101" s="10" t="inlineStr"/>
      <c r="V101" s="10" t="inlineStr"/>
    </row>
    <row r="102">
      <c r="A102" t="n">
        <v>8</v>
      </c>
      <c r="B102" t="inlineStr">
        <is>
          <t>outer retailers (within ten blocks)</t>
        </is>
      </c>
      <c r="C102" t="n">
        <v>101</v>
      </c>
      <c r="D102" s="3" t="inlineStr">
        <is>
          <t>B-R-019 Elm Wellness (Elm Health Chelsea)</t>
        </is>
      </c>
      <c r="E102" t="inlineStr">
        <is>
          <t>retailer</t>
        </is>
      </c>
      <c r="F102" t="inlineStr">
        <is>
          <t>56 Seventh Avenue</t>
        </is>
      </c>
      <c r="G102" t="n">
        <v>40.738374</v>
      </c>
      <c r="H102" t="n">
        <v>-74.00022</v>
      </c>
      <c r="I102" t="n">
        <v>10.8</v>
      </c>
      <c r="J102" t="n">
        <v>6</v>
      </c>
      <c r="K102">
        <f>IF(A102=A101,K101,0)+I102+J102</f>
        <v/>
      </c>
      <c r="L102">
        <f>SUMIF($A$2:$A$117,A102,$I$2:$I$117)+SUMIF($A$2:$A$117,A102,$J$2:$J$117)</f>
        <v/>
      </c>
      <c r="M102" t="inlineStr">
        <is>
          <t>W 4 St-Wash Sq (A C E), about 3 min walk</t>
        </is>
      </c>
      <c r="N102" t="inlineStr">
        <is>
          <t>23 St (C E), about 1 min walk</t>
        </is>
      </c>
      <c r="O102" s="3" t="inlineStr">
        <is>
          <t>RETAILER: Store open; photo of the local or emerging snack and drink set (aisle and shelf tags); note which shelf it is in; any 'local' or 'new' shelf signage</t>
        </is>
      </c>
      <c r="P102" s="10" t="inlineStr"/>
      <c r="Q102" s="10" t="inlineStr"/>
      <c r="R102" s="10" t="inlineStr"/>
      <c r="S102" s="10" t="inlineStr"/>
      <c r="T102" s="10" t="inlineStr"/>
      <c r="U102" s="10" t="inlineStr"/>
      <c r="V102" s="10" t="inlineStr"/>
    </row>
    <row r="103">
      <c r="A103" t="n">
        <v>8</v>
      </c>
      <c r="B103" t="inlineStr">
        <is>
          <t>outer retailers (within ten blocks)</t>
        </is>
      </c>
      <c r="C103" t="n">
        <v>102</v>
      </c>
      <c r="D103" s="3" t="inlineStr">
        <is>
          <t>B-R-018 Westside Market NYC (77 Seventh Ave)</t>
        </is>
      </c>
      <c r="E103" t="inlineStr">
        <is>
          <t>retailer</t>
        </is>
      </c>
      <c r="F103" t="inlineStr">
        <is>
          <t>77 Seventh Avenue</t>
        </is>
      </c>
      <c r="G103" t="n">
        <v>40.738773</v>
      </c>
      <c r="H103" t="n">
        <v>-73.999107</v>
      </c>
      <c r="I103" t="n">
        <v>2.2</v>
      </c>
      <c r="J103" t="n">
        <v>6</v>
      </c>
      <c r="K103">
        <f>IF(A103=A102,K102,0)+I103+J103</f>
        <v/>
      </c>
      <c r="L103">
        <f>SUMIF($A$2:$A$117,A103,$I$2:$I$117)+SUMIF($A$2:$A$117,A103,$J$2:$J$117)</f>
        <v/>
      </c>
      <c r="M103" t="inlineStr">
        <is>
          <t>W 4 St-Wash Sq (A C E), about 3 min walk</t>
        </is>
      </c>
      <c r="N103" t="inlineStr">
        <is>
          <t>23 St (C E), about 1 min walk</t>
        </is>
      </c>
      <c r="O103" s="3" t="inlineStr">
        <is>
          <t>RETAILER: Store open; photo of the local or emerging snack and drink set (aisle and shelf tags); note which shelf it is in; any 'local' or 'new' shelf signage</t>
        </is>
      </c>
      <c r="P103" s="10" t="inlineStr"/>
      <c r="Q103" s="10" t="inlineStr"/>
      <c r="R103" s="10" t="inlineStr"/>
      <c r="S103" s="10" t="inlineStr"/>
      <c r="T103" s="10" t="inlineStr"/>
      <c r="U103" s="10" t="inlineStr"/>
      <c r="V103" s="10" t="inlineStr"/>
    </row>
    <row r="104">
      <c r="A104" t="n">
        <v>8</v>
      </c>
      <c r="B104" t="inlineStr">
        <is>
          <t>outer retailers (within ten blocks)</t>
        </is>
      </c>
      <c r="C104" t="n">
        <v>103</v>
      </c>
      <c r="D104" s="3" t="inlineStr">
        <is>
          <t>B-R-017 Westside Market NYC (170 West 23rd St)</t>
        </is>
      </c>
      <c r="E104" t="inlineStr">
        <is>
          <t>retailer</t>
        </is>
      </c>
      <c r="F104" t="inlineStr">
        <is>
          <t>170 West 23rd Street</t>
        </is>
      </c>
      <c r="G104" t="n">
        <v>40.743718</v>
      </c>
      <c r="H104" t="n">
        <v>-73.99534199999999</v>
      </c>
      <c r="I104" t="n">
        <v>11.5</v>
      </c>
      <c r="J104" t="n">
        <v>6</v>
      </c>
      <c r="K104">
        <f>IF(A104=A103,K103,0)+I104+J104</f>
        <v/>
      </c>
      <c r="L104">
        <f>SUMIF($A$2:$A$117,A104,$I$2:$I$117)+SUMIF($A$2:$A$117,A104,$J$2:$J$117)</f>
        <v/>
      </c>
      <c r="M104" t="inlineStr">
        <is>
          <t>W 4 St-Wash Sq (A C E), about 3 min walk</t>
        </is>
      </c>
      <c r="N104" t="inlineStr">
        <is>
          <t>23 St (C E), about 1 min walk</t>
        </is>
      </c>
      <c r="O104" s="3" t="inlineStr">
        <is>
          <t>RETAILER: Store open; photo of the local or emerging snack and drink set (aisle and shelf tags); note which shelf it is in; any 'local' or 'new' shelf signage</t>
        </is>
      </c>
      <c r="P104" s="10" t="inlineStr"/>
      <c r="Q104" s="10" t="inlineStr"/>
      <c r="R104" s="10" t="inlineStr"/>
      <c r="S104" s="10" t="inlineStr"/>
      <c r="T104" s="10" t="inlineStr"/>
      <c r="U104" s="10" t="inlineStr"/>
      <c r="V104" s="10" t="inlineStr"/>
    </row>
    <row r="105">
      <c r="A105" t="n">
        <v>8</v>
      </c>
      <c r="B105" t="inlineStr">
        <is>
          <t>outer retailers (within ten blocks)</t>
        </is>
      </c>
      <c r="C105" t="n">
        <v>104</v>
      </c>
      <c r="D105" s="3" t="inlineStr">
        <is>
          <t>B-R-027 Target Chelsea 23rd and 8th</t>
        </is>
      </c>
      <c r="E105" t="inlineStr">
        <is>
          <t>retailer</t>
        </is>
      </c>
      <c r="F105" t="inlineStr">
        <is>
          <t>258 Eighth Avenue</t>
        </is>
      </c>
      <c r="G105" t="n">
        <v>40.74552</v>
      </c>
      <c r="H105" t="n">
        <v>-73.99791</v>
      </c>
      <c r="I105" t="n">
        <v>5.2</v>
      </c>
      <c r="J105" t="n">
        <v>3</v>
      </c>
      <c r="K105">
        <f>IF(A105=A104,K104,0)+I105+J105</f>
        <v/>
      </c>
      <c r="L105">
        <f>SUMIF($A$2:$A$117,A105,$I$2:$I$117)+SUMIF($A$2:$A$117,A105,$J$2:$J$117)</f>
        <v/>
      </c>
      <c r="M105" t="inlineStr">
        <is>
          <t>W 4 St-Wash Sq (A C E), about 3 min walk</t>
        </is>
      </c>
      <c r="N105" t="inlineStr">
        <is>
          <t>23 St (C E), about 1 min walk</t>
        </is>
      </c>
      <c r="O105" s="3" t="inlineStr">
        <is>
          <t>RETAILER: Store open; photo of the local or emerging snack and drink set (aisle and shelf tags); note which shelf it is in; any 'local' or 'new' shelf signage</t>
        </is>
      </c>
      <c r="P105" s="10" t="inlineStr"/>
      <c r="Q105" s="10" t="inlineStr"/>
      <c r="R105" s="10" t="inlineStr"/>
      <c r="S105" s="10" t="inlineStr"/>
      <c r="T105" s="10" t="inlineStr"/>
      <c r="U105" s="10" t="inlineStr"/>
      <c r="V105" s="10" t="inlineStr"/>
    </row>
    <row r="106">
      <c r="A106" t="n">
        <v>9</v>
      </c>
      <c r="B106" t="inlineStr">
        <is>
          <t>outer retailers (within ten blocks)</t>
        </is>
      </c>
      <c r="C106" t="n">
        <v>105</v>
      </c>
      <c r="D106" s="3" t="inlineStr">
        <is>
          <t>B-R-021 Whole Foods Market Chelsea</t>
        </is>
      </c>
      <c r="E106" t="inlineStr">
        <is>
          <t>retailer</t>
        </is>
      </c>
      <c r="F106" t="inlineStr">
        <is>
          <t>250 Seventh Avenue</t>
        </is>
      </c>
      <c r="G106" t="n">
        <v>40.745148</v>
      </c>
      <c r="H106" t="n">
        <v>-73.99534199999999</v>
      </c>
      <c r="I106" t="n">
        <v>0</v>
      </c>
      <c r="J106" t="n">
        <v>10</v>
      </c>
      <c r="K106">
        <f>IF(A106=A105,K105,0)+I106+J106</f>
        <v/>
      </c>
      <c r="L106">
        <f>SUMIF($A$2:$A$117,A106,$I$2:$I$117)+SUMIF($A$2:$A$117,A106,$J$2:$J$117)</f>
        <v/>
      </c>
      <c r="M106" t="inlineStr">
        <is>
          <t>23 St (1), about 2 min walk</t>
        </is>
      </c>
      <c r="N106" t="inlineStr">
        <is>
          <t>33 St (6), about 9 min walk</t>
        </is>
      </c>
      <c r="O106" s="3" t="inlineStr">
        <is>
          <t>RETAILER: Store open; photo of the local or emerging snack and drink set (aisle and shelf tags); note which shelf it is in; any 'local' or 'new' shelf signage</t>
        </is>
      </c>
      <c r="P106" s="10" t="inlineStr"/>
      <c r="Q106" s="10" t="inlineStr"/>
      <c r="R106" s="10" t="inlineStr"/>
      <c r="S106" s="10" t="inlineStr"/>
      <c r="T106" s="10" t="inlineStr"/>
      <c r="U106" s="10" t="inlineStr"/>
      <c r="V106" s="10" t="inlineStr"/>
    </row>
    <row r="107">
      <c r="A107" t="n">
        <v>9</v>
      </c>
      <c r="B107" t="inlineStr">
        <is>
          <t>outer retailers (within ten blocks)</t>
        </is>
      </c>
      <c r="C107" t="n">
        <v>106</v>
      </c>
      <c r="D107" s="3" t="inlineStr">
        <is>
          <t>B-R-022 Target Manhattan Herald Square</t>
        </is>
      </c>
      <c r="E107" t="inlineStr">
        <is>
          <t>retailer</t>
        </is>
      </c>
      <c r="F107" t="inlineStr">
        <is>
          <t>112 West 34th Street</t>
        </is>
      </c>
      <c r="G107" t="n">
        <v>40.750028</v>
      </c>
      <c r="H107" t="n">
        <v>-73.988924</v>
      </c>
      <c r="I107" t="n">
        <v>15.6</v>
      </c>
      <c r="J107" t="n">
        <v>3</v>
      </c>
      <c r="K107">
        <f>IF(A107=A106,K106,0)+I107+J107</f>
        <v/>
      </c>
      <c r="L107">
        <f>SUMIF($A$2:$A$117,A107,$I$2:$I$117)+SUMIF($A$2:$A$117,A107,$J$2:$J$117)</f>
        <v/>
      </c>
      <c r="M107" t="inlineStr">
        <is>
          <t>23 St (1), about 2 min walk</t>
        </is>
      </c>
      <c r="N107" t="inlineStr">
        <is>
          <t>33 St (6), about 9 min walk</t>
        </is>
      </c>
      <c r="O107" s="3" t="inlineStr">
        <is>
          <t>RETAILER: Store open; photo of the local or emerging snack and drink set (aisle and shelf tags); note which shelf it is in; any 'local' or 'new' shelf signage</t>
        </is>
      </c>
      <c r="P107" s="10" t="inlineStr"/>
      <c r="Q107" s="10" t="inlineStr"/>
      <c r="R107" s="10" t="inlineStr"/>
      <c r="S107" s="10" t="inlineStr"/>
      <c r="T107" s="10" t="inlineStr"/>
      <c r="U107" s="10" t="inlineStr"/>
      <c r="V107" s="10" t="inlineStr"/>
    </row>
    <row r="108">
      <c r="A108" t="n">
        <v>9</v>
      </c>
      <c r="B108" t="inlineStr">
        <is>
          <t>outer retailers (within ten blocks)</t>
        </is>
      </c>
      <c r="C108" t="n">
        <v>107</v>
      </c>
      <c r="D108" s="3" t="inlineStr">
        <is>
          <t>B-R-014 Kalustyan's</t>
        </is>
      </c>
      <c r="E108" t="inlineStr">
        <is>
          <t>retailer</t>
        </is>
      </c>
      <c r="F108" t="inlineStr">
        <is>
          <t>123 Lexington Avenue</t>
        </is>
      </c>
      <c r="G108" t="n">
        <v>40.742767</v>
      </c>
      <c r="H108" t="n">
        <v>-73.98210400000001</v>
      </c>
      <c r="I108" t="n">
        <v>22</v>
      </c>
      <c r="J108" t="n">
        <v>6</v>
      </c>
      <c r="K108">
        <f>IF(A108=A107,K107,0)+I108+J108</f>
        <v/>
      </c>
      <c r="L108">
        <f>SUMIF($A$2:$A$117,A108,$I$2:$I$117)+SUMIF($A$2:$A$117,A108,$J$2:$J$117)</f>
        <v/>
      </c>
      <c r="M108" t="inlineStr">
        <is>
          <t>23 St (1), about 2 min walk</t>
        </is>
      </c>
      <c r="N108" t="inlineStr">
        <is>
          <t>33 St (6), about 9 min walk</t>
        </is>
      </c>
      <c r="O108" s="3" t="inlineStr">
        <is>
          <t>RETAILER: Store open; photo of the local or emerging snack and drink set (aisle and shelf tags); note which shelf it is in; any 'local' or 'new' shelf signage</t>
        </is>
      </c>
      <c r="P108" s="10" t="inlineStr"/>
      <c r="Q108" s="10" t="inlineStr"/>
      <c r="R108" s="10" t="inlineStr"/>
      <c r="S108" s="10" t="inlineStr"/>
      <c r="T108" s="10" t="inlineStr"/>
      <c r="U108" s="10" t="inlineStr"/>
      <c r="V108" s="10" t="inlineStr"/>
    </row>
    <row r="109">
      <c r="A109" t="n">
        <v>9</v>
      </c>
      <c r="B109" t="inlineStr">
        <is>
          <t>outer retailers (within ten blocks)</t>
        </is>
      </c>
      <c r="C109" t="n">
        <v>108</v>
      </c>
      <c r="D109" s="3" t="inlineStr">
        <is>
          <t>B-R-015 New Foods of India</t>
        </is>
      </c>
      <c r="E109" t="inlineStr">
        <is>
          <t>retailer</t>
        </is>
      </c>
      <c r="F109" t="inlineStr">
        <is>
          <t>121 Lexington Avenue</t>
        </is>
      </c>
      <c r="G109" t="n">
        <v>40.742794</v>
      </c>
      <c r="H109" t="n">
        <v>-73.98213699999999</v>
      </c>
      <c r="I109" t="n">
        <v>0</v>
      </c>
      <c r="J109" t="n">
        <v>6</v>
      </c>
      <c r="K109">
        <f>IF(A109=A108,K108,0)+I109+J109</f>
        <v/>
      </c>
      <c r="L109">
        <f>SUMIF($A$2:$A$117,A109,$I$2:$I$117)+SUMIF($A$2:$A$117,A109,$J$2:$J$117)</f>
        <v/>
      </c>
      <c r="M109" t="inlineStr">
        <is>
          <t>23 St (1), about 2 min walk</t>
        </is>
      </c>
      <c r="N109" t="inlineStr">
        <is>
          <t>33 St (6), about 9 min walk</t>
        </is>
      </c>
      <c r="O109" s="3" t="inlineStr">
        <is>
          <t>RETAILER: Store open; photo of the local or emerging snack and drink set (aisle and shelf tags); note which shelf it is in; any 'local' or 'new' shelf signage</t>
        </is>
      </c>
      <c r="P109" s="10" t="inlineStr"/>
      <c r="Q109" s="10" t="inlineStr"/>
      <c r="R109" s="10" t="inlineStr"/>
      <c r="S109" s="10" t="inlineStr"/>
      <c r="T109" s="10" t="inlineStr"/>
      <c r="U109" s="10" t="inlineStr"/>
      <c r="V109" s="10" t="inlineStr"/>
    </row>
    <row r="110">
      <c r="A110" t="n">
        <v>9</v>
      </c>
      <c r="B110" t="inlineStr">
        <is>
          <t>outer retailers (within ten blocks)</t>
        </is>
      </c>
      <c r="C110" t="n">
        <v>109</v>
      </c>
      <c r="D110" s="3" t="inlineStr">
        <is>
          <t>B-R-029 Fairway Market Kips Bay</t>
        </is>
      </c>
      <c r="E110" t="inlineStr">
        <is>
          <t>retailer</t>
        </is>
      </c>
      <c r="F110" t="inlineStr">
        <is>
          <t>550 Second Avenue</t>
        </is>
      </c>
      <c r="G110" t="n">
        <v>40.74271</v>
      </c>
      <c r="H110" t="n">
        <v>-73.97677</v>
      </c>
      <c r="I110" t="n">
        <v>9.800000000000001</v>
      </c>
      <c r="J110" t="n">
        <v>6</v>
      </c>
      <c r="K110">
        <f>IF(A110=A109,K109,0)+I110+J110</f>
        <v/>
      </c>
      <c r="L110">
        <f>SUMIF($A$2:$A$117,A110,$I$2:$I$117)+SUMIF($A$2:$A$117,A110,$J$2:$J$117)</f>
        <v/>
      </c>
      <c r="M110" t="inlineStr">
        <is>
          <t>23 St (1), about 2 min walk</t>
        </is>
      </c>
      <c r="N110" t="inlineStr">
        <is>
          <t>33 St (6), about 9 min walk</t>
        </is>
      </c>
      <c r="O110" s="3" t="inlineStr">
        <is>
          <t>RETAILER: Store open; photo of the local or emerging snack and drink set (aisle and shelf tags); note which shelf it is in; any 'local' or 'new' shelf signage</t>
        </is>
      </c>
      <c r="P110" s="10" t="inlineStr"/>
      <c r="Q110" s="10" t="inlineStr"/>
      <c r="R110" s="10" t="inlineStr"/>
      <c r="S110" s="10" t="inlineStr"/>
      <c r="T110" s="10" t="inlineStr"/>
      <c r="U110" s="10" t="inlineStr"/>
      <c r="V110" s="10" t="inlineStr"/>
    </row>
    <row r="111">
      <c r="A111" t="n">
        <v>10</v>
      </c>
      <c r="B111" t="inlineStr">
        <is>
          <t>outer retailers (within ten blocks)</t>
        </is>
      </c>
      <c r="C111" t="n">
        <v>110</v>
      </c>
      <c r="D111" s="3" t="inlineStr">
        <is>
          <t>B-R-028 Target Kips Bay</t>
        </is>
      </c>
      <c r="E111" t="inlineStr">
        <is>
          <t>retailer</t>
        </is>
      </c>
      <c r="F111" t="inlineStr">
        <is>
          <t>512 Second Avenue</t>
        </is>
      </c>
      <c r="G111" t="n">
        <v>40.741225</v>
      </c>
      <c r="H111" t="n">
        <v>-73.978216</v>
      </c>
      <c r="I111" t="n">
        <v>0</v>
      </c>
      <c r="J111" t="n">
        <v>3</v>
      </c>
      <c r="K111">
        <f>IF(A111=A110,K110,0)+I111+J111</f>
        <v/>
      </c>
      <c r="L111">
        <f>SUMIF($A$2:$A$117,A111,$I$2:$I$117)+SUMIF($A$2:$A$117,A111,$J$2:$J$117)</f>
        <v/>
      </c>
      <c r="M111" t="inlineStr">
        <is>
          <t>28 St (6), about 8 min walk</t>
        </is>
      </c>
      <c r="N111" t="inlineStr">
        <is>
          <t>8 St-NYU (R W), about 1 min walk</t>
        </is>
      </c>
      <c r="O111" s="3" t="inlineStr">
        <is>
          <t>RETAILER: Store open; photo of the local or emerging snack and drink set (aisle and shelf tags); note which shelf it is in; any 'local' or 'new' shelf signage</t>
        </is>
      </c>
      <c r="P111" s="10" t="inlineStr"/>
      <c r="Q111" s="10" t="inlineStr"/>
      <c r="R111" s="10" t="inlineStr"/>
      <c r="S111" s="10" t="inlineStr"/>
      <c r="T111" s="10" t="inlineStr"/>
      <c r="U111" s="10" t="inlineStr"/>
      <c r="V111" s="10" t="inlineStr"/>
    </row>
    <row r="112">
      <c r="A112" t="n">
        <v>10</v>
      </c>
      <c r="B112" t="inlineStr">
        <is>
          <t>outer retailers (within ten blocks)</t>
        </is>
      </c>
      <c r="C112" t="n">
        <v>111</v>
      </c>
      <c r="D112" s="3" t="inlineStr">
        <is>
          <t>B-R-030 Morton Williams (311 East 23rd St)</t>
        </is>
      </c>
      <c r="E112" t="inlineStr">
        <is>
          <t>retailer</t>
        </is>
      </c>
      <c r="F112" t="inlineStr">
        <is>
          <t>311 East 23rd Street</t>
        </is>
      </c>
      <c r="G112" t="n">
        <v>40.737748</v>
      </c>
      <c r="H112" t="n">
        <v>-73.97990900000001</v>
      </c>
      <c r="I112" t="n">
        <v>8.1</v>
      </c>
      <c r="J112" t="n">
        <v>3</v>
      </c>
      <c r="K112">
        <f>IF(A112=A111,K111,0)+I112+J112</f>
        <v/>
      </c>
      <c r="L112">
        <f>SUMIF($A$2:$A$117,A112,$I$2:$I$117)+SUMIF($A$2:$A$117,A112,$J$2:$J$117)</f>
        <v/>
      </c>
      <c r="M112" t="inlineStr">
        <is>
          <t>28 St (6), about 8 min walk</t>
        </is>
      </c>
      <c r="N112" t="inlineStr">
        <is>
          <t>8 St-NYU (R W), about 1 min walk</t>
        </is>
      </c>
      <c r="O112" s="3" t="inlineStr">
        <is>
          <t>RETAILER: Store open; photo of the local or emerging snack and drink set (aisle and shelf tags); note which shelf it is in; any 'local' or 'new' shelf signage</t>
        </is>
      </c>
      <c r="P112" s="10" t="inlineStr"/>
      <c r="Q112" s="10" t="inlineStr"/>
      <c r="R112" s="10" t="inlineStr"/>
      <c r="S112" s="10" t="inlineStr"/>
      <c r="T112" s="10" t="inlineStr"/>
      <c r="U112" s="10" t="inlineStr"/>
      <c r="V112" s="10" t="inlineStr"/>
    </row>
    <row r="113">
      <c r="A113" t="n">
        <v>10</v>
      </c>
      <c r="B113" t="inlineStr">
        <is>
          <t>outer retailers (within ten blocks)</t>
        </is>
      </c>
      <c r="C113" t="n">
        <v>112</v>
      </c>
      <c r="D113" s="3" t="inlineStr">
        <is>
          <t>B-R-026 Wholesome Organic Market</t>
        </is>
      </c>
      <c r="E113" t="inlineStr">
        <is>
          <t>retailer</t>
        </is>
      </c>
      <c r="F113" t="inlineStr">
        <is>
          <t>343 Second Avenue</t>
        </is>
      </c>
      <c r="G113" t="n">
        <v>40.735855</v>
      </c>
      <c r="H113" t="n">
        <v>-73.982789</v>
      </c>
      <c r="I113" t="n">
        <v>6.6</v>
      </c>
      <c r="J113" t="n">
        <v>6</v>
      </c>
      <c r="K113">
        <f>IF(A113=A112,K112,0)+I113+J113</f>
        <v/>
      </c>
      <c r="L113">
        <f>SUMIF($A$2:$A$117,A113,$I$2:$I$117)+SUMIF($A$2:$A$117,A113,$J$2:$J$117)</f>
        <v/>
      </c>
      <c r="M113" t="inlineStr">
        <is>
          <t>28 St (6), about 8 min walk</t>
        </is>
      </c>
      <c r="N113" t="inlineStr">
        <is>
          <t>8 St-NYU (R W), about 1 min walk</t>
        </is>
      </c>
      <c r="O113" s="3" t="inlineStr">
        <is>
          <t>RETAILER: Store open; photo of the local or emerging snack and drink set (aisle and shelf tags); note which shelf it is in; any 'local' or 'new' shelf signage</t>
        </is>
      </c>
      <c r="P113" s="10" t="inlineStr"/>
      <c r="Q113" s="10" t="inlineStr"/>
      <c r="R113" s="10" t="inlineStr"/>
      <c r="S113" s="10" t="inlineStr"/>
      <c r="T113" s="10" t="inlineStr"/>
      <c r="U113" s="10" t="inlineStr"/>
      <c r="V113" s="10" t="inlineStr"/>
    </row>
    <row r="114">
      <c r="A114" t="n">
        <v>10</v>
      </c>
      <c r="B114" t="inlineStr">
        <is>
          <t>outer retailers (within ten blocks)</t>
        </is>
      </c>
      <c r="C114" t="n">
        <v>113</v>
      </c>
      <c r="D114" s="3" t="inlineStr">
        <is>
          <t>B-R-020 Eden Gourmet Marketplace Gramercy Park</t>
        </is>
      </c>
      <c r="E114" t="inlineStr">
        <is>
          <t>retailer</t>
        </is>
      </c>
      <c r="F114" t="inlineStr">
        <is>
          <t>275 Third Avenue</t>
        </is>
      </c>
      <c r="G114" t="n">
        <v>40.737696</v>
      </c>
      <c r="H114" t="n">
        <v>-73.98371899999999</v>
      </c>
      <c r="I114" t="n">
        <v>5</v>
      </c>
      <c r="J114" t="n">
        <v>6</v>
      </c>
      <c r="K114">
        <f>IF(A114=A113,K113,0)+I114+J114</f>
        <v/>
      </c>
      <c r="L114">
        <f>SUMIF($A$2:$A$117,A114,$I$2:$I$117)+SUMIF($A$2:$A$117,A114,$J$2:$J$117)</f>
        <v/>
      </c>
      <c r="M114" t="inlineStr">
        <is>
          <t>28 St (6), about 8 min walk</t>
        </is>
      </c>
      <c r="N114" t="inlineStr">
        <is>
          <t>8 St-NYU (R W), about 1 min walk</t>
        </is>
      </c>
      <c r="O114" s="3" t="inlineStr">
        <is>
          <t>RETAILER: Store open; photo of the local or emerging snack and drink set (aisle and shelf tags); note which shelf it is in; any 'local' or 'new' shelf signage</t>
        </is>
      </c>
      <c r="P114" s="10" t="inlineStr"/>
      <c r="Q114" s="10" t="inlineStr"/>
      <c r="R114" s="10" t="inlineStr"/>
      <c r="S114" s="10" t="inlineStr"/>
      <c r="T114" s="10" t="inlineStr"/>
      <c r="U114" s="10" t="inlineStr"/>
      <c r="V114" s="10" t="inlineStr"/>
    </row>
    <row r="115">
      <c r="A115" t="n">
        <v>10</v>
      </c>
      <c r="B115" t="inlineStr">
        <is>
          <t>outer retailers (within ten blocks)</t>
        </is>
      </c>
      <c r="C115" t="n">
        <v>114</v>
      </c>
      <c r="D115" s="3" t="inlineStr">
        <is>
          <t>B-R-016 Westside Market NYC (180 Third Ave)</t>
        </is>
      </c>
      <c r="E115" t="inlineStr">
        <is>
          <t>retailer</t>
        </is>
      </c>
      <c r="F115" t="inlineStr">
        <is>
          <t>180 Third Avenue</t>
        </is>
      </c>
      <c r="G115" t="n">
        <v>40.735054</v>
      </c>
      <c r="H115" t="n">
        <v>-73.98631399999999</v>
      </c>
      <c r="I115" t="n">
        <v>7</v>
      </c>
      <c r="J115" t="n">
        <v>6</v>
      </c>
      <c r="K115">
        <f>IF(A115=A114,K114,0)+I115+J115</f>
        <v/>
      </c>
      <c r="L115">
        <f>SUMIF($A$2:$A$117,A115,$I$2:$I$117)+SUMIF($A$2:$A$117,A115,$J$2:$J$117)</f>
        <v/>
      </c>
      <c r="M115" t="inlineStr">
        <is>
          <t>28 St (6), about 8 min walk</t>
        </is>
      </c>
      <c r="N115" t="inlineStr">
        <is>
          <t>8 St-NYU (R W), about 1 min walk</t>
        </is>
      </c>
      <c r="O115" s="3" t="inlineStr">
        <is>
          <t>RETAILER: Store open; photo of the local or emerging snack and drink set (aisle and shelf tags); note which shelf it is in; any 'local' or 'new' shelf signage</t>
        </is>
      </c>
      <c r="P115" s="10" t="inlineStr"/>
      <c r="Q115" s="10" t="inlineStr"/>
      <c r="R115" s="10" t="inlineStr"/>
      <c r="S115" s="10" t="inlineStr"/>
      <c r="T115" s="10" t="inlineStr"/>
      <c r="U115" s="10" t="inlineStr"/>
      <c r="V115" s="10" t="inlineStr"/>
    </row>
    <row r="116">
      <c r="A116" t="n">
        <v>10</v>
      </c>
      <c r="B116" t="inlineStr">
        <is>
          <t>outer retailers (within ten blocks)</t>
        </is>
      </c>
      <c r="C116" t="n">
        <v>115</v>
      </c>
      <c r="D116" s="3" t="inlineStr">
        <is>
          <t>B-R-013 Westside Market NYC (84 Third Ave)</t>
        </is>
      </c>
      <c r="E116" t="inlineStr">
        <is>
          <t>retailer</t>
        </is>
      </c>
      <c r="F116" t="inlineStr">
        <is>
          <t>84 Third Avenue</t>
        </is>
      </c>
      <c r="G116" t="n">
        <v>40.731868</v>
      </c>
      <c r="H116" t="n">
        <v>-73.988569</v>
      </c>
      <c r="I116" t="n">
        <v>6.8</v>
      </c>
      <c r="J116" t="n">
        <v>6</v>
      </c>
      <c r="K116">
        <f>IF(A116=A115,K115,0)+I116+J116</f>
        <v/>
      </c>
      <c r="L116">
        <f>SUMIF($A$2:$A$117,A116,$I$2:$I$117)+SUMIF($A$2:$A$117,A116,$J$2:$J$117)</f>
        <v/>
      </c>
      <c r="M116" t="inlineStr">
        <is>
          <t>28 St (6), about 8 min walk</t>
        </is>
      </c>
      <c r="N116" t="inlineStr">
        <is>
          <t>8 St-NYU (R W), about 1 min walk</t>
        </is>
      </c>
      <c r="O116" s="3" t="inlineStr">
        <is>
          <t>RETAILER: Store open; photo of the local or emerging snack and drink set (aisle and shelf tags); note which shelf it is in; any 'local' or 'new' shelf signage</t>
        </is>
      </c>
      <c r="P116" s="10" t="inlineStr"/>
      <c r="Q116" s="10" t="inlineStr"/>
      <c r="R116" s="10" t="inlineStr"/>
      <c r="S116" s="10" t="inlineStr"/>
      <c r="T116" s="10" t="inlineStr"/>
      <c r="U116" s="10" t="inlineStr"/>
      <c r="V116" s="10" t="inlineStr"/>
    </row>
    <row r="117">
      <c r="A117" t="n">
        <v>10</v>
      </c>
      <c r="B117" t="inlineStr">
        <is>
          <t>outer retailers (within ten blocks)</t>
        </is>
      </c>
      <c r="C117" t="n">
        <v>116</v>
      </c>
      <c r="D117" s="3" t="inlineStr">
        <is>
          <t>B-R-024 Wegmans Astor Place</t>
        </is>
      </c>
      <c r="E117" t="inlineStr">
        <is>
          <t>retailer</t>
        </is>
      </c>
      <c r="F117" t="inlineStr">
        <is>
          <t>770 Broadway</t>
        </is>
      </c>
      <c r="G117" t="n">
        <v>40.730835</v>
      </c>
      <c r="H117" t="n">
        <v>-73.99199400000001</v>
      </c>
      <c r="I117" t="n">
        <v>6.8</v>
      </c>
      <c r="J117" t="n">
        <v>6</v>
      </c>
      <c r="K117">
        <f>IF(A117=A116,K116,0)+I117+J117</f>
        <v/>
      </c>
      <c r="L117">
        <f>SUMIF($A$2:$A$117,A117,$I$2:$I$117)+SUMIF($A$2:$A$117,A117,$J$2:$J$117)</f>
        <v/>
      </c>
      <c r="M117" t="inlineStr">
        <is>
          <t>28 St (6), about 8 min walk</t>
        </is>
      </c>
      <c r="N117" t="inlineStr">
        <is>
          <t>8 St-NYU (R W), about 1 min walk</t>
        </is>
      </c>
      <c r="O117" s="3" t="inlineStr">
        <is>
          <t>RETAILER: Store open; photo of the local or emerging snack and drink set (aisle and shelf tags); note which shelf it is in; any 'local' or 'new' shelf signage</t>
        </is>
      </c>
      <c r="P117" s="10" t="inlineStr"/>
      <c r="Q117" s="10" t="inlineStr"/>
      <c r="R117" s="10" t="inlineStr"/>
      <c r="S117" s="10" t="inlineStr"/>
      <c r="T117" s="10" t="inlineStr"/>
      <c r="U117" s="10" t="inlineStr"/>
      <c r="V117" s="10" t="inlineStr"/>
    </row>
  </sheetData>
  <autoFilter ref="A1:V117"/>
  <dataValidations count="2">
    <dataValidation sqref="P2:P117" showDropDown="0" showInputMessage="0" showErrorMessage="0" allowBlank="1" type="list">
      <formula1>"walk-up,security desk,loading dock,other"</formula1>
    </dataValidation>
    <dataValidation sqref="Q2:Q117 S2:S117 U2:U117"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X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2" customWidth="1" min="3" max="3"/>
    <col width="12" customWidth="1" min="4" max="4"/>
    <col width="14" customWidth="1" min="5" max="5"/>
    <col width="30" customWidth="1" min="6" max="6"/>
    <col width="12" customWidth="1" min="7" max="7"/>
    <col width="12" customWidth="1" min="8" max="8"/>
    <col width="12" customWidth="1" min="9" max="9"/>
    <col width="12" customWidth="1" min="10" max="10"/>
    <col width="14" customWidth="1" min="11" max="11"/>
    <col width="17" customWidth="1" min="12" max="12"/>
    <col width="18" customWidth="1" min="13" max="13"/>
    <col width="23" customWidth="1" min="14" max="14"/>
    <col width="21" customWidth="1" min="15" max="15"/>
    <col width="22" customWidth="1" min="16" max="16"/>
    <col width="20" customWidth="1" min="17" max="17"/>
    <col width="13" customWidth="1" min="18" max="18"/>
    <col width="15" customWidth="1" min="19" max="19"/>
    <col width="15" customWidth="1" min="20" max="20"/>
    <col width="23" customWidth="1" min="21" max="21"/>
    <col width="80" customWidth="1" min="22" max="22"/>
    <col width="13" customWidth="1" min="23" max="23"/>
    <col width="12" customWidth="1" min="24" max="24"/>
    <col width="12" customWidth="1" min="25" max="25"/>
    <col width="16" customWidth="1" min="26" max="26"/>
    <col width="18" customWidth="1" min="27" max="27"/>
    <col width="18" customWidth="1" min="28" max="28"/>
    <col width="25" customWidth="1" min="29" max="29"/>
    <col width="26" customWidth="1" min="30" max="30"/>
    <col width="26" customWidth="1" min="31" max="31"/>
    <col width="17" customWidth="1" min="32" max="32"/>
    <col width="24" customWidth="1" min="33" max="33"/>
    <col width="22" customWidth="1" min="34" max="34"/>
    <col width="19" customWidth="1" min="35" max="35"/>
    <col width="15" customWidth="1" min="36" max="36"/>
    <col width="15" customWidth="1" min="37" max="37"/>
    <col width="24" customWidth="1" min="38" max="38"/>
    <col width="50" customWidth="1" min="39" max="39"/>
    <col width="22" customWidth="1" min="40" max="40"/>
    <col width="21" customWidth="1" min="41" max="41"/>
    <col width="18" customWidth="1" min="42" max="42"/>
    <col width="12" customWidth="1" min="43" max="43"/>
    <col width="17" customWidth="1" min="44" max="44"/>
    <col width="22" customWidth="1" min="45" max="45"/>
    <col width="17" customWidth="1" min="46" max="46"/>
    <col width="45" customWidth="1" min="47" max="47"/>
    <col width="18" customWidth="1" min="48" max="48"/>
    <col width="26" customWidth="1" min="49" max="49"/>
    <col width="21" customWidth="1" min="50" max="50"/>
  </cols>
  <sheetData>
    <row r="1">
      <c r="A1" s="1" t="inlineStr">
        <is>
          <t>company_id</t>
        </is>
      </c>
      <c r="B1" s="1" t="inlineStr">
        <is>
          <t>company_name</t>
        </is>
      </c>
      <c r="C1" s="1" t="inlineStr">
        <is>
          <t>website</t>
        </is>
      </c>
      <c r="D1" s="1" t="inlineStr">
        <is>
          <t>industry</t>
        </is>
      </c>
      <c r="E1" s="1" t="inlineStr">
        <is>
          <t>building_id</t>
        </is>
      </c>
      <c r="F1" s="1" t="inlineStr">
        <is>
          <t>street_address</t>
        </is>
      </c>
      <c r="G1" s="1" t="inlineStr">
        <is>
          <t>floor</t>
        </is>
      </c>
      <c r="H1" s="1" t="inlineStr">
        <is>
          <t>zip</t>
        </is>
      </c>
      <c r="I1" s="1" t="inlineStr">
        <is>
          <t>lat</t>
        </is>
      </c>
      <c r="J1" s="1" t="inlineStr">
        <is>
          <t>lon</t>
        </is>
      </c>
      <c r="K1" s="1" t="inlineStr">
        <is>
          <t>in_boundary</t>
        </is>
      </c>
      <c r="L1" s="1" t="inlineStr">
        <is>
          <t>headcount_band</t>
        </is>
      </c>
      <c r="M1" s="1" t="inlineStr">
        <is>
          <t>headcount_scope</t>
        </is>
      </c>
      <c r="N1" s="1" t="inlineStr">
        <is>
          <t>headcount_source_url</t>
        </is>
      </c>
      <c r="O1" s="1" t="inlineStr">
        <is>
          <t>address_source_url</t>
        </is>
      </c>
      <c r="P1" s="1" t="inlineStr">
        <is>
          <t>address_source_date</t>
        </is>
      </c>
      <c r="Q1" s="1" t="inlineStr">
        <is>
          <t>second_source_url</t>
        </is>
      </c>
      <c r="R1" s="1" t="inlineStr">
        <is>
          <t>confidence</t>
        </is>
      </c>
      <c r="S1" s="1" t="inlineStr">
        <is>
          <t>in_coworking</t>
        </is>
      </c>
      <c r="T1" s="1" t="inlineStr">
        <is>
          <t>coworking_id</t>
        </is>
      </c>
      <c r="U1" s="1" t="inlineStr">
        <is>
          <t>linkedin_company_url</t>
        </is>
      </c>
      <c r="V1" s="1" t="inlineStr">
        <is>
          <t>notes</t>
        </is>
      </c>
      <c r="W1" s="1" t="inlineStr">
        <is>
          <t>found_date</t>
        </is>
      </c>
      <c r="X1" s="1" t="inlineStr">
        <is>
          <t>hq_city</t>
        </is>
      </c>
      <c r="Y1" s="1" t="inlineStr">
        <is>
          <t>hq_in_nyc</t>
        </is>
      </c>
      <c r="Z1" s="1" t="inlineStr">
        <is>
          <t>hq_source_url</t>
        </is>
      </c>
      <c r="AA1" s="1" t="inlineStr">
        <is>
          <t>headcount_count</t>
        </is>
      </c>
      <c r="AB1" s="1" t="inlineStr">
        <is>
          <t>headcount_check</t>
        </is>
      </c>
      <c r="AC1" s="1" t="inlineStr">
        <is>
          <t>headcount_second_count</t>
        </is>
      </c>
      <c r="AD1" s="1" t="inlineStr">
        <is>
          <t>headcount_second_source_url</t>
        </is>
      </c>
      <c r="AE1" s="1" t="inlineStr">
        <is>
          <t>headcount_second_source_date</t>
        </is>
      </c>
      <c r="AF1" s="1" t="inlineStr">
        <is>
          <t>parent_company</t>
        </is>
      </c>
      <c r="AG1" s="1" t="inlineStr">
        <is>
          <t>parent_company_source</t>
        </is>
      </c>
      <c r="AH1" s="1" t="inlineStr">
        <is>
          <t>building_lobby_type</t>
        </is>
      </c>
      <c r="AI1" s="1" t="inlineStr">
        <is>
          <t>candidate_status</t>
        </is>
      </c>
      <c r="AJ1" s="1" t="inlineStr">
        <is>
          <t>lease_status</t>
        </is>
      </c>
      <c r="AK1" s="1" t="inlineStr">
        <is>
          <t>move_in_date</t>
        </is>
      </c>
      <c r="AL1" s="1" t="inlineStr">
        <is>
          <t>headcount_source_date</t>
        </is>
      </c>
      <c r="AM1" s="1" t="inlineStr">
        <is>
          <t>headcount_unknown_reason</t>
        </is>
      </c>
      <c r="AN1" s="1" t="inlineStr">
        <is>
          <t>address_source_type</t>
        </is>
      </c>
      <c r="AO1" s="1" t="inlineStr">
        <is>
          <t>second_source_date</t>
        </is>
      </c>
      <c r="AP1" s="1" t="inlineStr">
        <is>
          <t>coworking_check</t>
        </is>
      </c>
      <c r="AQ1" s="1" t="inlineStr">
        <is>
          <t>bbl</t>
        </is>
      </c>
      <c r="AR1" s="1" t="inlineStr">
        <is>
          <t>blocks_outside</t>
        </is>
      </c>
      <c r="AS1" s="1" t="inlineStr">
        <is>
          <t>leased_sf_mentioned</t>
        </is>
      </c>
      <c r="AT1" s="1" t="inlineStr">
        <is>
          <t>research_slice</t>
        </is>
      </c>
      <c r="AU1" s="1" t="inlineStr">
        <is>
          <t>near_miss_reason</t>
        </is>
      </c>
      <c r="AV1" s="1" t="inlineStr">
        <is>
          <t>near_miss_class</t>
        </is>
      </c>
      <c r="AW1" s="1" t="inlineStr">
        <is>
          <t>company_wide_count_cited</t>
        </is>
      </c>
      <c r="AX1" s="1" t="inlineStr">
        <is>
          <t>nyc_office_may_fit</t>
        </is>
      </c>
    </row>
    <row r="2">
      <c r="A2" t="inlineStr">
        <is>
          <t>B-C-179</t>
        </is>
      </c>
      <c r="B2" t="inlineStr">
        <is>
          <t>Movable Ink</t>
        </is>
      </c>
      <c r="C2" s="2" t="inlineStr">
        <is>
          <t>https://movableink.com</t>
        </is>
      </c>
      <c r="D2" t="inlineStr">
        <is>
          <t>marketing tech (email personalization)</t>
        </is>
      </c>
      <c r="E2" t="inlineStr">
        <is>
          <t>B-B-001</t>
        </is>
      </c>
      <c r="F2" t="inlineStr">
        <is>
          <t>841 Broadway</t>
        </is>
      </c>
      <c r="G2" t="inlineStr">
        <is>
          <t>unknown</t>
        </is>
      </c>
      <c r="H2" t="inlineStr">
        <is>
          <t>10003</t>
        </is>
      </c>
      <c r="I2" t="n">
        <v>40.734305</v>
      </c>
      <c r="J2" t="n">
        <v>-73.99105900000001</v>
      </c>
      <c r="K2" t="inlineStr">
        <is>
          <t>Y</t>
        </is>
      </c>
      <c r="L2" t="inlineStr">
        <is>
          <t>over-500</t>
        </is>
      </c>
      <c r="M2" t="inlineStr">
        <is>
          <t>whole-company</t>
        </is>
      </c>
      <c r="N2" s="2" t="inlineStr">
        <is>
          <t>https://www.builtinnyc.com/company/movable-ink</t>
        </is>
      </c>
      <c r="O2" s="2" t="inlineStr">
        <is>
          <t>https://commercialobserver.com/2024/06/movable-ink-lease-841-broadway/</t>
        </is>
      </c>
      <c r="P2" t="inlineStr">
        <is>
          <t>2024-06</t>
        </is>
      </c>
      <c r="Q2" t="inlineStr"/>
      <c r="R2" t="inlineStr">
        <is>
          <t>low</t>
        </is>
      </c>
      <c r="S2" t="inlineStr">
        <is>
          <t>N</t>
        </is>
      </c>
      <c r="T2" t="inlineStr"/>
      <c r="U2" t="inlineStr"/>
      <c r="V2" s="3" t="inlineStr">
        <is>
          <t>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is>
      </c>
      <c r="W2" t="inlineStr">
        <is>
          <t>2026-10-23</t>
        </is>
      </c>
      <c r="X2" t="inlineStr">
        <is>
          <t>New York</t>
        </is>
      </c>
      <c r="Y2" t="inlineStr">
        <is>
          <t>Y</t>
        </is>
      </c>
      <c r="Z2" t="inlineStr">
        <is>
          <t>https://www.builtinnyc.com/company/movable-ink/offices</t>
        </is>
      </c>
      <c r="AA2" t="inlineStr"/>
      <c r="AB2" t="inlineStr">
        <is>
          <t>single-source</t>
        </is>
      </c>
      <c r="AC2" t="inlineStr"/>
      <c r="AD2" t="inlineStr"/>
      <c r="AE2" t="inlineStr"/>
      <c r="AF2" t="inlineStr">
        <is>
          <t>unknown</t>
        </is>
      </c>
      <c r="AG2" t="inlineStr"/>
      <c r="AH2" t="inlineStr">
        <is>
          <t>security desk</t>
        </is>
      </c>
      <c r="AI2" t="inlineStr">
        <is>
          <t>near-miss-over-500</t>
        </is>
      </c>
      <c r="AJ2" t="inlineStr">
        <is>
          <t>occupancy-unconfirmed</t>
        </is>
      </c>
      <c r="AK2" t="inlineStr"/>
      <c r="AL2" t="inlineStr">
        <is>
          <t>2026-10-23</t>
        </is>
      </c>
      <c r="AM2" s="3" t="inlineStr"/>
      <c r="AN2" t="inlineStr">
        <is>
          <t>leasing-press</t>
        </is>
      </c>
      <c r="AO2" t="inlineStr"/>
      <c r="AP2" t="inlineStr">
        <is>
          <t>no-coworking-in-building</t>
        </is>
      </c>
      <c r="AQ2" t="inlineStr">
        <is>
          <t>1005650015</t>
        </is>
      </c>
      <c r="AR2" t="n">
        <v>0</v>
      </c>
      <c r="AS2" t="inlineStr">
        <is>
          <t>14,000 sf</t>
        </is>
      </c>
      <c r="AT2" t="inlineStr">
        <is>
          <t>S1</t>
        </is>
      </c>
      <c r="AU2" s="3" t="inlineStr">
        <is>
          <t>just-over-500 (501 to 1,000): over 500 company-wide (600; the count quoted in this row's notes)</t>
        </is>
      </c>
      <c r="AV2" t="inlineStr">
        <is>
          <t>just-over-500 (501 to 1,000)</t>
        </is>
      </c>
      <c r="AW2" t="inlineStr">
        <is>
          <t>600</t>
        </is>
      </c>
      <c r="AX2" t="inlineStr">
        <is>
          <t>N</t>
        </is>
      </c>
    </row>
    <row r="3">
      <c r="A3" t="inlineStr">
        <is>
          <t>B-C-180</t>
        </is>
      </c>
      <c r="B3" t="inlineStr">
        <is>
          <t>Robin Hood</t>
        </is>
      </c>
      <c r="C3" s="2" t="inlineStr">
        <is>
          <t>https://www.robinhood.org</t>
        </is>
      </c>
      <c r="D3" t="inlineStr">
        <is>
          <t>nonprofit (anti-poverty philanthropy)</t>
        </is>
      </c>
      <c r="E3" t="inlineStr">
        <is>
          <t>B-B-001</t>
        </is>
      </c>
      <c r="F3" t="inlineStr">
        <is>
          <t>841 Broadway</t>
        </is>
      </c>
      <c r="G3" t="inlineStr">
        <is>
          <t>5-8</t>
        </is>
      </c>
      <c r="H3" t="inlineStr">
        <is>
          <t>10003</t>
        </is>
      </c>
      <c r="I3" t="n">
        <v>40.734305</v>
      </c>
      <c r="J3" t="n">
        <v>-73.99105900000001</v>
      </c>
      <c r="K3" t="inlineStr">
        <is>
          <t>Y</t>
        </is>
      </c>
      <c r="L3" t="inlineStr">
        <is>
          <t>over-500</t>
        </is>
      </c>
      <c r="M3" t="inlineStr">
        <is>
          <t>whole-company</t>
        </is>
      </c>
      <c r="N3" s="2" t="inlineStr">
        <is>
          <t>https://www.builtinnyc.com/company/robin-hood</t>
        </is>
      </c>
      <c r="O3" s="2" t="inlineStr">
        <is>
          <t>https://rebusinessonline.com/robin-hood-signs-53000-sf-office-lease-at-841-broadway-in-manhattan/</t>
        </is>
      </c>
      <c r="P3" t="inlineStr">
        <is>
          <t>2026-06-22</t>
        </is>
      </c>
      <c r="Q3" s="2" t="inlineStr">
        <is>
          <t>https://commercialobserver.com/2026/04/nonprofit-robin-hood-lease-841-broadway/</t>
        </is>
      </c>
      <c r="R3" t="inlineStr">
        <is>
          <t>medium</t>
        </is>
      </c>
      <c r="S3" t="inlineStr">
        <is>
          <t>N</t>
        </is>
      </c>
      <c r="T3" t="inlineStr"/>
      <c r="U3" t="inlineStr"/>
      <c r="V3" s="3" t="inlineStr">
        <is>
          <t>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is>
      </c>
      <c r="W3" t="inlineStr">
        <is>
          <t>2026-10-23</t>
        </is>
      </c>
      <c r="X3" t="inlineStr">
        <is>
          <t>New York</t>
        </is>
      </c>
      <c r="Y3" t="inlineStr">
        <is>
          <t>Y</t>
        </is>
      </c>
      <c r="Z3" t="inlineStr">
        <is>
          <t>https://www.builtinnyc.com/company/robin-hood/offices</t>
        </is>
      </c>
      <c r="AA3" t="inlineStr"/>
      <c r="AB3" t="inlineStr">
        <is>
          <t>single-source</t>
        </is>
      </c>
      <c r="AC3" t="inlineStr"/>
      <c r="AD3" t="inlineStr"/>
      <c r="AE3" t="inlineStr"/>
      <c r="AF3" t="inlineStr">
        <is>
          <t>unknown</t>
        </is>
      </c>
      <c r="AG3" t="inlineStr"/>
      <c r="AH3" t="inlineStr">
        <is>
          <t>security desk</t>
        </is>
      </c>
      <c r="AI3" t="inlineStr">
        <is>
          <t>near-miss-over-500</t>
        </is>
      </c>
      <c r="AJ3" t="inlineStr">
        <is>
          <t>signed-not-occupied</t>
        </is>
      </c>
      <c r="AK3" t="inlineStr">
        <is>
          <t>unknown</t>
        </is>
      </c>
      <c r="AL3" t="inlineStr">
        <is>
          <t>2026-10-23</t>
        </is>
      </c>
      <c r="AM3" s="3" t="inlineStr"/>
      <c r="AN3" t="inlineStr">
        <is>
          <t>leasing-press</t>
        </is>
      </c>
      <c r="AO3" t="inlineStr">
        <is>
          <t>2026-04-08</t>
        </is>
      </c>
      <c r="AP3" t="inlineStr">
        <is>
          <t>no-coworking-in-building</t>
        </is>
      </c>
      <c r="AQ3" t="inlineStr">
        <is>
          <t>1005650015</t>
        </is>
      </c>
      <c r="AR3" t="n">
        <v>0</v>
      </c>
      <c r="AS3" t="inlineStr">
        <is>
          <t>53,000 sf</t>
        </is>
      </c>
      <c r="AT3" t="inlineStr">
        <is>
          <t>S1</t>
        </is>
      </c>
      <c r="AU3" s="3" t="inlineStr">
        <is>
          <t>just-over-500 (501 to 1,000): over 500 company-wide (659; the count quoted in this row's notes)</t>
        </is>
      </c>
      <c r="AV3" t="inlineStr">
        <is>
          <t>just-over-500 (501 to 1,000)</t>
        </is>
      </c>
      <c r="AW3" t="inlineStr">
        <is>
          <t>659</t>
        </is>
      </c>
      <c r="AX3" t="inlineStr">
        <is>
          <t>N</t>
        </is>
      </c>
    </row>
    <row r="4">
      <c r="A4" t="inlineStr">
        <is>
          <t>B-C-005</t>
        </is>
      </c>
      <c r="B4" t="inlineStr">
        <is>
          <t>Nourish</t>
        </is>
      </c>
      <c r="C4" s="2" t="inlineStr">
        <is>
          <t>https://www.usenourish.com</t>
        </is>
      </c>
      <c r="D4" t="inlineStr">
        <is>
          <t>health tech (dietitian telehealth)</t>
        </is>
      </c>
      <c r="E4" t="inlineStr">
        <is>
          <t>B-B-001</t>
        </is>
      </c>
      <c r="F4" t="inlineStr">
        <is>
          <t>853 Broadway</t>
        </is>
      </c>
      <c r="G4" t="inlineStr">
        <is>
          <t>15</t>
        </is>
      </c>
      <c r="H4" t="inlineStr">
        <is>
          <t>10003</t>
        </is>
      </c>
      <c r="I4" t="n">
        <v>40.734626</v>
      </c>
      <c r="J4" t="n">
        <v>-73.9911</v>
      </c>
      <c r="K4" t="inlineStr">
        <is>
          <t>Y</t>
        </is>
      </c>
      <c r="L4" t="inlineStr">
        <is>
          <t>over-500</t>
        </is>
      </c>
      <c r="M4" t="inlineStr">
        <is>
          <t>whole-company</t>
        </is>
      </c>
      <c r="N4" s="2" t="inlineStr">
        <is>
          <t>https://www.reveliolabs.com/companies/nourish/employees</t>
        </is>
      </c>
      <c r="O4" s="2" t="inlineStr">
        <is>
          <t>https://nyrej.com/print/54591</t>
        </is>
      </c>
      <c r="P4" t="inlineStr">
        <is>
          <t>2025-04-08</t>
        </is>
      </c>
      <c r="Q4" s="2" t="inlineStr">
        <is>
          <t>https://commercialobserver.com/2025/02/nourish-lease-853-broadway/</t>
        </is>
      </c>
      <c r="R4" t="inlineStr">
        <is>
          <t>high</t>
        </is>
      </c>
      <c r="S4" t="inlineStr">
        <is>
          <t>N</t>
        </is>
      </c>
      <c r="T4" t="inlineStr"/>
      <c r="U4" t="inlineStr"/>
      <c r="V4" s="3" t="inlineStr">
        <is>
          <t>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is>
      </c>
      <c r="W4" t="inlineStr">
        <is>
          <t>2026-10-23</t>
        </is>
      </c>
      <c r="X4" t="inlineStr">
        <is>
          <t>New York</t>
        </is>
      </c>
      <c r="Y4" t="inlineStr">
        <is>
          <t>Y</t>
        </is>
      </c>
      <c r="Z4" t="inlineStr">
        <is>
          <t>https://www.builtinnyc.com/company/nourish/offices</t>
        </is>
      </c>
      <c r="AA4" t="inlineStr">
        <is>
          <t>4082</t>
        </is>
      </c>
      <c r="AB4" t="inlineStr">
        <is>
          <t>over-500-second-source</t>
        </is>
      </c>
      <c r="AC4" t="inlineStr">
        <is>
          <t>315</t>
        </is>
      </c>
      <c r="AD4" t="inlineStr">
        <is>
          <t>https://www.builtinnyc.com/company/nourish</t>
        </is>
      </c>
      <c r="AE4" t="inlineStr">
        <is>
          <t>2026-10-23</t>
        </is>
      </c>
      <c r="AF4" t="inlineStr">
        <is>
          <t>unknown</t>
        </is>
      </c>
      <c r="AG4" t="inlineStr"/>
      <c r="AH4" t="inlineStr">
        <is>
          <t>security desk</t>
        </is>
      </c>
      <c r="AI4" t="inlineStr">
        <is>
          <t>near-miss-over-500</t>
        </is>
      </c>
      <c r="AJ4" t="inlineStr">
        <is>
          <t>occupied</t>
        </is>
      </c>
      <c r="AK4" t="inlineStr"/>
      <c r="AL4" t="inlineStr">
        <is>
          <t>2026-08-31</t>
        </is>
      </c>
      <c r="AM4" s="3" t="inlineStr"/>
      <c r="AN4" t="inlineStr">
        <is>
          <t>leasing-press</t>
        </is>
      </c>
      <c r="AO4" t="inlineStr">
        <is>
          <t>2025-02</t>
        </is>
      </c>
      <c r="AP4" t="inlineStr">
        <is>
          <t>no-coworking-in-building</t>
        </is>
      </c>
      <c r="AQ4" t="inlineStr">
        <is>
          <t>1005650015</t>
        </is>
      </c>
      <c r="AR4" t="n">
        <v>0</v>
      </c>
      <c r="AS4" t="inlineStr">
        <is>
          <t>7,563 sf</t>
        </is>
      </c>
      <c r="AT4" t="inlineStr">
        <is>
          <t>S1</t>
        </is>
      </c>
      <c r="AU4" s="3" t="inlineStr">
        <is>
          <t>over-1,000 (1,001 to 4,999): over 500 company-wide (4,082; Revelio Labs page in headcount_source_url, as of March 2026, added at review round 2); the NYC office alone may fit the 40-250 band, founder to confirm</t>
        </is>
      </c>
      <c r="AV4" t="inlineStr">
        <is>
          <t>over-1,000 (1,001 to 4,999)</t>
        </is>
      </c>
      <c r="AW4" t="inlineStr">
        <is>
          <t>4082</t>
        </is>
      </c>
      <c r="AX4" t="inlineStr">
        <is>
          <t>Y</t>
        </is>
      </c>
    </row>
    <row r="5">
      <c r="A5" t="inlineStr">
        <is>
          <t>B-C-010</t>
        </is>
      </c>
      <c r="B5" t="inlineStr">
        <is>
          <t>GameChanger</t>
        </is>
      </c>
      <c r="C5" s="2" t="inlineStr">
        <is>
          <t>https://gc.com</t>
        </is>
      </c>
      <c r="D5" t="inlineStr">
        <is>
          <t>sports tech (youth sports streaming and scorekeeping)</t>
        </is>
      </c>
      <c r="E5" t="inlineStr">
        <is>
          <t>B-B-002</t>
        </is>
      </c>
      <c r="F5" t="inlineStr">
        <is>
          <t>124 East 14th Street</t>
        </is>
      </c>
      <c r="G5" t="inlineStr">
        <is>
          <t>17</t>
        </is>
      </c>
      <c r="H5" t="inlineStr">
        <is>
          <t>10003</t>
        </is>
      </c>
      <c r="I5" t="n">
        <v>40.733674</v>
      </c>
      <c r="J5" t="n">
        <v>-73.988766</v>
      </c>
      <c r="K5" t="inlineStr">
        <is>
          <t>Y</t>
        </is>
      </c>
      <c r="L5" t="inlineStr">
        <is>
          <t>over-500</t>
        </is>
      </c>
      <c r="M5" t="inlineStr">
        <is>
          <t>whole-company</t>
        </is>
      </c>
      <c r="N5" s="2" t="inlineStr">
        <is>
          <t>https://www.reveliolabs.com/companies/gamechanger-media/employees</t>
        </is>
      </c>
      <c r="O5" s="2" t="inlineStr">
        <is>
          <t>https://gc.com/about</t>
        </is>
      </c>
      <c r="P5" t="inlineStr">
        <is>
          <t>2026-10-24</t>
        </is>
      </c>
      <c r="Q5" s="2" t="inlineStr">
        <is>
          <t>https://commercialobserver.com/2024/08/senator-investment-group-lease-zero-irving/</t>
        </is>
      </c>
      <c r="R5" t="inlineStr">
        <is>
          <t>high</t>
        </is>
      </c>
      <c r="S5" t="inlineStr">
        <is>
          <t>N</t>
        </is>
      </c>
      <c r="T5" t="inlineStr"/>
      <c r="U5" t="inlineStr"/>
      <c r="V5" s="3" t="inlineStr">
        <is>
          <t>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is>
      </c>
      <c r="W5" t="inlineStr">
        <is>
          <t>2026-10-23</t>
        </is>
      </c>
      <c r="X5" t="inlineStr">
        <is>
          <t>New York</t>
        </is>
      </c>
      <c r="Y5" t="inlineStr">
        <is>
          <t>Y</t>
        </is>
      </c>
      <c r="Z5" t="inlineStr">
        <is>
          <t>https://www.builtinnyc.com/company/gamechanger/offices</t>
        </is>
      </c>
      <c r="AA5" t="inlineStr">
        <is>
          <t>667</t>
        </is>
      </c>
      <c r="AB5" t="inlineStr">
        <is>
          <t>over-500-second-source</t>
        </is>
      </c>
      <c r="AC5" t="inlineStr">
        <is>
          <t>260</t>
        </is>
      </c>
      <c r="AD5" t="inlineStr">
        <is>
          <t>https://www.builtinnyc.com/company/gamechanger</t>
        </is>
      </c>
      <c r="AE5" t="inlineStr">
        <is>
          <t>2026-10-24</t>
        </is>
      </c>
      <c r="AF5" t="inlineStr">
        <is>
          <t>Dick's Sporting Goods</t>
        </is>
      </c>
      <c r="AG5" t="inlineStr">
        <is>
          <t>row notes (CO 2022-12, 2024-08: Dick's leased the space for GameChanger)</t>
        </is>
      </c>
      <c r="AH5" t="inlineStr">
        <is>
          <t>unknown</t>
        </is>
      </c>
      <c r="AI5" t="inlineStr">
        <is>
          <t>near-miss-over-500</t>
        </is>
      </c>
      <c r="AJ5" t="inlineStr">
        <is>
          <t>occupied</t>
        </is>
      </c>
      <c r="AK5" t="inlineStr"/>
      <c r="AL5" t="inlineStr">
        <is>
          <t>2026-08-31</t>
        </is>
      </c>
      <c r="AM5" s="3" t="inlineStr"/>
      <c r="AN5" t="inlineStr">
        <is>
          <t>company-site</t>
        </is>
      </c>
      <c r="AO5" t="inlineStr">
        <is>
          <t>2024-08</t>
        </is>
      </c>
      <c r="AP5" t="inlineStr">
        <is>
          <t>direct-lease-documented</t>
        </is>
      </c>
      <c r="AQ5" t="inlineStr">
        <is>
          <t>1005590016</t>
        </is>
      </c>
      <c r="AR5" t="n">
        <v>0</v>
      </c>
      <c r="AS5" t="inlineStr">
        <is>
          <t>25,600 sf</t>
        </is>
      </c>
      <c r="AT5" t="inlineStr">
        <is>
          <t>S1</t>
        </is>
      </c>
      <c r="AU5" s="3" t="inlineStr">
        <is>
          <t>just-over-500 (501 to 1,000): over 500 company-wide (667; Revelio Labs page in headcount_source_url, as of March 2026, added at review round 2)</t>
        </is>
      </c>
      <c r="AV5" t="inlineStr">
        <is>
          <t>just-over-500 (501 to 1,000)</t>
        </is>
      </c>
      <c r="AW5" t="inlineStr">
        <is>
          <t>667</t>
        </is>
      </c>
      <c r="AX5" t="inlineStr">
        <is>
          <t>N</t>
        </is>
      </c>
    </row>
    <row r="6">
      <c r="A6" t="inlineStr">
        <is>
          <t>B-C-181</t>
        </is>
      </c>
      <c r="B6" t="inlineStr">
        <is>
          <t>Con Edison</t>
        </is>
      </c>
      <c r="C6" s="2" t="inlineStr">
        <is>
          <t>https://www.coned.com</t>
        </is>
      </c>
      <c r="D6" t="inlineStr">
        <is>
          <t>energy utility (headquarters)</t>
        </is>
      </c>
      <c r="E6" t="inlineStr"/>
      <c r="F6" t="inlineStr">
        <is>
          <t>4 Irving Place</t>
        </is>
      </c>
      <c r="G6" t="inlineStr">
        <is>
          <t>unknown</t>
        </is>
      </c>
      <c r="H6" t="inlineStr">
        <is>
          <t>10003</t>
        </is>
      </c>
      <c r="I6" t="n">
        <v>40.734278</v>
      </c>
      <c r="J6" t="n">
        <v>-73.988375</v>
      </c>
      <c r="K6" t="inlineStr">
        <is>
          <t>Y</t>
        </is>
      </c>
      <c r="L6" t="inlineStr">
        <is>
          <t>over-500</t>
        </is>
      </c>
      <c r="M6" t="inlineStr">
        <is>
          <t>whole-company</t>
        </is>
      </c>
      <c r="N6" s="2" t="inlineStr">
        <is>
          <t>https://en.wikipedia.org/wiki/Consolidated_Edison</t>
        </is>
      </c>
      <c r="O6" s="2" t="inlineStr">
        <is>
          <t>https://en.wikipedia.org/wiki/Consolidated_Edison_Building</t>
        </is>
      </c>
      <c r="P6" t="inlineStr">
        <is>
          <t>2026-10-23</t>
        </is>
      </c>
      <c r="Q6" t="inlineStr"/>
      <c r="R6" t="inlineStr">
        <is>
          <t>medium</t>
        </is>
      </c>
      <c r="S6" t="inlineStr">
        <is>
          <t>N</t>
        </is>
      </c>
      <c r="T6" t="inlineStr"/>
      <c r="U6" t="inlineStr"/>
      <c r="V6" s="3" t="inlineStr">
        <is>
          <t>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is>
      </c>
      <c r="W6" t="inlineStr">
        <is>
          <t>2026-10-23</t>
        </is>
      </c>
      <c r="X6" t="inlineStr">
        <is>
          <t>unknown</t>
        </is>
      </c>
      <c r="Y6" t="inlineStr">
        <is>
          <t>unknown</t>
        </is>
      </c>
      <c r="Z6" t="inlineStr"/>
      <c r="AA6" t="inlineStr"/>
      <c r="AB6" t="inlineStr">
        <is>
          <t>single-source</t>
        </is>
      </c>
      <c r="AC6" t="inlineStr"/>
      <c r="AD6" t="inlineStr"/>
      <c r="AE6" t="inlineStr"/>
      <c r="AF6" t="inlineStr">
        <is>
          <t>unknown</t>
        </is>
      </c>
      <c r="AG6" t="inlineStr"/>
      <c r="AH6" t="inlineStr">
        <is>
          <t>unknown</t>
        </is>
      </c>
      <c r="AI6" t="inlineStr">
        <is>
          <t>near-miss-over-500</t>
        </is>
      </c>
      <c r="AJ6" t="inlineStr">
        <is>
          <t>occupied</t>
        </is>
      </c>
      <c r="AK6" t="inlineStr"/>
      <c r="AL6" t="inlineStr">
        <is>
          <t>2026-10-23</t>
        </is>
      </c>
      <c r="AM6" s="3" t="inlineStr"/>
      <c r="AN6" t="inlineStr">
        <is>
          <t>wikipedia</t>
        </is>
      </c>
      <c r="AO6" t="inlineStr"/>
      <c r="AP6" t="inlineStr">
        <is>
          <t>no-coworking-in-building</t>
        </is>
      </c>
      <c r="AQ6" t="inlineStr">
        <is>
          <t>1008700024</t>
        </is>
      </c>
      <c r="AR6" t="n">
        <v>0</v>
      </c>
      <c r="AS6" t="inlineStr"/>
      <c r="AT6" t="inlineStr">
        <is>
          <t>S1</t>
        </is>
      </c>
      <c r="AU6" s="3" t="inlineStr">
        <is>
          <t>not-near (5,000 or more): over 500 company-wide (15,097; the count quoted in this row's notes)</t>
        </is>
      </c>
      <c r="AV6" t="inlineStr">
        <is>
          <t>not-near (5,000 or more)</t>
        </is>
      </c>
      <c r="AW6" t="inlineStr">
        <is>
          <t>15097</t>
        </is>
      </c>
      <c r="AX6" t="inlineStr">
        <is>
          <t>N</t>
        </is>
      </c>
    </row>
    <row r="7">
      <c r="A7" t="inlineStr">
        <is>
          <t>B-C-182</t>
        </is>
      </c>
      <c r="B7" t="inlineStr">
        <is>
          <t>Adyen</t>
        </is>
      </c>
      <c r="C7" s="2" t="inlineStr">
        <is>
          <t>https://www.adyen.com</t>
        </is>
      </c>
      <c r="D7" t="inlineStr">
        <is>
          <t>payments</t>
        </is>
      </c>
      <c r="E7" t="inlineStr">
        <is>
          <t>B-B-004</t>
        </is>
      </c>
      <c r="F7" t="inlineStr">
        <is>
          <t>71 Fifth Avenue</t>
        </is>
      </c>
      <c r="G7" t="inlineStr">
        <is>
          <t>11</t>
        </is>
      </c>
      <c r="H7" t="inlineStr">
        <is>
          <t>10003</t>
        </is>
      </c>
      <c r="I7" t="n">
        <v>40.736419</v>
      </c>
      <c r="J7" t="n">
        <v>-73.99309599999999</v>
      </c>
      <c r="K7" t="inlineStr">
        <is>
          <t>Y</t>
        </is>
      </c>
      <c r="L7" t="inlineStr">
        <is>
          <t>over-500</t>
        </is>
      </c>
      <c r="M7" t="inlineStr">
        <is>
          <t>whole-company</t>
        </is>
      </c>
      <c r="N7" s="2" t="inlineStr">
        <is>
          <t>https://www.builtinnyc.com/company/adyen</t>
        </is>
      </c>
      <c r="O7" s="2" t="inlineStr">
        <is>
          <t>https://www.adyen.com/offices</t>
        </is>
      </c>
      <c r="P7" t="inlineStr">
        <is>
          <t>2026-10-23</t>
        </is>
      </c>
      <c r="Q7" s="2" t="inlineStr">
        <is>
          <t>https://www.connectcre.com/stories/ayden-doubles-footprint-of-union-square-offices/</t>
        </is>
      </c>
      <c r="R7" t="inlineStr">
        <is>
          <t>high</t>
        </is>
      </c>
      <c r="S7" t="inlineStr">
        <is>
          <t>N</t>
        </is>
      </c>
      <c r="T7" t="inlineStr"/>
      <c r="U7" t="inlineStr"/>
      <c r="V7" s="3" t="inlineStr">
        <is>
          <t>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is>
      </c>
      <c r="W7" t="inlineStr">
        <is>
          <t>2026-10-23</t>
        </is>
      </c>
      <c r="X7" t="inlineStr">
        <is>
          <t>unknown</t>
        </is>
      </c>
      <c r="Y7" t="inlineStr">
        <is>
          <t>unknown</t>
        </is>
      </c>
      <c r="Z7" t="inlineStr">
        <is>
          <t>https://www.builtinnyc.com/company/adyen/offices</t>
        </is>
      </c>
      <c r="AA7" t="inlineStr"/>
      <c r="AB7" t="inlineStr">
        <is>
          <t>single-source</t>
        </is>
      </c>
      <c r="AC7" t="inlineStr"/>
      <c r="AD7" t="inlineStr"/>
      <c r="AE7" t="inlineStr"/>
      <c r="AF7" t="inlineStr">
        <is>
          <t>unknown</t>
        </is>
      </c>
      <c r="AG7" t="inlineStr"/>
      <c r="AH7" t="inlineStr">
        <is>
          <t>unknown</t>
        </is>
      </c>
      <c r="AI7" t="inlineStr">
        <is>
          <t>near-miss-over-500</t>
        </is>
      </c>
      <c r="AJ7" t="inlineStr">
        <is>
          <t>moving-out</t>
        </is>
      </c>
      <c r="AK7" t="inlineStr">
        <is>
          <t>unknown</t>
        </is>
      </c>
      <c r="AL7" t="inlineStr">
        <is>
          <t>2026-10-23</t>
        </is>
      </c>
      <c r="AM7" s="3" t="inlineStr"/>
      <c r="AN7" t="inlineStr">
        <is>
          <t>company-site</t>
        </is>
      </c>
      <c r="AO7" t="inlineStr">
        <is>
          <t>2021-09-02</t>
        </is>
      </c>
      <c r="AP7" t="inlineStr">
        <is>
          <t>no-coworking-in-building</t>
        </is>
      </c>
      <c r="AQ7" t="inlineStr">
        <is>
          <t>1008420042</t>
        </is>
      </c>
      <c r="AR7" t="n">
        <v>0</v>
      </c>
      <c r="AS7" t="inlineStr">
        <is>
          <t>30,415 sf; 90,000 sf</t>
        </is>
      </c>
      <c r="AT7" t="inlineStr">
        <is>
          <t>S1</t>
        </is>
      </c>
      <c r="AU7" s="3" t="inlineStr">
        <is>
          <t>over-1,000 (1,001 to 4,999): over 500 company-wide (4,771; the count quoted in this row's notes)</t>
        </is>
      </c>
      <c r="AV7" t="inlineStr">
        <is>
          <t>over-1,000 (1,001 to 4,999)</t>
        </is>
      </c>
      <c r="AW7" t="inlineStr">
        <is>
          <t>4771</t>
        </is>
      </c>
      <c r="AX7" t="inlineStr">
        <is>
          <t>N</t>
        </is>
      </c>
    </row>
    <row r="8">
      <c r="A8" t="inlineStr">
        <is>
          <t>B-C-183</t>
        </is>
      </c>
      <c r="B8" t="inlineStr">
        <is>
          <t>Capgemini America</t>
        </is>
      </c>
      <c r="C8" s="2" t="inlineStr">
        <is>
          <t>https://www.capgemini.com/us-en/</t>
        </is>
      </c>
      <c r="D8" t="inlineStr">
        <is>
          <t>IT consulting</t>
        </is>
      </c>
      <c r="E8" t="inlineStr">
        <is>
          <t>B-B-007</t>
        </is>
      </c>
      <c r="F8" t="inlineStr">
        <is>
          <t>79 Fifth Avenue</t>
        </is>
      </c>
      <c r="G8" t="inlineStr">
        <is>
          <t>unknown</t>
        </is>
      </c>
      <c r="H8" t="inlineStr">
        <is>
          <t>10003</t>
        </is>
      </c>
      <c r="I8" t="n">
        <v>40.737054</v>
      </c>
      <c r="J8" t="n">
        <v>-73.99263500000001</v>
      </c>
      <c r="K8" t="inlineStr">
        <is>
          <t>Y</t>
        </is>
      </c>
      <c r="L8" t="inlineStr">
        <is>
          <t>over-500</t>
        </is>
      </c>
      <c r="M8" t="inlineStr">
        <is>
          <t>whole-company</t>
        </is>
      </c>
      <c r="N8" s="2" t="inlineStr">
        <is>
          <t>https://www.builtinnyc.com/company/capgemini</t>
        </is>
      </c>
      <c r="O8" s="2" t="inlineStr">
        <is>
          <t>https://commercialobserver.com/2026/08/thinking-machines-lab-79-fifth-avenue-lease/</t>
        </is>
      </c>
      <c r="P8" t="inlineStr">
        <is>
          <t>2026-08-26</t>
        </is>
      </c>
      <c r="Q8" t="inlineStr"/>
      <c r="R8" t="inlineStr">
        <is>
          <t>low</t>
        </is>
      </c>
      <c r="S8" t="inlineStr">
        <is>
          <t>N</t>
        </is>
      </c>
      <c r="T8" t="inlineStr"/>
      <c r="U8" t="inlineStr"/>
      <c r="V8" s="3" t="inlineStr">
        <is>
          <t>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is>
      </c>
      <c r="W8" t="inlineStr">
        <is>
          <t>2026-10-23</t>
        </is>
      </c>
      <c r="X8" t="inlineStr">
        <is>
          <t>unknown</t>
        </is>
      </c>
      <c r="Y8" t="inlineStr">
        <is>
          <t>unknown</t>
        </is>
      </c>
      <c r="Z8" t="inlineStr">
        <is>
          <t>https://www.builtinnyc.com/company/capgemini/offices</t>
        </is>
      </c>
      <c r="AA8" t="inlineStr"/>
      <c r="AB8" t="inlineStr">
        <is>
          <t>single-source</t>
        </is>
      </c>
      <c r="AC8" t="inlineStr"/>
      <c r="AD8" t="inlineStr"/>
      <c r="AE8" t="inlineStr"/>
      <c r="AF8" t="inlineStr">
        <is>
          <t>unknown</t>
        </is>
      </c>
      <c r="AG8" t="inlineStr"/>
      <c r="AH8" t="inlineStr">
        <is>
          <t>unknown</t>
        </is>
      </c>
      <c r="AI8" t="inlineStr">
        <is>
          <t>near-miss-over-500</t>
        </is>
      </c>
      <c r="AJ8" t="inlineStr">
        <is>
          <t>moving-out</t>
        </is>
      </c>
      <c r="AK8" t="inlineStr">
        <is>
          <t>unknown</t>
        </is>
      </c>
      <c r="AL8" t="inlineStr">
        <is>
          <t>2026-10-23</t>
        </is>
      </c>
      <c r="AM8" s="3" t="inlineStr"/>
      <c r="AN8" t="inlineStr">
        <is>
          <t>leasing-press</t>
        </is>
      </c>
      <c r="AO8" t="inlineStr"/>
      <c r="AP8" t="inlineStr">
        <is>
          <t>no-coworking-in-building</t>
        </is>
      </c>
      <c r="AQ8" t="inlineStr">
        <is>
          <t>1008430045</t>
        </is>
      </c>
      <c r="AR8" t="n">
        <v>0</v>
      </c>
      <c r="AS8" t="inlineStr">
        <is>
          <t>43,000 sf</t>
        </is>
      </c>
      <c r="AT8" t="inlineStr">
        <is>
          <t>S1</t>
        </is>
      </c>
      <c r="AU8" s="3" t="inlineStr">
        <is>
          <t>not-near (5,000 or more): over 500 company-wide (340,000; the count quoted in this row's notes)</t>
        </is>
      </c>
      <c r="AV8" t="inlineStr">
        <is>
          <t>not-near (5,000 or more)</t>
        </is>
      </c>
      <c r="AW8" t="inlineStr">
        <is>
          <t>340000</t>
        </is>
      </c>
      <c r="AX8" t="inlineStr">
        <is>
          <t>N</t>
        </is>
      </c>
    </row>
    <row r="9">
      <c r="A9" t="inlineStr">
        <is>
          <t>B-C-184</t>
        </is>
      </c>
      <c r="B9" t="inlineStr">
        <is>
          <t>Hulu</t>
        </is>
      </c>
      <c r="C9" s="2" t="inlineStr">
        <is>
          <t>https://www.hulu.com</t>
        </is>
      </c>
      <c r="D9" t="inlineStr">
        <is>
          <t>streaming media</t>
        </is>
      </c>
      <c r="E9" t="inlineStr">
        <is>
          <t>B-B-007</t>
        </is>
      </c>
      <c r="F9" t="inlineStr">
        <is>
          <t>79 Fifth Avenue</t>
        </is>
      </c>
      <c r="G9" t="inlineStr">
        <is>
          <t>unknown</t>
        </is>
      </c>
      <c r="H9" t="inlineStr">
        <is>
          <t>10003</t>
        </is>
      </c>
      <c r="I9" t="n">
        <v>40.737054</v>
      </c>
      <c r="J9" t="n">
        <v>-73.99263500000001</v>
      </c>
      <c r="K9" t="inlineStr">
        <is>
          <t>Y</t>
        </is>
      </c>
      <c r="L9" t="inlineStr">
        <is>
          <t>over-500</t>
        </is>
      </c>
      <c r="M9" t="inlineStr">
        <is>
          <t>whole-company</t>
        </is>
      </c>
      <c r="N9" s="2" t="inlineStr">
        <is>
          <t>https://www.builtinnyc.com/company/hulu</t>
        </is>
      </c>
      <c r="O9" s="2" t="inlineStr">
        <is>
          <t>https://commercialobserver.com/2026/08/thinking-machines-lab-79-fifth-avenue-lease/</t>
        </is>
      </c>
      <c r="P9" t="inlineStr">
        <is>
          <t>2026-08-26</t>
        </is>
      </c>
      <c r="Q9" t="inlineStr"/>
      <c r="R9" t="inlineStr">
        <is>
          <t>medium</t>
        </is>
      </c>
      <c r="S9" t="inlineStr">
        <is>
          <t>N</t>
        </is>
      </c>
      <c r="T9" t="inlineStr"/>
      <c r="U9" t="inlineStr"/>
      <c r="V9" s="3" t="inlineStr">
        <is>
          <t>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is>
      </c>
      <c r="W9" t="inlineStr">
        <is>
          <t>2026-10-23</t>
        </is>
      </c>
      <c r="X9" t="inlineStr">
        <is>
          <t>Santa Monica</t>
        </is>
      </c>
      <c r="Y9" t="inlineStr">
        <is>
          <t>N</t>
        </is>
      </c>
      <c r="Z9" t="inlineStr">
        <is>
          <t>https://www.builtinnyc.com/company/hulu/offices</t>
        </is>
      </c>
      <c r="AA9" t="inlineStr"/>
      <c r="AB9" t="inlineStr">
        <is>
          <t>single-source</t>
        </is>
      </c>
      <c r="AC9" t="inlineStr"/>
      <c r="AD9" t="inlineStr"/>
      <c r="AE9" t="inlineStr"/>
      <c r="AF9" t="inlineStr">
        <is>
          <t>Disney</t>
        </is>
      </c>
      <c r="AG9" t="inlineStr">
        <is>
          <t>row notes</t>
        </is>
      </c>
      <c r="AH9" t="inlineStr">
        <is>
          <t>unknown</t>
        </is>
      </c>
      <c r="AI9" t="inlineStr">
        <is>
          <t>near-miss-over-500</t>
        </is>
      </c>
      <c r="AJ9" t="inlineStr">
        <is>
          <t>occupied</t>
        </is>
      </c>
      <c r="AK9" t="inlineStr"/>
      <c r="AL9" t="inlineStr">
        <is>
          <t>2026-10-23</t>
        </is>
      </c>
      <c r="AM9" s="3" t="inlineStr"/>
      <c r="AN9" t="inlineStr">
        <is>
          <t>leasing-press</t>
        </is>
      </c>
      <c r="AO9" t="inlineStr"/>
      <c r="AP9" t="inlineStr">
        <is>
          <t>no-coworking-in-building</t>
        </is>
      </c>
      <c r="AQ9" t="inlineStr">
        <is>
          <t>1008430045</t>
        </is>
      </c>
      <c r="AR9" t="n">
        <v>0</v>
      </c>
      <c r="AS9" t="inlineStr"/>
      <c r="AT9" t="inlineStr">
        <is>
          <t>S1</t>
        </is>
      </c>
      <c r="AU9" s="3" t="inlineStr">
        <is>
          <t>over-1,000 (1,001 to 4,999): over 500 company-wide (2,844; the count quoted in this row's notes)</t>
        </is>
      </c>
      <c r="AV9" t="inlineStr">
        <is>
          <t>over-1,000 (1,001 to 4,999)</t>
        </is>
      </c>
      <c r="AW9" t="inlineStr">
        <is>
          <t>2844</t>
        </is>
      </c>
      <c r="AX9" t="inlineStr">
        <is>
          <t>N</t>
        </is>
      </c>
    </row>
    <row r="10">
      <c r="A10" t="inlineStr">
        <is>
          <t>B-C-187</t>
        </is>
      </c>
      <c r="B10" t="inlineStr">
        <is>
          <t>Acxiom</t>
        </is>
      </c>
      <c r="C10" s="2" t="inlineStr">
        <is>
          <t>https://www.acxiom.com</t>
        </is>
      </c>
      <c r="D10" t="inlineStr">
        <is>
          <t>marketing data and technology</t>
        </is>
      </c>
      <c r="E10" t="inlineStr">
        <is>
          <t>B-B-009</t>
        </is>
      </c>
      <c r="F10" t="inlineStr">
        <is>
          <t>114 Fifth Avenue</t>
        </is>
      </c>
      <c r="G10" t="inlineStr">
        <is>
          <t>unknown</t>
        </is>
      </c>
      <c r="H10" t="inlineStr">
        <is>
          <t>10011</t>
        </is>
      </c>
      <c r="I10" t="n">
        <v>40.737788</v>
      </c>
      <c r="J10" t="n">
        <v>-73.992555</v>
      </c>
      <c r="K10" t="inlineStr">
        <is>
          <t>Y</t>
        </is>
      </c>
      <c r="L10" t="inlineStr">
        <is>
          <t>over-500</t>
        </is>
      </c>
      <c r="M10" t="inlineStr">
        <is>
          <t>whole-company</t>
        </is>
      </c>
      <c r="N10" s="2" t="inlineStr">
        <is>
          <t>https://www.builtinnyc.com/company/acxiom</t>
        </is>
      </c>
      <c r="O10" s="2" t="inlineStr">
        <is>
          <t>https://commercialobserver.com/2025/02/capital-one-expansion-114-fifth-avenue/</t>
        </is>
      </c>
      <c r="P10" t="inlineStr">
        <is>
          <t>2025-02</t>
        </is>
      </c>
      <c r="Q10" t="inlineStr"/>
      <c r="R10" t="inlineStr">
        <is>
          <t>medium</t>
        </is>
      </c>
      <c r="S10" t="inlineStr">
        <is>
          <t>N</t>
        </is>
      </c>
      <c r="T10" t="inlineStr"/>
      <c r="U10" t="inlineStr"/>
      <c r="V10" s="3" t="inlineStr">
        <is>
          <t>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is>
      </c>
      <c r="W10" t="inlineStr">
        <is>
          <t>2026-10-23</t>
        </is>
      </c>
      <c r="X10" t="inlineStr">
        <is>
          <t>Conway</t>
        </is>
      </c>
      <c r="Y10" t="inlineStr">
        <is>
          <t>N</t>
        </is>
      </c>
      <c r="Z10" t="inlineStr">
        <is>
          <t>https://www.builtinnyc.com/company/acxiom/offices</t>
        </is>
      </c>
      <c r="AA10" t="inlineStr"/>
      <c r="AB10" t="inlineStr">
        <is>
          <t>single-source</t>
        </is>
      </c>
      <c r="AC10" t="inlineStr"/>
      <c r="AD10" t="inlineStr"/>
      <c r="AE10" t="inlineStr"/>
      <c r="AF10" t="inlineStr">
        <is>
          <t>unknown</t>
        </is>
      </c>
      <c r="AG10" t="inlineStr"/>
      <c r="AH10" t="inlineStr">
        <is>
          <t>unknown</t>
        </is>
      </c>
      <c r="AI10" t="inlineStr">
        <is>
          <t>near-miss-over-500</t>
        </is>
      </c>
      <c r="AJ10" t="inlineStr">
        <is>
          <t>occupied</t>
        </is>
      </c>
      <c r="AK10" t="inlineStr"/>
      <c r="AL10" t="inlineStr">
        <is>
          <t>2026-10-23</t>
        </is>
      </c>
      <c r="AM10" s="3" t="inlineStr"/>
      <c r="AN10" t="inlineStr">
        <is>
          <t>leasing-press</t>
        </is>
      </c>
      <c r="AO10" t="inlineStr"/>
      <c r="AP10" t="inlineStr">
        <is>
          <t>direct-lease-documented</t>
        </is>
      </c>
      <c r="AQ10" t="inlineStr">
        <is>
          <t>1008180051</t>
        </is>
      </c>
      <c r="AR10" t="n">
        <v>0</v>
      </c>
      <c r="AS10" t="inlineStr"/>
      <c r="AT10" t="inlineStr">
        <is>
          <t>S1</t>
        </is>
      </c>
      <c r="AU10" s="3" t="inlineStr">
        <is>
          <t>over-1,000 (1,001 to 4,999): over 500 company-wide (4,482; the count quoted in this row's notes); the NYC office alone may fit the 40-250 band, founder to confirm</t>
        </is>
      </c>
      <c r="AV10" t="inlineStr">
        <is>
          <t>over-1,000 (1,001 to 4,999)</t>
        </is>
      </c>
      <c r="AW10" t="inlineStr">
        <is>
          <t>4482</t>
        </is>
      </c>
      <c r="AX10" t="inlineStr">
        <is>
          <t>Y</t>
        </is>
      </c>
    </row>
    <row r="11">
      <c r="A11" t="inlineStr">
        <is>
          <t>B-C-188</t>
        </is>
      </c>
      <c r="B11" t="inlineStr">
        <is>
          <t>Capital One</t>
        </is>
      </c>
      <c r="C11" s="2" t="inlineStr">
        <is>
          <t>https://www.capitalone.com</t>
        </is>
      </c>
      <c r="D11" t="inlineStr">
        <is>
          <t>banking (tech offices)</t>
        </is>
      </c>
      <c r="E11" t="inlineStr">
        <is>
          <t>B-B-009</t>
        </is>
      </c>
      <c r="F11" t="inlineStr">
        <is>
          <t>114 Fifth Avenue</t>
        </is>
      </c>
      <c r="G11" t="inlineStr">
        <is>
          <t>unknown</t>
        </is>
      </c>
      <c r="H11" t="inlineStr">
        <is>
          <t>10011</t>
        </is>
      </c>
      <c r="I11" t="n">
        <v>40.737788</v>
      </c>
      <c r="J11" t="n">
        <v>-73.992555</v>
      </c>
      <c r="K11" t="inlineStr">
        <is>
          <t>Y</t>
        </is>
      </c>
      <c r="L11" t="inlineStr">
        <is>
          <t>over-500</t>
        </is>
      </c>
      <c r="M11" t="inlineStr">
        <is>
          <t>whole-company</t>
        </is>
      </c>
      <c r="N11" s="2" t="inlineStr">
        <is>
          <t>https://www.builtinnyc.com/company/capital-one</t>
        </is>
      </c>
      <c r="O11" s="2" t="inlineStr">
        <is>
          <t>https://commercialobserver.com/2025/02/capital-one-expansion-114-fifth-avenue/</t>
        </is>
      </c>
      <c r="P11" t="inlineStr">
        <is>
          <t>2025-02</t>
        </is>
      </c>
      <c r="Q11" t="inlineStr"/>
      <c r="R11" t="inlineStr">
        <is>
          <t>medium</t>
        </is>
      </c>
      <c r="S11" t="inlineStr">
        <is>
          <t>N</t>
        </is>
      </c>
      <c r="T11" t="inlineStr"/>
      <c r="U11" t="inlineStr"/>
      <c r="V11" s="3" t="inlineStr">
        <is>
          <t>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is>
      </c>
      <c r="W11" t="inlineStr">
        <is>
          <t>2026-10-23</t>
        </is>
      </c>
      <c r="X11" t="inlineStr">
        <is>
          <t>McLean</t>
        </is>
      </c>
      <c r="Y11" t="inlineStr">
        <is>
          <t>N</t>
        </is>
      </c>
      <c r="Z11" t="inlineStr">
        <is>
          <t>https://www.builtinnyc.com/company/capital-one/offices</t>
        </is>
      </c>
      <c r="AA11" t="inlineStr"/>
      <c r="AB11" t="inlineStr">
        <is>
          <t>single-source</t>
        </is>
      </c>
      <c r="AC11" t="inlineStr"/>
      <c r="AD11" t="inlineStr"/>
      <c r="AE11" t="inlineStr"/>
      <c r="AF11" t="inlineStr">
        <is>
          <t>unknown</t>
        </is>
      </c>
      <c r="AG11" t="inlineStr"/>
      <c r="AH11" t="inlineStr">
        <is>
          <t>unknown</t>
        </is>
      </c>
      <c r="AI11" t="inlineStr">
        <is>
          <t>near-miss-over-500</t>
        </is>
      </c>
      <c r="AJ11" t="inlineStr">
        <is>
          <t>occupied</t>
        </is>
      </c>
      <c r="AK11" t="inlineStr"/>
      <c r="AL11" t="inlineStr">
        <is>
          <t>2026-10-23</t>
        </is>
      </c>
      <c r="AM11" s="3" t="inlineStr"/>
      <c r="AN11" t="inlineStr">
        <is>
          <t>leasing-press</t>
        </is>
      </c>
      <c r="AO11" t="inlineStr"/>
      <c r="AP11" t="inlineStr">
        <is>
          <t>direct-lease-documented</t>
        </is>
      </c>
      <c r="AQ11" t="inlineStr">
        <is>
          <t>1008180051</t>
        </is>
      </c>
      <c r="AR11" t="n">
        <v>0</v>
      </c>
      <c r="AS11" t="inlineStr">
        <is>
          <t>213,500 sf; 116,926 sf; 96,606 sf</t>
        </is>
      </c>
      <c r="AT11" t="inlineStr">
        <is>
          <t>S1</t>
        </is>
      </c>
      <c r="AU11" s="3" t="inlineStr">
        <is>
          <t>not-near (5,000 or more): over 500 company-wide (55,000; the count quoted in this row's notes)</t>
        </is>
      </c>
      <c r="AV11" t="inlineStr">
        <is>
          <t>not-near (5,000 or more)</t>
        </is>
      </c>
      <c r="AW11" t="inlineStr">
        <is>
          <t>55000</t>
        </is>
      </c>
      <c r="AX11" t="inlineStr">
        <is>
          <t>N</t>
        </is>
      </c>
    </row>
    <row r="12">
      <c r="A12" t="inlineStr">
        <is>
          <t>B-C-189</t>
        </is>
      </c>
      <c r="B12" t="inlineStr">
        <is>
          <t>Chainalysis</t>
        </is>
      </c>
      <c r="C12" s="2" t="inlineStr">
        <is>
          <t>https://www.chainalysis.com</t>
        </is>
      </c>
      <c r="D12" t="inlineStr">
        <is>
          <t>blockchain data and compliance software</t>
        </is>
      </c>
      <c r="E12" t="inlineStr">
        <is>
          <t>B-B-009</t>
        </is>
      </c>
      <c r="F12" t="inlineStr">
        <is>
          <t>114 Fifth Avenue</t>
        </is>
      </c>
      <c r="G12" t="inlineStr">
        <is>
          <t>4 floors (not named)</t>
        </is>
      </c>
      <c r="H12" t="inlineStr">
        <is>
          <t>10011</t>
        </is>
      </c>
      <c r="I12" t="n">
        <v>40.737788</v>
      </c>
      <c r="J12" t="n">
        <v>-73.992555</v>
      </c>
      <c r="K12" t="inlineStr">
        <is>
          <t>Y</t>
        </is>
      </c>
      <c r="L12" t="inlineStr">
        <is>
          <t>over-500</t>
        </is>
      </c>
      <c r="M12" t="inlineStr">
        <is>
          <t>whole-company</t>
        </is>
      </c>
      <c r="N12" s="2" t="inlineStr">
        <is>
          <t>https://www.builtinnyc.com/company/chainalysis</t>
        </is>
      </c>
      <c r="O12" s="2" t="inlineStr">
        <is>
          <t>https://commercialobserver.com/2022/01/chainalysis-78k-sf-114-fifth-avenue/</t>
        </is>
      </c>
      <c r="P12" t="inlineStr">
        <is>
          <t>2022-01</t>
        </is>
      </c>
      <c r="Q12" t="inlineStr"/>
      <c r="R12" t="inlineStr">
        <is>
          <t>low</t>
        </is>
      </c>
      <c r="S12" t="inlineStr">
        <is>
          <t>N</t>
        </is>
      </c>
      <c r="T12" t="inlineStr"/>
      <c r="U12" t="inlineStr"/>
      <c r="V12" s="3" t="inlineStr">
        <is>
          <t>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is>
      </c>
      <c r="W12" t="inlineStr">
        <is>
          <t>2026-10-23</t>
        </is>
      </c>
      <c r="X12" t="inlineStr">
        <is>
          <t>New York</t>
        </is>
      </c>
      <c r="Y12" t="inlineStr">
        <is>
          <t>Y</t>
        </is>
      </c>
      <c r="Z12" t="inlineStr">
        <is>
          <t>https://www.builtinnyc.com/company/chainalysis/offices</t>
        </is>
      </c>
      <c r="AA12" t="inlineStr"/>
      <c r="AB12" t="inlineStr">
        <is>
          <t>single-source</t>
        </is>
      </c>
      <c r="AC12" t="inlineStr"/>
      <c r="AD12" t="inlineStr"/>
      <c r="AE12" t="inlineStr"/>
      <c r="AF12" t="inlineStr">
        <is>
          <t>unknown</t>
        </is>
      </c>
      <c r="AG12" t="inlineStr"/>
      <c r="AH12" t="inlineStr">
        <is>
          <t>unknown</t>
        </is>
      </c>
      <c r="AI12" t="inlineStr">
        <is>
          <t>near-miss-over-500</t>
        </is>
      </c>
      <c r="AJ12" t="inlineStr">
        <is>
          <t>occupancy-unconfirmed</t>
        </is>
      </c>
      <c r="AK12" t="inlineStr"/>
      <c r="AL12" t="inlineStr">
        <is>
          <t>2026-10-23</t>
        </is>
      </c>
      <c r="AM12" s="3" t="inlineStr"/>
      <c r="AN12" t="inlineStr">
        <is>
          <t>leasing-press</t>
        </is>
      </c>
      <c r="AO12" t="inlineStr"/>
      <c r="AP12" t="inlineStr">
        <is>
          <t>direct-lease-documented</t>
        </is>
      </c>
      <c r="AQ12" t="inlineStr">
        <is>
          <t>1008180051</t>
        </is>
      </c>
      <c r="AR12" t="n">
        <v>0</v>
      </c>
      <c r="AS12" t="inlineStr">
        <is>
          <t>77,608 sf</t>
        </is>
      </c>
      <c r="AT12" t="inlineStr">
        <is>
          <t>S1</t>
        </is>
      </c>
      <c r="AU12" s="3" t="inlineStr">
        <is>
          <t>just-over-500 (501 to 1,000): over 500 company-wide (700; the count quoted in this row's notes)</t>
        </is>
      </c>
      <c r="AV12" t="inlineStr">
        <is>
          <t>just-over-500 (501 to 1,000)</t>
        </is>
      </c>
      <c r="AW12" t="inlineStr">
        <is>
          <t>700</t>
        </is>
      </c>
      <c r="AX12" t="inlineStr">
        <is>
          <t>N</t>
        </is>
      </c>
    </row>
    <row r="13">
      <c r="A13" t="inlineStr">
        <is>
          <t>B-C-185</t>
        </is>
      </c>
      <c r="B13" t="inlineStr">
        <is>
          <t>Faire</t>
        </is>
      </c>
      <c r="C13" s="2" t="inlineStr">
        <is>
          <t>https://www.faire.com</t>
        </is>
      </c>
      <c r="D13" t="inlineStr">
        <is>
          <t>B2B wholesale marketplace</t>
        </is>
      </c>
      <c r="E13" t="inlineStr">
        <is>
          <t>B-B-008</t>
        </is>
      </c>
      <c r="F13" t="inlineStr">
        <is>
          <t>26 West 17th Street</t>
        </is>
      </c>
      <c r="G13" t="inlineStr">
        <is>
          <t>9; 12</t>
        </is>
      </c>
      <c r="H13" t="inlineStr">
        <is>
          <t>10011</t>
        </is>
      </c>
      <c r="I13" t="n">
        <v>40.738405</v>
      </c>
      <c r="J13" t="n">
        <v>-73.99393999999999</v>
      </c>
      <c r="K13" t="inlineStr">
        <is>
          <t>Y</t>
        </is>
      </c>
      <c r="L13" t="inlineStr">
        <is>
          <t>over-500</t>
        </is>
      </c>
      <c r="M13" t="inlineStr">
        <is>
          <t>whole-company</t>
        </is>
      </c>
      <c r="N13" s="2" t="inlineStr">
        <is>
          <t>https://www.builtinnyc.com/company/faire</t>
        </is>
      </c>
      <c r="O13" s="2" t="inlineStr">
        <is>
          <t>https://commercialobserver.com/2025/03/faire-lease-26-west-17th-street/</t>
        </is>
      </c>
      <c r="P13" t="inlineStr">
        <is>
          <t>2025-03-27</t>
        </is>
      </c>
      <c r="Q13" t="inlineStr"/>
      <c r="R13" t="inlineStr">
        <is>
          <t>medium</t>
        </is>
      </c>
      <c r="S13" t="inlineStr">
        <is>
          <t>N</t>
        </is>
      </c>
      <c r="T13" t="inlineStr"/>
      <c r="U13" t="inlineStr"/>
      <c r="V13" s="3" t="inlineStr">
        <is>
          <t>Near-miss: over 500. Built In NYC: 1,200 total employees, HQ San Francisco. CO 2025-03-27: about 20,000 sf on floors 9 and 12; article says the NYC office had about 50 employees when it opened in Greenwich Village in 2022 (old, not used for band).</t>
        </is>
      </c>
      <c r="W13" t="inlineStr">
        <is>
          <t>2026-10-23</t>
        </is>
      </c>
      <c r="X13" t="inlineStr">
        <is>
          <t>San Francisco</t>
        </is>
      </c>
      <c r="Y13" t="inlineStr">
        <is>
          <t>N</t>
        </is>
      </c>
      <c r="Z13" t="inlineStr">
        <is>
          <t>https://www.builtinnyc.com/company/faire/offices</t>
        </is>
      </c>
      <c r="AA13" t="inlineStr"/>
      <c r="AB13" t="inlineStr">
        <is>
          <t>single-source</t>
        </is>
      </c>
      <c r="AC13" t="inlineStr"/>
      <c r="AD13" t="inlineStr"/>
      <c r="AE13" t="inlineStr"/>
      <c r="AF13" t="inlineStr">
        <is>
          <t>unknown</t>
        </is>
      </c>
      <c r="AG13" t="inlineStr"/>
      <c r="AH13" t="inlineStr">
        <is>
          <t>unknown</t>
        </is>
      </c>
      <c r="AI13" t="inlineStr">
        <is>
          <t>near-miss-over-500</t>
        </is>
      </c>
      <c r="AJ13" t="inlineStr">
        <is>
          <t>occupancy-unconfirmed</t>
        </is>
      </c>
      <c r="AK13" t="inlineStr"/>
      <c r="AL13" t="inlineStr">
        <is>
          <t>2026-10-23</t>
        </is>
      </c>
      <c r="AM13" s="3" t="inlineStr"/>
      <c r="AN13" t="inlineStr">
        <is>
          <t>leasing-press</t>
        </is>
      </c>
      <c r="AO13" t="inlineStr"/>
      <c r="AP13" t="inlineStr">
        <is>
          <t>no-coworking-in-building</t>
        </is>
      </c>
      <c r="AQ13" t="inlineStr">
        <is>
          <t>1008180066</t>
        </is>
      </c>
      <c r="AR13" t="n">
        <v>0</v>
      </c>
      <c r="AS13" t="inlineStr">
        <is>
          <t>20,000 sf</t>
        </is>
      </c>
      <c r="AT13" t="inlineStr">
        <is>
          <t>S1</t>
        </is>
      </c>
      <c r="AU13" s="3" t="inlineStr">
        <is>
          <t>over-1,000 (1,001 to 4,999): over 500 company-wide (1,200; the count quoted in this row's notes)</t>
        </is>
      </c>
      <c r="AV13" t="inlineStr">
        <is>
          <t>over-1,000 (1,001 to 4,999)</t>
        </is>
      </c>
      <c r="AW13" t="inlineStr">
        <is>
          <t>1200</t>
        </is>
      </c>
      <c r="AX13" t="inlineStr">
        <is>
          <t>N</t>
        </is>
      </c>
    </row>
    <row r="14">
      <c r="A14" t="inlineStr">
        <is>
          <t>B-C-020</t>
        </is>
      </c>
      <c r="B14" t="inlineStr">
        <is>
          <t>Mercury</t>
        </is>
      </c>
      <c r="C14" s="2" t="inlineStr">
        <is>
          <t>https://mercury.com</t>
        </is>
      </c>
      <c r="D14" t="inlineStr">
        <is>
          <t>fintech (business banking)</t>
        </is>
      </c>
      <c r="E14" t="inlineStr">
        <is>
          <t>B-B-008</t>
        </is>
      </c>
      <c r="F14" t="inlineStr">
        <is>
          <t>26 West 17th Street</t>
        </is>
      </c>
      <c r="G14" t="inlineStr">
        <is>
          <t>10</t>
        </is>
      </c>
      <c r="H14" t="inlineStr">
        <is>
          <t>10011</t>
        </is>
      </c>
      <c r="I14" t="n">
        <v>40.738405</v>
      </c>
      <c r="J14" t="n">
        <v>-73.99393999999999</v>
      </c>
      <c r="K14" t="inlineStr">
        <is>
          <t>Y</t>
        </is>
      </c>
      <c r="L14" t="inlineStr">
        <is>
          <t>over-500</t>
        </is>
      </c>
      <c r="M14" t="inlineStr">
        <is>
          <t>whole-company</t>
        </is>
      </c>
      <c r="N14" s="2" t="inlineStr">
        <is>
          <t>https://www.reveliolabs.com/companies/mercury/employees</t>
        </is>
      </c>
      <c r="O14" s="2" t="inlineStr">
        <is>
          <t>https://commercialobserver.com/2025/03/faire-lease-26-west-17th-street/</t>
        </is>
      </c>
      <c r="P14" t="inlineStr">
        <is>
          <t>2025-03-27</t>
        </is>
      </c>
      <c r="Q14" t="inlineStr"/>
      <c r="R14" t="inlineStr">
        <is>
          <t>medium</t>
        </is>
      </c>
      <c r="S14" t="inlineStr">
        <is>
          <t>N</t>
        </is>
      </c>
      <c r="T14" t="inlineStr"/>
      <c r="U14" t="inlineStr"/>
      <c r="V14" s="3" t="inlineStr">
        <is>
          <t>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is>
      </c>
      <c r="W14" t="inlineStr">
        <is>
          <t>2026-10-23</t>
        </is>
      </c>
      <c r="X14" t="inlineStr">
        <is>
          <t>San Francisco</t>
        </is>
      </c>
      <c r="Y14" t="inlineStr">
        <is>
          <t>N</t>
        </is>
      </c>
      <c r="Z14" t="inlineStr">
        <is>
          <t>https://www.builtinnyc.com/company/mercury/offices</t>
        </is>
      </c>
      <c r="AA14" t="inlineStr">
        <is>
          <t>1279</t>
        </is>
      </c>
      <c r="AB14" t="inlineStr">
        <is>
          <t>over-500-second-source</t>
        </is>
      </c>
      <c r="AC14" t="inlineStr">
        <is>
          <t>150</t>
        </is>
      </c>
      <c r="AD14" t="inlineStr">
        <is>
          <t>https://www.builtinnyc.com/company/mercury</t>
        </is>
      </c>
      <c r="AE14" t="inlineStr">
        <is>
          <t>2026-10-23</t>
        </is>
      </c>
      <c r="AF14" t="inlineStr">
        <is>
          <t>unknown</t>
        </is>
      </c>
      <c r="AG14" t="inlineStr"/>
      <c r="AH14" t="inlineStr">
        <is>
          <t>unknown</t>
        </is>
      </c>
      <c r="AI14" t="inlineStr">
        <is>
          <t>near-miss-over-500</t>
        </is>
      </c>
      <c r="AJ14" t="inlineStr">
        <is>
          <t>occupancy-unconfirmed</t>
        </is>
      </c>
      <c r="AK14" t="inlineStr"/>
      <c r="AL14" t="inlineStr">
        <is>
          <t>2026-08-31</t>
        </is>
      </c>
      <c r="AM14" s="3" t="inlineStr"/>
      <c r="AN14" t="inlineStr">
        <is>
          <t>leasing-press</t>
        </is>
      </c>
      <c r="AO14" t="inlineStr"/>
      <c r="AP14" t="inlineStr">
        <is>
          <t>no-coworking-in-building</t>
        </is>
      </c>
      <c r="AQ14" t="inlineStr">
        <is>
          <t>1008180066</t>
        </is>
      </c>
      <c r="AR14" t="n">
        <v>0</v>
      </c>
      <c r="AS14" t="inlineStr">
        <is>
          <t>10,000 sf</t>
        </is>
      </c>
      <c r="AT14" t="inlineStr">
        <is>
          <t>S1</t>
        </is>
      </c>
      <c r="AU14" s="3" t="inlineStr">
        <is>
          <t>over-1,000 (1,001 to 4,999): over 500 company-wide (1,279; Revelio Labs page in headcount_source_url, as of March 2026, added at review round 2); the NYC office alone may fit the 40-250 band, founder to confirm</t>
        </is>
      </c>
      <c r="AV14" t="inlineStr">
        <is>
          <t>over-1,000 (1,001 to 4,999)</t>
        </is>
      </c>
      <c r="AW14" t="inlineStr">
        <is>
          <t>1279</t>
        </is>
      </c>
      <c r="AX14" t="inlineStr">
        <is>
          <t>Y</t>
        </is>
      </c>
    </row>
    <row r="15">
      <c r="A15" t="inlineStr">
        <is>
          <t>B-C-186</t>
        </is>
      </c>
      <c r="B15" t="inlineStr">
        <is>
          <t>Similarweb</t>
        </is>
      </c>
      <c r="C15" s="2" t="inlineStr">
        <is>
          <t>https://www.similarweb.com</t>
        </is>
      </c>
      <c r="D15" t="inlineStr">
        <is>
          <t>software (digital market data)</t>
        </is>
      </c>
      <c r="E15" t="inlineStr"/>
      <c r="F15" t="inlineStr">
        <is>
          <t>50 West 17th Street</t>
        </is>
      </c>
      <c r="G15" t="inlineStr">
        <is>
          <t>unknown</t>
        </is>
      </c>
      <c r="H15" t="inlineStr"/>
      <c r="I15" t="n">
        <v>40.738765</v>
      </c>
      <c r="J15" t="n">
        <v>-73.99476300000001</v>
      </c>
      <c r="K15" t="inlineStr">
        <is>
          <t>Y</t>
        </is>
      </c>
      <c r="L15" t="inlineStr">
        <is>
          <t>over-500</t>
        </is>
      </c>
      <c r="M15" t="inlineStr">
        <is>
          <t>whole-company</t>
        </is>
      </c>
      <c r="N15" s="2" t="inlineStr">
        <is>
          <t>https://www.builtinnyc.com/company/similarweb</t>
        </is>
      </c>
      <c r="O15" s="2" t="inlineStr">
        <is>
          <t>https://www.builtinnyc.com/company/similarweb/offices</t>
        </is>
      </c>
      <c r="P15" t="inlineStr">
        <is>
          <t>2026-10-24</t>
        </is>
      </c>
      <c r="Q15" t="inlineStr"/>
      <c r="R15" t="inlineStr">
        <is>
          <t>low</t>
        </is>
      </c>
      <c r="S15" t="inlineStr">
        <is>
          <t>N</t>
        </is>
      </c>
      <c r="T15" t="inlineStr"/>
      <c r="U15" t="inlineStr"/>
      <c r="V15" s="3" t="inlineStr">
        <is>
          <t>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t>
        </is>
      </c>
      <c r="W15" t="inlineStr">
        <is>
          <t>2026-10-23</t>
        </is>
      </c>
      <c r="X15" t="inlineStr">
        <is>
          <t>unknown</t>
        </is>
      </c>
      <c r="Y15" t="inlineStr">
        <is>
          <t>unknown</t>
        </is>
      </c>
      <c r="Z15" t="inlineStr">
        <is>
          <t>https://www.builtinnyc.com/company/similarweb/offices</t>
        </is>
      </c>
      <c r="AA15" t="inlineStr"/>
      <c r="AB15" t="inlineStr">
        <is>
          <t>single-source</t>
        </is>
      </c>
      <c r="AC15" t="inlineStr"/>
      <c r="AD15" t="inlineStr"/>
      <c r="AE15" t="inlineStr"/>
      <c r="AF15" t="inlineStr">
        <is>
          <t>unknown</t>
        </is>
      </c>
      <c r="AG15" t="inlineStr"/>
      <c r="AH15" t="inlineStr">
        <is>
          <t>unknown</t>
        </is>
      </c>
      <c r="AI15" t="inlineStr">
        <is>
          <t>near-miss-over-500</t>
        </is>
      </c>
      <c r="AJ15" t="inlineStr">
        <is>
          <t>occupied</t>
        </is>
      </c>
      <c r="AK15" t="inlineStr"/>
      <c r="AL15" t="inlineStr">
        <is>
          <t>2026-10-24</t>
        </is>
      </c>
      <c r="AM15" s="3" t="inlineStr"/>
      <c r="AN15" t="inlineStr">
        <is>
          <t>builtin</t>
        </is>
      </c>
      <c r="AO15" t="inlineStr"/>
      <c r="AP15" t="inlineStr">
        <is>
          <t>no-coworking-in-building</t>
        </is>
      </c>
      <c r="AQ15" t="inlineStr">
        <is>
          <t>1008180078</t>
        </is>
      </c>
      <c r="AR15" t="n">
        <v>0</v>
      </c>
      <c r="AS15" t="inlineStr"/>
      <c r="AT15" t="inlineStr">
        <is>
          <t>S2</t>
        </is>
      </c>
      <c r="AU15" s="3" t="inlineStr">
        <is>
          <t>just-over-500 (501 to 1,000): over 500 company-wide (925; the count quoted in this row's notes)</t>
        </is>
      </c>
      <c r="AV15" t="inlineStr">
        <is>
          <t>just-over-500 (501 to 1,000)</t>
        </is>
      </c>
      <c r="AW15" t="inlineStr">
        <is>
          <t>925</t>
        </is>
      </c>
      <c r="AX15" t="inlineStr">
        <is>
          <t>N</t>
        </is>
      </c>
    </row>
    <row r="16">
      <c r="A16" t="inlineStr">
        <is>
          <t>B-C-190</t>
        </is>
      </c>
      <c r="B16" t="inlineStr">
        <is>
          <t>U.S. News &amp; World Report</t>
        </is>
      </c>
      <c r="C16" t="inlineStr">
        <is>
          <t>unknown</t>
        </is>
      </c>
      <c r="D16" t="inlineStr">
        <is>
          <t>media and rankings</t>
        </is>
      </c>
      <c r="E16" t="inlineStr">
        <is>
          <t>B-B-010</t>
        </is>
      </c>
      <c r="F16" t="inlineStr">
        <is>
          <t>120 Fifth Avenue</t>
        </is>
      </c>
      <c r="G16" t="inlineStr">
        <is>
          <t>unknown</t>
        </is>
      </c>
      <c r="H16" t="inlineStr">
        <is>
          <t>10011</t>
        </is>
      </c>
      <c r="I16" t="n">
        <v>40.738186</v>
      </c>
      <c r="J16" t="n">
        <v>-73.992429</v>
      </c>
      <c r="K16" t="inlineStr">
        <is>
          <t>Y</t>
        </is>
      </c>
      <c r="L16" t="inlineStr">
        <is>
          <t>over-500</t>
        </is>
      </c>
      <c r="M16" t="inlineStr">
        <is>
          <t>whole-company</t>
        </is>
      </c>
      <c r="N16" s="2" t="inlineStr">
        <is>
          <t>https://www.builtinnyc.com/company/us-news-world-report</t>
        </is>
      </c>
      <c r="O16" s="2" t="inlineStr">
        <is>
          <t>https://commercialobserver.com/2026/10/eagle-ai-lease-office-120-fifth-avenue/</t>
        </is>
      </c>
      <c r="P16" t="inlineStr">
        <is>
          <t>2026-10-19</t>
        </is>
      </c>
      <c r="Q16" t="inlineStr"/>
      <c r="R16" t="inlineStr">
        <is>
          <t>low</t>
        </is>
      </c>
      <c r="S16" t="inlineStr">
        <is>
          <t>N</t>
        </is>
      </c>
      <c r="T16" t="inlineStr"/>
      <c r="U16" t="inlineStr"/>
      <c r="V16" s="3" t="inlineStr">
        <is>
          <t>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is>
      </c>
      <c r="W16" t="inlineStr">
        <is>
          <t>2026-10-23</t>
        </is>
      </c>
      <c r="X16" t="inlineStr">
        <is>
          <t>Washington</t>
        </is>
      </c>
      <c r="Y16" t="inlineStr">
        <is>
          <t>N</t>
        </is>
      </c>
      <c r="Z16" t="inlineStr">
        <is>
          <t>https://www.builtinnyc.com/company/us-news-world-report/offices</t>
        </is>
      </c>
      <c r="AA16" t="inlineStr"/>
      <c r="AB16" t="inlineStr">
        <is>
          <t>single-source</t>
        </is>
      </c>
      <c r="AC16" t="inlineStr"/>
      <c r="AD16" t="inlineStr"/>
      <c r="AE16" t="inlineStr"/>
      <c r="AF16" t="inlineStr">
        <is>
          <t>unknown</t>
        </is>
      </c>
      <c r="AG16" t="inlineStr"/>
      <c r="AH16" t="inlineStr">
        <is>
          <t>unknown</t>
        </is>
      </c>
      <c r="AI16" t="inlineStr">
        <is>
          <t>near-miss-over-500</t>
        </is>
      </c>
      <c r="AJ16" t="inlineStr">
        <is>
          <t>moving-out</t>
        </is>
      </c>
      <c r="AK16" t="inlineStr">
        <is>
          <t>unknown</t>
        </is>
      </c>
      <c r="AL16" t="inlineStr">
        <is>
          <t>2026-10-23</t>
        </is>
      </c>
      <c r="AM16" s="3" t="inlineStr"/>
      <c r="AN16" t="inlineStr">
        <is>
          <t>leasing-press</t>
        </is>
      </c>
      <c r="AO16" t="inlineStr"/>
      <c r="AP16" t="inlineStr">
        <is>
          <t>no-coworking-in-building</t>
        </is>
      </c>
      <c r="AQ16" t="inlineStr">
        <is>
          <t>1008190037</t>
        </is>
      </c>
      <c r="AR16" t="n">
        <v>0</v>
      </c>
      <c r="AS16" t="inlineStr">
        <is>
          <t>10,236 sf</t>
        </is>
      </c>
      <c r="AT16" t="inlineStr">
        <is>
          <t>S1</t>
        </is>
      </c>
      <c r="AU16" s="3" t="inlineStr">
        <is>
          <t>just-over-500 (501 to 1,000): over 500 company-wide (542; the count quoted in this row's notes)</t>
        </is>
      </c>
      <c r="AV16" t="inlineStr">
        <is>
          <t>just-over-500 (501 to 1,000)</t>
        </is>
      </c>
      <c r="AW16" t="inlineStr">
        <is>
          <t>542</t>
        </is>
      </c>
      <c r="AX16" t="inlineStr">
        <is>
          <t>N</t>
        </is>
      </c>
    </row>
    <row r="17">
      <c r="A17" t="inlineStr">
        <is>
          <t>B-C-191</t>
        </is>
      </c>
      <c r="B17" t="inlineStr">
        <is>
          <t>Kaltura</t>
        </is>
      </c>
      <c r="C17" s="2" t="inlineStr">
        <is>
          <t>https://corp.kaltura.com</t>
        </is>
      </c>
      <c r="D17" t="inlineStr">
        <is>
          <t>video software</t>
        </is>
      </c>
      <c r="E17" t="inlineStr">
        <is>
          <t>B-B-011</t>
        </is>
      </c>
      <c r="F17" t="inlineStr">
        <is>
          <t>860 Broadway</t>
        </is>
      </c>
      <c r="G17" t="inlineStr">
        <is>
          <t>3</t>
        </is>
      </c>
      <c r="H17" t="inlineStr">
        <is>
          <t>10003</t>
        </is>
      </c>
      <c r="I17" t="n">
        <v>40.737311</v>
      </c>
      <c r="J17" t="n">
        <v>-73.990092</v>
      </c>
      <c r="K17" t="inlineStr">
        <is>
          <t>Y</t>
        </is>
      </c>
      <c r="L17" t="inlineStr">
        <is>
          <t>over-500</t>
        </is>
      </c>
      <c r="M17" t="inlineStr">
        <is>
          <t>whole-company</t>
        </is>
      </c>
      <c r="N17" s="2" t="inlineStr">
        <is>
          <t>https://www.builtinnyc.com/company/kaltura-inc</t>
        </is>
      </c>
      <c r="O17" s="2" t="inlineStr">
        <is>
          <t>https://commercialobserver.com/2026/08/selldorf-architects-renews-14k-sf-860-broadway-lease-for-10-years/</t>
        </is>
      </c>
      <c r="P17" t="inlineStr">
        <is>
          <t>2026-08-07</t>
        </is>
      </c>
      <c r="Q17" s="2" t="inlineStr">
        <is>
          <t>https://commercialobserver.com/2022/01/kaltura-lease-860-broadway-gordon-property-group/</t>
        </is>
      </c>
      <c r="R17" t="inlineStr">
        <is>
          <t>medium</t>
        </is>
      </c>
      <c r="S17" t="inlineStr">
        <is>
          <t>N</t>
        </is>
      </c>
      <c r="T17" t="inlineStr"/>
      <c r="U17" t="inlineStr"/>
      <c r="V17" s="3" t="inlineStr">
        <is>
          <t>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t>
        </is>
      </c>
      <c r="W17" t="inlineStr">
        <is>
          <t>2026-10-23</t>
        </is>
      </c>
      <c r="X17" t="inlineStr">
        <is>
          <t>New York</t>
        </is>
      </c>
      <c r="Y17" t="inlineStr">
        <is>
          <t>Y</t>
        </is>
      </c>
      <c r="Z17" t="inlineStr">
        <is>
          <t>https://www.builtinnyc.com/company/kaltura-inc/offices</t>
        </is>
      </c>
      <c r="AA17" t="inlineStr"/>
      <c r="AB17" t="inlineStr">
        <is>
          <t>single-source</t>
        </is>
      </c>
      <c r="AC17" t="inlineStr"/>
      <c r="AD17" t="inlineStr"/>
      <c r="AE17" t="inlineStr"/>
      <c r="AF17" t="inlineStr">
        <is>
          <t>unknown</t>
        </is>
      </c>
      <c r="AG17" t="inlineStr"/>
      <c r="AH17" t="inlineStr">
        <is>
          <t>unknown</t>
        </is>
      </c>
      <c r="AI17" t="inlineStr">
        <is>
          <t>near-miss-over-500</t>
        </is>
      </c>
      <c r="AJ17" t="inlineStr">
        <is>
          <t>occupied</t>
        </is>
      </c>
      <c r="AK17" t="inlineStr"/>
      <c r="AL17" t="inlineStr">
        <is>
          <t>2026-10-23</t>
        </is>
      </c>
      <c r="AM17" s="3" t="inlineStr"/>
      <c r="AN17" t="inlineStr">
        <is>
          <t>leasing-press</t>
        </is>
      </c>
      <c r="AO17" t="inlineStr">
        <is>
          <t>2022-01</t>
        </is>
      </c>
      <c r="AP17" t="inlineStr">
        <is>
          <t>direct-lease-documented</t>
        </is>
      </c>
      <c r="AQ17" t="inlineStr">
        <is>
          <t>1008460026</t>
        </is>
      </c>
      <c r="AR17" t="n">
        <v>0</v>
      </c>
      <c r="AS17" t="inlineStr"/>
      <c r="AT17" t="inlineStr">
        <is>
          <t>S1</t>
        </is>
      </c>
      <c r="AU17" s="3" t="inlineStr">
        <is>
          <t>just-over-500 (501 to 1,000): over 500 company-wide (730; the count quoted in this row's notes)</t>
        </is>
      </c>
      <c r="AV17" t="inlineStr">
        <is>
          <t>just-over-500 (501 to 1,000)</t>
        </is>
      </c>
      <c r="AW17" t="inlineStr">
        <is>
          <t>730</t>
        </is>
      </c>
      <c r="AX17" t="inlineStr">
        <is>
          <t>N</t>
        </is>
      </c>
    </row>
    <row r="18">
      <c r="A18" t="inlineStr">
        <is>
          <t>B-C-028</t>
        </is>
      </c>
      <c r="B18" t="inlineStr">
        <is>
          <t>Valon</t>
        </is>
      </c>
      <c r="C18" s="2" t="inlineStr">
        <is>
          <t>https://valon.ai</t>
        </is>
      </c>
      <c r="D18" t="inlineStr">
        <is>
          <t>fintech (mortgage servicing software)</t>
        </is>
      </c>
      <c r="E18" t="inlineStr">
        <is>
          <t>B-B-011</t>
        </is>
      </c>
      <c r="F18" t="inlineStr">
        <is>
          <t>860 Broadway</t>
        </is>
      </c>
      <c r="G18" t="inlineStr">
        <is>
          <t>4</t>
        </is>
      </c>
      <c r="H18" t="inlineStr">
        <is>
          <t>10003</t>
        </is>
      </c>
      <c r="I18" t="n">
        <v>40.737311</v>
      </c>
      <c r="J18" t="n">
        <v>-73.990092</v>
      </c>
      <c r="K18" t="inlineStr">
        <is>
          <t>Y</t>
        </is>
      </c>
      <c r="L18" t="inlineStr">
        <is>
          <t>over-500</t>
        </is>
      </c>
      <c r="M18" t="inlineStr">
        <is>
          <t>whole-company</t>
        </is>
      </c>
      <c r="N18" s="2" t="inlineStr">
        <is>
          <t>https://www.reveliolabs.com/companies/valon-mortgage/employees</t>
        </is>
      </c>
      <c r="O18" s="2" t="inlineStr">
        <is>
          <t>https://commercialobserver.com/2026/08/selldorf-architects-renews-14k-sf-860-broadway-lease-for-10-years/</t>
        </is>
      </c>
      <c r="P18" t="inlineStr">
        <is>
          <t>2026-08-07</t>
        </is>
      </c>
      <c r="Q18" s="2" t="inlineStr">
        <is>
          <t>https://rebusinessonline.com/?p=388206</t>
        </is>
      </c>
      <c r="R18" t="inlineStr">
        <is>
          <t>high</t>
        </is>
      </c>
      <c r="S18" t="inlineStr">
        <is>
          <t>N</t>
        </is>
      </c>
      <c r="T18" t="inlineStr"/>
      <c r="U18" t="inlineStr"/>
      <c r="V18" s="3" t="inlineStr">
        <is>
          <t>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t>
        </is>
      </c>
      <c r="W18" t="inlineStr">
        <is>
          <t>2026-10-23</t>
        </is>
      </c>
      <c r="X18" t="inlineStr">
        <is>
          <t>New York</t>
        </is>
      </c>
      <c r="Y18" t="inlineStr">
        <is>
          <t>Y</t>
        </is>
      </c>
      <c r="Z18" t="inlineStr">
        <is>
          <t>https://www.builtinnyc.com/company/valon/offices</t>
        </is>
      </c>
      <c r="AA18" t="inlineStr">
        <is>
          <t>529</t>
        </is>
      </c>
      <c r="AB18" t="inlineStr">
        <is>
          <t>over-500-second-source</t>
        </is>
      </c>
      <c r="AC18" t="inlineStr">
        <is>
          <t>500</t>
        </is>
      </c>
      <c r="AD18" t="inlineStr">
        <is>
          <t>https://www.builtinnyc.com/company/valon</t>
        </is>
      </c>
      <c r="AE18" t="inlineStr">
        <is>
          <t>2026-10-23</t>
        </is>
      </c>
      <c r="AF18" t="inlineStr">
        <is>
          <t>unknown</t>
        </is>
      </c>
      <c r="AG18" t="inlineStr"/>
      <c r="AH18" t="inlineStr">
        <is>
          <t>unknown</t>
        </is>
      </c>
      <c r="AI18" t="inlineStr">
        <is>
          <t>near-miss-over-500</t>
        </is>
      </c>
      <c r="AJ18" t="inlineStr">
        <is>
          <t>occupied</t>
        </is>
      </c>
      <c r="AK18" t="inlineStr"/>
      <c r="AL18" t="inlineStr">
        <is>
          <t>2026-08-31</t>
        </is>
      </c>
      <c r="AM18" s="3" t="inlineStr"/>
      <c r="AN18" t="inlineStr">
        <is>
          <t>leasing-press</t>
        </is>
      </c>
      <c r="AO18" t="inlineStr">
        <is>
          <t>2023-12-22</t>
        </is>
      </c>
      <c r="AP18" t="inlineStr">
        <is>
          <t>direct-lease-documented</t>
        </is>
      </c>
      <c r="AQ18" t="inlineStr">
        <is>
          <t>1008460026</t>
        </is>
      </c>
      <c r="AR18" t="n">
        <v>0</v>
      </c>
      <c r="AS18" t="inlineStr">
        <is>
          <t>13,815 sf</t>
        </is>
      </c>
      <c r="AT18" t="inlineStr">
        <is>
          <t>S1</t>
        </is>
      </c>
      <c r="AU18" s="3" t="inlineStr">
        <is>
          <t>just-over-500 (501 to 1,000): over 500 company-wide (529; Revelio Labs page in headcount_source_url, as of March 2026, added at review round 2); the NYC office alone may fit the 40-250 band, founder to confirm</t>
        </is>
      </c>
      <c r="AV18" t="inlineStr">
        <is>
          <t>just-over-500 (501 to 1,000)</t>
        </is>
      </c>
      <c r="AW18" t="inlineStr">
        <is>
          <t>529</t>
        </is>
      </c>
      <c r="AX18" t="inlineStr">
        <is>
          <t>Y</t>
        </is>
      </c>
    </row>
    <row r="19">
      <c r="A19" t="inlineStr">
        <is>
          <t>B-C-193</t>
        </is>
      </c>
      <c r="B19" t="inlineStr">
        <is>
          <t>Chime</t>
        </is>
      </c>
      <c r="C19" s="2" t="inlineStr">
        <is>
          <t>https://www.chime.com</t>
        </is>
      </c>
      <c r="D19" t="inlineStr">
        <is>
          <t>fintech (consumer banking)</t>
        </is>
      </c>
      <c r="E19" t="inlineStr"/>
      <c r="F19" t="inlineStr">
        <is>
          <t>122 Fifth Avenue</t>
        </is>
      </c>
      <c r="G19" t="inlineStr">
        <is>
          <t>unknown</t>
        </is>
      </c>
      <c r="H19" t="inlineStr">
        <is>
          <t>10011</t>
        </is>
      </c>
      <c r="I19" t="n">
        <v>40.738461</v>
      </c>
      <c r="J19" t="n">
        <v>-73.99252300000001</v>
      </c>
      <c r="K19" t="inlineStr">
        <is>
          <t>Y</t>
        </is>
      </c>
      <c r="L19" t="inlineStr">
        <is>
          <t>over-500</t>
        </is>
      </c>
      <c r="M19" t="inlineStr">
        <is>
          <t>whole-company</t>
        </is>
      </c>
      <c r="N19" s="2" t="inlineStr">
        <is>
          <t>https://www.builtinnyc.com/company/chime</t>
        </is>
      </c>
      <c r="O19" s="2" t="inlineStr">
        <is>
          <t>https://commercialobserver.com/?p=521355</t>
        </is>
      </c>
      <c r="P19" t="inlineStr">
        <is>
          <t>2025-05-08</t>
        </is>
      </c>
      <c r="Q19" s="2" t="inlineStr">
        <is>
          <t>https://commercialobserver.com/2026/06/ebay-lease-bromley-companies-122-fifth-avenue/</t>
        </is>
      </c>
      <c r="R19" t="inlineStr">
        <is>
          <t>medium</t>
        </is>
      </c>
      <c r="S19" t="inlineStr">
        <is>
          <t>N</t>
        </is>
      </c>
      <c r="T19" t="inlineStr"/>
      <c r="U19" t="inlineStr"/>
      <c r="V19" s="3" t="inlineStr">
        <is>
          <t>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is>
      </c>
      <c r="W19" t="inlineStr">
        <is>
          <t>2026-10-23</t>
        </is>
      </c>
      <c r="X19" t="inlineStr">
        <is>
          <t>San Francisco</t>
        </is>
      </c>
      <c r="Y19" t="inlineStr">
        <is>
          <t>N</t>
        </is>
      </c>
      <c r="Z19" t="inlineStr">
        <is>
          <t>https://www.builtinnyc.com/company/chime/offices</t>
        </is>
      </c>
      <c r="AA19" t="inlineStr"/>
      <c r="AB19" t="inlineStr">
        <is>
          <t>single-source</t>
        </is>
      </c>
      <c r="AC19" t="inlineStr"/>
      <c r="AD19" t="inlineStr"/>
      <c r="AE19" t="inlineStr"/>
      <c r="AF19" t="inlineStr">
        <is>
          <t>unknown</t>
        </is>
      </c>
      <c r="AG19" t="inlineStr"/>
      <c r="AH19" t="inlineStr">
        <is>
          <t>unknown</t>
        </is>
      </c>
      <c r="AI19" t="inlineStr">
        <is>
          <t>near-miss-over-500</t>
        </is>
      </c>
      <c r="AJ19" t="inlineStr">
        <is>
          <t>occupied</t>
        </is>
      </c>
      <c r="AK19" t="inlineStr"/>
      <c r="AL19" t="inlineStr">
        <is>
          <t>2026-10-23</t>
        </is>
      </c>
      <c r="AM19" s="3" t="inlineStr"/>
      <c r="AN19" t="inlineStr">
        <is>
          <t>leasing-press</t>
        </is>
      </c>
      <c r="AO19" t="inlineStr">
        <is>
          <t>2026-06-02</t>
        </is>
      </c>
      <c r="AP19" t="inlineStr">
        <is>
          <t>no-coworking-in-building</t>
        </is>
      </c>
      <c r="AQ19" t="inlineStr">
        <is>
          <t>1008190039</t>
        </is>
      </c>
      <c r="AR19" t="n">
        <v>0</v>
      </c>
      <c r="AS19" t="inlineStr">
        <is>
          <t>84,000 sf</t>
        </is>
      </c>
      <c r="AT19" t="inlineStr">
        <is>
          <t>S1</t>
        </is>
      </c>
      <c r="AU19" s="3" t="inlineStr">
        <is>
          <t>over-1,000 (1,001 to 4,999): over 500 company-wide (1,500; the count quoted in this row's notes)</t>
        </is>
      </c>
      <c r="AV19" t="inlineStr">
        <is>
          <t>over-1,000 (1,001 to 4,999)</t>
        </is>
      </c>
      <c r="AW19" t="inlineStr">
        <is>
          <t>1500</t>
        </is>
      </c>
      <c r="AX19" t="inlineStr">
        <is>
          <t>N</t>
        </is>
      </c>
    </row>
    <row r="20">
      <c r="A20" t="inlineStr">
        <is>
          <t>B-C-194</t>
        </is>
      </c>
      <c r="B20" t="inlineStr">
        <is>
          <t>Microsoft (AdTech hub)</t>
        </is>
      </c>
      <c r="C20" s="2" t="inlineStr">
        <is>
          <t>https://www.microsoft.com</t>
        </is>
      </c>
      <c r="D20" t="inlineStr">
        <is>
          <t>software (advertising technology unit)</t>
        </is>
      </c>
      <c r="E20" t="inlineStr"/>
      <c r="F20" t="inlineStr">
        <is>
          <t>122 Fifth Avenue</t>
        </is>
      </c>
      <c r="G20" t="inlineStr">
        <is>
          <t>6-10</t>
        </is>
      </c>
      <c r="H20" t="inlineStr">
        <is>
          <t>10011</t>
        </is>
      </c>
      <c r="I20" t="n">
        <v>40.738461</v>
      </c>
      <c r="J20" t="n">
        <v>-73.99252300000001</v>
      </c>
      <c r="K20" t="inlineStr">
        <is>
          <t>Y</t>
        </is>
      </c>
      <c r="L20" t="inlineStr">
        <is>
          <t>over-500</t>
        </is>
      </c>
      <c r="M20" t="inlineStr">
        <is>
          <t>whole-company</t>
        </is>
      </c>
      <c r="N20" s="2" t="inlineStr">
        <is>
          <t>https://www.builtinnyc.com/company/microsoft</t>
        </is>
      </c>
      <c r="O20" s="2" t="inlineStr">
        <is>
          <t>https://commercialobserver.com/2026/06/ebay-lease-bromley-companies-122-fifth-avenue/</t>
        </is>
      </c>
      <c r="P20" t="inlineStr">
        <is>
          <t>2026-06-02</t>
        </is>
      </c>
      <c r="Q20" s="2" t="inlineStr">
        <is>
          <t>https://commercialobserver.com/?p=521355</t>
        </is>
      </c>
      <c r="R20" t="inlineStr">
        <is>
          <t>medium</t>
        </is>
      </c>
      <c r="S20" t="inlineStr">
        <is>
          <t>N</t>
        </is>
      </c>
      <c r="T20" t="inlineStr"/>
      <c r="U20" t="inlineStr"/>
      <c r="V20" s="3" t="inlineStr">
        <is>
          <t>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is>
      </c>
      <c r="W20" t="inlineStr">
        <is>
          <t>2026-10-23</t>
        </is>
      </c>
      <c r="X20" t="inlineStr">
        <is>
          <t>Redmond</t>
        </is>
      </c>
      <c r="Y20" t="inlineStr">
        <is>
          <t>N</t>
        </is>
      </c>
      <c r="Z20" t="inlineStr">
        <is>
          <t>https://www.builtinnyc.com/company/microsoft/offices</t>
        </is>
      </c>
      <c r="AA20" t="inlineStr"/>
      <c r="AB20" t="inlineStr">
        <is>
          <t>single-source</t>
        </is>
      </c>
      <c r="AC20" t="inlineStr"/>
      <c r="AD20" t="inlineStr"/>
      <c r="AE20" t="inlineStr"/>
      <c r="AF20" t="inlineStr">
        <is>
          <t>unknown</t>
        </is>
      </c>
      <c r="AG20" t="inlineStr"/>
      <c r="AH20" t="inlineStr">
        <is>
          <t>unknown</t>
        </is>
      </c>
      <c r="AI20" t="inlineStr">
        <is>
          <t>near-miss-over-500</t>
        </is>
      </c>
      <c r="AJ20" t="inlineStr">
        <is>
          <t>occupied</t>
        </is>
      </c>
      <c r="AK20" t="inlineStr"/>
      <c r="AL20" t="inlineStr">
        <is>
          <t>2026-10-23</t>
        </is>
      </c>
      <c r="AM20" s="3" t="inlineStr"/>
      <c r="AN20" t="inlineStr">
        <is>
          <t>leasing-press</t>
        </is>
      </c>
      <c r="AO20" t="inlineStr">
        <is>
          <t>2025-05-08</t>
        </is>
      </c>
      <c r="AP20" t="inlineStr">
        <is>
          <t>no-coworking-in-building</t>
        </is>
      </c>
      <c r="AQ20" t="inlineStr">
        <is>
          <t>1008190039</t>
        </is>
      </c>
      <c r="AR20" t="n">
        <v>0</v>
      </c>
      <c r="AS20" t="inlineStr">
        <is>
          <t>150,000 sf</t>
        </is>
      </c>
      <c r="AT20" t="inlineStr">
        <is>
          <t>S1</t>
        </is>
      </c>
      <c r="AU20" s="3" t="inlineStr">
        <is>
          <t>not-near (5,000 or more): over 500 company-wide (223,000; Wikipedia infobox, Microsoft: 223,000 employees (2026), opened 2026-10-24)</t>
        </is>
      </c>
      <c r="AV20" t="inlineStr">
        <is>
          <t>not-near (5,000 or more)</t>
        </is>
      </c>
      <c r="AW20" t="inlineStr">
        <is>
          <t>223000</t>
        </is>
      </c>
      <c r="AX20" t="inlineStr">
        <is>
          <t>N</t>
        </is>
      </c>
    </row>
    <row r="21">
      <c r="A21" t="inlineStr">
        <is>
          <t>B-C-195</t>
        </is>
      </c>
      <c r="B21" t="inlineStr">
        <is>
          <t>eBay</t>
        </is>
      </c>
      <c r="C21" s="2" t="inlineStr">
        <is>
          <t>https://www.ebay.com</t>
        </is>
      </c>
      <c r="D21" t="inlineStr">
        <is>
          <t>e-commerce</t>
        </is>
      </c>
      <c r="E21" t="inlineStr"/>
      <c r="F21" t="inlineStr">
        <is>
          <t>122 Fifth Avenue</t>
        </is>
      </c>
      <c r="G21" t="inlineStr">
        <is>
          <t>2</t>
        </is>
      </c>
      <c r="H21" t="inlineStr">
        <is>
          <t>10011</t>
        </is>
      </c>
      <c r="I21" t="n">
        <v>40.738461</v>
      </c>
      <c r="J21" t="n">
        <v>-73.99252300000001</v>
      </c>
      <c r="K21" t="inlineStr">
        <is>
          <t>Y</t>
        </is>
      </c>
      <c r="L21" t="inlineStr">
        <is>
          <t>over-500</t>
        </is>
      </c>
      <c r="M21" t="inlineStr">
        <is>
          <t>whole-company</t>
        </is>
      </c>
      <c r="N21" s="2" t="inlineStr">
        <is>
          <t>https://www.builtinnyc.com/company/ebay</t>
        </is>
      </c>
      <c r="O21" s="2" t="inlineStr">
        <is>
          <t>https://commercialobserver.com/2026/06/ebay-lease-bromley-companies-122-fifth-avenue/</t>
        </is>
      </c>
      <c r="P21" t="inlineStr">
        <is>
          <t>2026-06-02</t>
        </is>
      </c>
      <c r="Q21" t="inlineStr"/>
      <c r="R21" t="inlineStr">
        <is>
          <t>medium</t>
        </is>
      </c>
      <c r="S21" t="inlineStr">
        <is>
          <t>N</t>
        </is>
      </c>
      <c r="T21" t="inlineStr"/>
      <c r="U21" t="inlineStr"/>
      <c r="V21" s="3" t="inlineStr">
        <is>
          <t>Near-miss: over 500 (Built In: 26,035 total employees). CO 2026-06-02: eight-year 27,902 sf lease on the entire 2nd floor, relocating from 625 Avenue of the Americas; move-in timing not stated.</t>
        </is>
      </c>
      <c r="W21" t="inlineStr">
        <is>
          <t>2026-10-23</t>
        </is>
      </c>
      <c r="X21" t="inlineStr">
        <is>
          <t>San Jose</t>
        </is>
      </c>
      <c r="Y21" t="inlineStr">
        <is>
          <t>N</t>
        </is>
      </c>
      <c r="Z21" t="inlineStr">
        <is>
          <t>https://www.builtinnyc.com/company/ebay/offices</t>
        </is>
      </c>
      <c r="AA21" t="inlineStr"/>
      <c r="AB21" t="inlineStr">
        <is>
          <t>single-source</t>
        </is>
      </c>
      <c r="AC21" t="inlineStr"/>
      <c r="AD21" t="inlineStr"/>
      <c r="AE21" t="inlineStr"/>
      <c r="AF21" t="inlineStr">
        <is>
          <t>unknown</t>
        </is>
      </c>
      <c r="AG21" t="inlineStr"/>
      <c r="AH21" t="inlineStr">
        <is>
          <t>unknown</t>
        </is>
      </c>
      <c r="AI21" t="inlineStr">
        <is>
          <t>near-miss-over-500</t>
        </is>
      </c>
      <c r="AJ21" t="inlineStr">
        <is>
          <t>signed-not-occupied</t>
        </is>
      </c>
      <c r="AK21" t="inlineStr">
        <is>
          <t>unknown</t>
        </is>
      </c>
      <c r="AL21" t="inlineStr">
        <is>
          <t>2026-10-23</t>
        </is>
      </c>
      <c r="AM21" s="3" t="inlineStr"/>
      <c r="AN21" t="inlineStr">
        <is>
          <t>leasing-press</t>
        </is>
      </c>
      <c r="AO21" t="inlineStr"/>
      <c r="AP21" t="inlineStr">
        <is>
          <t>no-coworking-in-building</t>
        </is>
      </c>
      <c r="AQ21" t="inlineStr">
        <is>
          <t>1008190039</t>
        </is>
      </c>
      <c r="AR21" t="n">
        <v>0</v>
      </c>
      <c r="AS21" t="inlineStr">
        <is>
          <t>27,902 sf</t>
        </is>
      </c>
      <c r="AT21" t="inlineStr">
        <is>
          <t>S1</t>
        </is>
      </c>
      <c r="AU21" s="3" t="inlineStr">
        <is>
          <t>not-near (5,000 or more): over 500 company-wide (26,035; the count quoted in this row's notes)</t>
        </is>
      </c>
      <c r="AV21" t="inlineStr">
        <is>
          <t>not-near (5,000 or more)</t>
        </is>
      </c>
      <c r="AW21" t="inlineStr">
        <is>
          <t>26035</t>
        </is>
      </c>
      <c r="AX21" t="inlineStr">
        <is>
          <t>N</t>
        </is>
      </c>
    </row>
    <row r="22">
      <c r="A22" t="inlineStr">
        <is>
          <t>B-C-196</t>
        </is>
      </c>
      <c r="B22" t="inlineStr">
        <is>
          <t>Charlie Health</t>
        </is>
      </c>
      <c r="C22" s="2" t="inlineStr">
        <is>
          <t>https://www.charliehealth.com</t>
        </is>
      </c>
      <c r="D22" t="inlineStr">
        <is>
          <t>virtual behavioral health</t>
        </is>
      </c>
      <c r="E22" t="inlineStr">
        <is>
          <t>B-B-016</t>
        </is>
      </c>
      <c r="F22" t="inlineStr">
        <is>
          <t>215 Park Avenue South</t>
        </is>
      </c>
      <c r="G22" t="inlineStr">
        <is>
          <t>unknown</t>
        </is>
      </c>
      <c r="H22" t="inlineStr">
        <is>
          <t>10003</t>
        </is>
      </c>
      <c r="I22" t="n">
        <v>40.73686</v>
      </c>
      <c r="J22" t="n">
        <v>-73.988546</v>
      </c>
      <c r="K22" t="inlineStr">
        <is>
          <t>Y</t>
        </is>
      </c>
      <c r="L22" t="inlineStr">
        <is>
          <t>over-500</t>
        </is>
      </c>
      <c r="M22" t="inlineStr">
        <is>
          <t>whole-company</t>
        </is>
      </c>
      <c r="N22" s="2" t="inlineStr">
        <is>
          <t>https://www.builtinnyc.com/company/charlie-health</t>
        </is>
      </c>
      <c r="O22" s="2" t="inlineStr">
        <is>
          <t>https://www.sec.gov/Archives/edgar/data/1013454/000153949726000704/n5676_x5-424h.htm</t>
        </is>
      </c>
      <c r="P22" t="inlineStr">
        <is>
          <t>2026-02</t>
        </is>
      </c>
      <c r="Q22" t="inlineStr"/>
      <c r="R22" t="inlineStr">
        <is>
          <t>medium</t>
        </is>
      </c>
      <c r="S22" t="inlineStr">
        <is>
          <t>N</t>
        </is>
      </c>
      <c r="T22" t="inlineStr"/>
      <c r="U22" t="inlineStr"/>
      <c r="V22" s="3" t="inlineStr">
        <is>
          <t>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2" t="inlineStr">
        <is>
          <t>2026-10-23</t>
        </is>
      </c>
      <c r="X22" t="inlineStr">
        <is>
          <t>New York</t>
        </is>
      </c>
      <c r="Y22" t="inlineStr">
        <is>
          <t>Y</t>
        </is>
      </c>
      <c r="Z22" t="inlineStr">
        <is>
          <t>https://www.builtinnyc.com/company/charlie-health/offices</t>
        </is>
      </c>
      <c r="AA22" t="inlineStr"/>
      <c r="AB22" t="inlineStr">
        <is>
          <t>single-source</t>
        </is>
      </c>
      <c r="AC22" t="inlineStr"/>
      <c r="AD22" t="inlineStr"/>
      <c r="AE22" t="inlineStr"/>
      <c r="AF22" t="inlineStr">
        <is>
          <t>unknown</t>
        </is>
      </c>
      <c r="AG22" t="inlineStr"/>
      <c r="AH22" t="inlineStr">
        <is>
          <t>security desk</t>
        </is>
      </c>
      <c r="AI22" t="inlineStr">
        <is>
          <t>near-miss-over-500</t>
        </is>
      </c>
      <c r="AJ22" t="inlineStr">
        <is>
          <t>occupied</t>
        </is>
      </c>
      <c r="AK22" t="inlineStr"/>
      <c r="AL22" t="inlineStr">
        <is>
          <t>2026-10-23</t>
        </is>
      </c>
      <c r="AM22" s="3" t="inlineStr"/>
      <c r="AN22" t="inlineStr">
        <is>
          <t>other</t>
        </is>
      </c>
      <c r="AO22" t="inlineStr"/>
      <c r="AP22" t="inlineStr">
        <is>
          <t>direct-lease-documented</t>
        </is>
      </c>
      <c r="AQ22" t="inlineStr">
        <is>
          <t>1008730067</t>
        </is>
      </c>
      <c r="AR22" t="n">
        <v>0</v>
      </c>
      <c r="AS22" t="inlineStr">
        <is>
          <t>17,255 sf</t>
        </is>
      </c>
      <c r="AT22" t="inlineStr">
        <is>
          <t>S1</t>
        </is>
      </c>
      <c r="AU22" s="3" t="inlineStr">
        <is>
          <t>over-1,000 (1,001 to 4,999): over 500 company-wide (3,000; the count quoted in this row's notes)</t>
        </is>
      </c>
      <c r="AV22" t="inlineStr">
        <is>
          <t>over-1,000 (1,001 to 4,999)</t>
        </is>
      </c>
      <c r="AW22" t="inlineStr">
        <is>
          <t>3000</t>
        </is>
      </c>
      <c r="AX22" t="inlineStr">
        <is>
          <t>N</t>
        </is>
      </c>
    </row>
    <row r="23">
      <c r="A23" t="inlineStr">
        <is>
          <t>B-C-197</t>
        </is>
      </c>
      <c r="B23" t="inlineStr">
        <is>
          <t>Rakuten USA</t>
        </is>
      </c>
      <c r="C23" t="inlineStr">
        <is>
          <t>unknown</t>
        </is>
      </c>
      <c r="D23" t="inlineStr">
        <is>
          <t>e-commerce and internet services</t>
        </is>
      </c>
      <c r="E23" t="inlineStr">
        <is>
          <t>B-B-016</t>
        </is>
      </c>
      <c r="F23" t="inlineStr">
        <is>
          <t>215 Park Avenue South</t>
        </is>
      </c>
      <c r="G23" t="inlineStr">
        <is>
          <t>unknown</t>
        </is>
      </c>
      <c r="H23" t="inlineStr">
        <is>
          <t>10003</t>
        </is>
      </c>
      <c r="I23" t="n">
        <v>40.73686</v>
      </c>
      <c r="J23" t="n">
        <v>-73.988546</v>
      </c>
      <c r="K23" t="inlineStr">
        <is>
          <t>Y</t>
        </is>
      </c>
      <c r="L23" t="inlineStr">
        <is>
          <t>over-500</t>
        </is>
      </c>
      <c r="M23" t="inlineStr">
        <is>
          <t>whole-company</t>
        </is>
      </c>
      <c r="N23" s="2" t="inlineStr">
        <is>
          <t>https://www.builtinnyc.com/company/rakuten-advertising</t>
        </is>
      </c>
      <c r="O23" s="2" t="inlineStr">
        <is>
          <t>https://www.sec.gov/Archives/edgar/data/1013454/000153949726000704/n5676_x5-424h.htm</t>
        </is>
      </c>
      <c r="P23" t="inlineStr">
        <is>
          <t>2026-02</t>
        </is>
      </c>
      <c r="Q23" s="2" t="inlineStr">
        <is>
          <t>https://www.nyrej.com/sl-green-signs-29-915-s-f-lease-with-nayya-health-at-215-park-ave-south</t>
        </is>
      </c>
      <c r="R23" t="inlineStr">
        <is>
          <t>high</t>
        </is>
      </c>
      <c r="S23" t="inlineStr">
        <is>
          <t>N</t>
        </is>
      </c>
      <c r="T23" t="inlineStr"/>
      <c r="U23" t="inlineStr"/>
      <c r="V23" s="3" t="inlineStr">
        <is>
          <t>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W23" t="inlineStr">
        <is>
          <t>2026-10-23</t>
        </is>
      </c>
      <c r="X23" t="inlineStr">
        <is>
          <t>San Mateo</t>
        </is>
      </c>
      <c r="Y23" t="inlineStr">
        <is>
          <t>N</t>
        </is>
      </c>
      <c r="Z23" t="inlineStr">
        <is>
          <t>https://www.builtinnyc.com/company/rakuten-advertising/offices</t>
        </is>
      </c>
      <c r="AA23" t="inlineStr"/>
      <c r="AB23" t="inlineStr">
        <is>
          <t>single-source</t>
        </is>
      </c>
      <c r="AC23" t="inlineStr"/>
      <c r="AD23" t="inlineStr"/>
      <c r="AE23" t="inlineStr"/>
      <c r="AF23" t="inlineStr">
        <is>
          <t>unknown</t>
        </is>
      </c>
      <c r="AG23" t="inlineStr"/>
      <c r="AH23" t="inlineStr">
        <is>
          <t>security desk</t>
        </is>
      </c>
      <c r="AI23" t="inlineStr">
        <is>
          <t>near-miss-over-500</t>
        </is>
      </c>
      <c r="AJ23" t="inlineStr">
        <is>
          <t>occupied</t>
        </is>
      </c>
      <c r="AK23" t="inlineStr"/>
      <c r="AL23" t="inlineStr">
        <is>
          <t>2026-10-23</t>
        </is>
      </c>
      <c r="AM23" s="3" t="inlineStr"/>
      <c r="AN23" t="inlineStr">
        <is>
          <t>other</t>
        </is>
      </c>
      <c r="AO23" t="inlineStr">
        <is>
          <t>2024-12-10</t>
        </is>
      </c>
      <c r="AP23" t="inlineStr">
        <is>
          <t>direct-lease-documented</t>
        </is>
      </c>
      <c r="AQ23" t="inlineStr">
        <is>
          <t>1008730067</t>
        </is>
      </c>
      <c r="AR23" t="n">
        <v>0</v>
      </c>
      <c r="AS23" t="inlineStr">
        <is>
          <t>34,510 sf</t>
        </is>
      </c>
      <c r="AT23" t="inlineStr">
        <is>
          <t>S1</t>
        </is>
      </c>
      <c r="AU23" s="3" t="inlineStr">
        <is>
          <t>just-over-500 (501 to 1,000): over 500 company-wide (980; the count quoted in this row's notes)</t>
        </is>
      </c>
      <c r="AV23" t="inlineStr">
        <is>
          <t>just-over-500 (501 to 1,000)</t>
        </is>
      </c>
      <c r="AW23" t="inlineStr">
        <is>
          <t>980</t>
        </is>
      </c>
      <c r="AX23" t="inlineStr">
        <is>
          <t>N</t>
        </is>
      </c>
    </row>
    <row r="24">
      <c r="A24" t="inlineStr">
        <is>
          <t>B-C-192</t>
        </is>
      </c>
      <c r="B24" t="inlineStr">
        <is>
          <t>WW International (WeightWatchers)</t>
        </is>
      </c>
      <c r="C24" s="2" t="inlineStr">
        <is>
          <t>https://www.weightwatchers.com</t>
        </is>
      </c>
      <c r="D24" t="inlineStr">
        <is>
          <t>consumer health and wellness</t>
        </is>
      </c>
      <c r="E24" t="inlineStr">
        <is>
          <t>B-B-014</t>
        </is>
      </c>
      <c r="F24" t="inlineStr">
        <is>
          <t>18 West 18th Street</t>
        </is>
      </c>
      <c r="G24" t="inlineStr">
        <is>
          <t>7</t>
        </is>
      </c>
      <c r="H24" t="inlineStr">
        <is>
          <t>10011</t>
        </is>
      </c>
      <c r="I24" t="n">
        <v>40.738939</v>
      </c>
      <c r="J24" t="n">
        <v>-73.993331</v>
      </c>
      <c r="K24" t="inlineStr">
        <is>
          <t>Y</t>
        </is>
      </c>
      <c r="L24" t="inlineStr">
        <is>
          <t>over-500</t>
        </is>
      </c>
      <c r="M24" t="inlineStr">
        <is>
          <t>whole-company</t>
        </is>
      </c>
      <c r="N24" s="2" t="inlineStr">
        <is>
          <t>https://www.builtinnyc.com/company/weightwatchers</t>
        </is>
      </c>
      <c r="O24" s="2" t="inlineStr">
        <is>
          <t>https://www.sec.gov/Archives/edgar/data/105319/000119312526335166/ww-20260630.htm</t>
        </is>
      </c>
      <c r="P24" t="inlineStr">
        <is>
          <t>2026-08-05</t>
        </is>
      </c>
      <c r="Q24" t="inlineStr"/>
      <c r="R24" t="inlineStr">
        <is>
          <t>medium</t>
        </is>
      </c>
      <c r="S24" t="inlineStr">
        <is>
          <t>N</t>
        </is>
      </c>
      <c r="T24" t="inlineStr"/>
      <c r="U24" t="inlineStr"/>
      <c r="V24" s="3" t="inlineStr">
        <is>
          <t>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W24" t="inlineStr">
        <is>
          <t>2026-10-23</t>
        </is>
      </c>
      <c r="X24" t="inlineStr">
        <is>
          <t>New York</t>
        </is>
      </c>
      <c r="Y24" t="inlineStr">
        <is>
          <t>Y</t>
        </is>
      </c>
      <c r="Z24" t="inlineStr">
        <is>
          <t>https://www.builtinnyc.com/company/weightwatchers/offices</t>
        </is>
      </c>
      <c r="AA24" t="inlineStr"/>
      <c r="AB24" t="inlineStr">
        <is>
          <t>single-source</t>
        </is>
      </c>
      <c r="AC24" t="inlineStr"/>
      <c r="AD24" t="inlineStr"/>
      <c r="AE24" t="inlineStr"/>
      <c r="AF24" t="inlineStr">
        <is>
          <t>unknown</t>
        </is>
      </c>
      <c r="AG24" t="inlineStr"/>
      <c r="AH24" t="inlineStr">
        <is>
          <t>unknown</t>
        </is>
      </c>
      <c r="AI24" t="inlineStr">
        <is>
          <t>near-miss-over-500</t>
        </is>
      </c>
      <c r="AJ24" t="inlineStr">
        <is>
          <t>occupied</t>
        </is>
      </c>
      <c r="AK24" t="inlineStr"/>
      <c r="AL24" t="inlineStr">
        <is>
          <t>2026-10-23</t>
        </is>
      </c>
      <c r="AM24" s="3" t="inlineStr"/>
      <c r="AN24" t="inlineStr">
        <is>
          <t>other</t>
        </is>
      </c>
      <c r="AO24" t="inlineStr"/>
      <c r="AP24" t="inlineStr">
        <is>
          <t>floor-unknown</t>
        </is>
      </c>
      <c r="AQ24" t="inlineStr">
        <is>
          <t>1008190056</t>
        </is>
      </c>
      <c r="AR24" t="n">
        <v>0</v>
      </c>
      <c r="AS24" t="inlineStr"/>
      <c r="AT24" t="inlineStr">
        <is>
          <t>S2</t>
        </is>
      </c>
      <c r="AU24" s="3" t="inlineStr">
        <is>
          <t>over-1,000 (1,001 to 4,999): over 500 company-wide (1,100; the count quoted in this row's notes)</t>
        </is>
      </c>
      <c r="AV24" t="inlineStr">
        <is>
          <t>over-1,000 (1,001 to 4,999)</t>
        </is>
      </c>
      <c r="AW24" t="inlineStr">
        <is>
          <t>1100</t>
        </is>
      </c>
      <c r="AX24" t="inlineStr">
        <is>
          <t>N</t>
        </is>
      </c>
    </row>
    <row r="25">
      <c r="A25" t="inlineStr">
        <is>
          <t>B-C-198</t>
        </is>
      </c>
      <c r="B25" t="inlineStr">
        <is>
          <t>Airbnb</t>
        </is>
      </c>
      <c r="C25" s="2" t="inlineStr">
        <is>
          <t>https://www.airbnb.com</t>
        </is>
      </c>
      <c r="D25" t="inlineStr">
        <is>
          <t>travel marketplace</t>
        </is>
      </c>
      <c r="E25" t="inlineStr">
        <is>
          <t>B-B-017</t>
        </is>
      </c>
      <c r="F25" t="inlineStr">
        <is>
          <t>130 Fifth Avenue</t>
        </is>
      </c>
      <c r="G25" t="inlineStr">
        <is>
          <t>3</t>
        </is>
      </c>
      <c r="H25" t="inlineStr">
        <is>
          <t>10011</t>
        </is>
      </c>
      <c r="I25" t="n">
        <v>40.738793</v>
      </c>
      <c r="J25" t="n">
        <v>-73.991823</v>
      </c>
      <c r="K25" t="inlineStr">
        <is>
          <t>Y</t>
        </is>
      </c>
      <c r="L25" t="inlineStr">
        <is>
          <t>over-500</t>
        </is>
      </c>
      <c r="M25" t="inlineStr">
        <is>
          <t>whole-company</t>
        </is>
      </c>
      <c r="N25" s="2" t="inlineStr">
        <is>
          <t>https://www.builtinnyc.com/company/airbnb</t>
        </is>
      </c>
      <c r="O25" s="2" t="inlineStr">
        <is>
          <t>https://commercialobserver.com/2024/12/airbnb-lease-130-fifth-avenue/</t>
        </is>
      </c>
      <c r="P25" t="inlineStr">
        <is>
          <t>2024-12-02</t>
        </is>
      </c>
      <c r="Q25" s="2" t="inlineStr">
        <is>
          <t>https://commercialobserver.com/2026/07/airbnb-buys-281-park-avenue-south-office/</t>
        </is>
      </c>
      <c r="R25" t="inlineStr">
        <is>
          <t>medium</t>
        </is>
      </c>
      <c r="S25" t="inlineStr">
        <is>
          <t>N</t>
        </is>
      </c>
      <c r="T25" t="inlineStr"/>
      <c r="U25" t="inlineStr"/>
      <c r="V25" s="3" t="inlineStr">
        <is>
          <t>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is>
      </c>
      <c r="W25" t="inlineStr">
        <is>
          <t>2026-10-23</t>
        </is>
      </c>
      <c r="X25" t="inlineStr">
        <is>
          <t>San Francisco</t>
        </is>
      </c>
      <c r="Y25" t="inlineStr">
        <is>
          <t>N</t>
        </is>
      </c>
      <c r="Z25" t="inlineStr">
        <is>
          <t>https://www.builtinnyc.com/company/airbnb/offices</t>
        </is>
      </c>
      <c r="AA25" t="inlineStr"/>
      <c r="AB25" t="inlineStr">
        <is>
          <t>single-source</t>
        </is>
      </c>
      <c r="AC25" t="inlineStr"/>
      <c r="AD25" t="inlineStr"/>
      <c r="AE25" t="inlineStr"/>
      <c r="AF25" t="inlineStr">
        <is>
          <t>unknown</t>
        </is>
      </c>
      <c r="AG25" t="inlineStr"/>
      <c r="AH25" t="inlineStr">
        <is>
          <t>unknown</t>
        </is>
      </c>
      <c r="AI25" t="inlineStr">
        <is>
          <t>near-miss-over-500</t>
        </is>
      </c>
      <c r="AJ25" t="inlineStr">
        <is>
          <t>occupied</t>
        </is>
      </c>
      <c r="AK25" t="inlineStr"/>
      <c r="AL25" t="inlineStr">
        <is>
          <t>2026-10-23</t>
        </is>
      </c>
      <c r="AM25" s="3" t="inlineStr"/>
      <c r="AN25" t="inlineStr">
        <is>
          <t>leasing-press</t>
        </is>
      </c>
      <c r="AO25" t="inlineStr">
        <is>
          <t>2026-07-09</t>
        </is>
      </c>
      <c r="AP25" t="inlineStr">
        <is>
          <t>no-coworking-in-building</t>
        </is>
      </c>
      <c r="AQ25" t="inlineStr">
        <is>
          <t>1008200038</t>
        </is>
      </c>
      <c r="AR25" t="n">
        <v>0</v>
      </c>
      <c r="AS25" t="inlineStr">
        <is>
          <t>13,300 sf</t>
        </is>
      </c>
      <c r="AT25" t="inlineStr">
        <is>
          <t>S2</t>
        </is>
      </c>
      <c r="AU25" s="3" t="inlineStr">
        <is>
          <t>not-near (5,000 or more): over 500 company-wide (14,622; the count quoted in this row's notes)</t>
        </is>
      </c>
      <c r="AV25" t="inlineStr">
        <is>
          <t>not-near (5,000 or more)</t>
        </is>
      </c>
      <c r="AW25" t="inlineStr">
        <is>
          <t>14622</t>
        </is>
      </c>
      <c r="AX25" t="inlineStr">
        <is>
          <t>N</t>
        </is>
      </c>
    </row>
    <row r="26">
      <c r="A26" t="inlineStr">
        <is>
          <t>B-C-199</t>
        </is>
      </c>
      <c r="B26" t="inlineStr">
        <is>
          <t>monday.com</t>
        </is>
      </c>
      <c r="C26" s="2" t="inlineStr">
        <is>
          <t>https://monday.com</t>
        </is>
      </c>
      <c r="D26" t="inlineStr">
        <is>
          <t>work management software</t>
        </is>
      </c>
      <c r="E26" t="inlineStr"/>
      <c r="F26" t="inlineStr">
        <is>
          <t>225 Park Avenue South</t>
        </is>
      </c>
      <c r="G26" t="inlineStr">
        <is>
          <t>unknown</t>
        </is>
      </c>
      <c r="H26" t="inlineStr">
        <is>
          <t>10003</t>
        </is>
      </c>
      <c r="I26" t="n">
        <v>40.737275</v>
      </c>
      <c r="J26" t="n">
        <v>-73.98824399999999</v>
      </c>
      <c r="K26" t="inlineStr">
        <is>
          <t>Y</t>
        </is>
      </c>
      <c r="L26" t="inlineStr">
        <is>
          <t>over-500</t>
        </is>
      </c>
      <c r="M26" t="inlineStr">
        <is>
          <t>whole-company</t>
        </is>
      </c>
      <c r="N26" s="2" t="inlineStr">
        <is>
          <t>https://www.builtinnyc.com/company/mondaycom</t>
        </is>
      </c>
      <c r="O26" s="2" t="inlineStr">
        <is>
          <t>https://commercialobserver.com/2025/12/expanding-monday-work-platform-takes-more-space-gramercy-park/</t>
        </is>
      </c>
      <c r="P26" t="inlineStr">
        <is>
          <t>2025-12</t>
        </is>
      </c>
      <c r="Q26" t="inlineStr"/>
      <c r="R26" t="inlineStr">
        <is>
          <t>medium</t>
        </is>
      </c>
      <c r="S26" t="inlineStr">
        <is>
          <t>N</t>
        </is>
      </c>
      <c r="T26" t="inlineStr"/>
      <c r="U26" t="inlineStr"/>
      <c r="V26" s="3" t="inlineStr">
        <is>
          <t>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is>
      </c>
      <c r="W26" t="inlineStr">
        <is>
          <t>2026-10-23</t>
        </is>
      </c>
      <c r="X26" t="inlineStr">
        <is>
          <t>New York</t>
        </is>
      </c>
      <c r="Y26" t="inlineStr">
        <is>
          <t>Y</t>
        </is>
      </c>
      <c r="Z26" t="inlineStr">
        <is>
          <t>https://www.builtinnyc.com/company/mondaycom/offices</t>
        </is>
      </c>
      <c r="AA26" t="inlineStr"/>
      <c r="AB26" t="inlineStr">
        <is>
          <t>single-source</t>
        </is>
      </c>
      <c r="AC26" t="inlineStr"/>
      <c r="AD26" t="inlineStr"/>
      <c r="AE26" t="inlineStr"/>
      <c r="AF26" t="inlineStr">
        <is>
          <t>unknown</t>
        </is>
      </c>
      <c r="AG26" t="inlineStr"/>
      <c r="AH26" t="inlineStr">
        <is>
          <t>unknown</t>
        </is>
      </c>
      <c r="AI26" t="inlineStr">
        <is>
          <t>near-miss-over-500</t>
        </is>
      </c>
      <c r="AJ26" t="inlineStr">
        <is>
          <t>occupied</t>
        </is>
      </c>
      <c r="AK26" t="inlineStr"/>
      <c r="AL26" t="inlineStr">
        <is>
          <t>2026-10-23</t>
        </is>
      </c>
      <c r="AM26" s="3" t="inlineStr"/>
      <c r="AN26" t="inlineStr">
        <is>
          <t>leasing-press</t>
        </is>
      </c>
      <c r="AO26" t="inlineStr"/>
      <c r="AP26" t="inlineStr">
        <is>
          <t>no-coworking-in-building</t>
        </is>
      </c>
      <c r="AQ26" t="inlineStr">
        <is>
          <t>1008740001</t>
        </is>
      </c>
      <c r="AR26" t="n">
        <v>0</v>
      </c>
      <c r="AS26" t="inlineStr">
        <is>
          <t>138,611 sf</t>
        </is>
      </c>
      <c r="AT26" t="inlineStr">
        <is>
          <t>S1</t>
        </is>
      </c>
      <c r="AU26" s="3" t="inlineStr">
        <is>
          <t>over-1,000 (1,001 to 4,999): over 500 company-wide (3,155; the count quoted in this row's notes)</t>
        </is>
      </c>
      <c r="AV26" t="inlineStr">
        <is>
          <t>over-1,000 (1,001 to 4,999)</t>
        </is>
      </c>
      <c r="AW26" t="inlineStr">
        <is>
          <t>3155</t>
        </is>
      </c>
      <c r="AX26" t="inlineStr">
        <is>
          <t>N</t>
        </is>
      </c>
    </row>
    <row r="27">
      <c r="A27" t="inlineStr">
        <is>
          <t>B-C-200</t>
        </is>
      </c>
      <c r="B27" t="inlineStr">
        <is>
          <t>Ro</t>
        </is>
      </c>
      <c r="C27" s="2" t="inlineStr">
        <is>
          <t>https://ro.co</t>
        </is>
      </c>
      <c r="D27" t="inlineStr">
        <is>
          <t>telehealth</t>
        </is>
      </c>
      <c r="E27" t="inlineStr">
        <is>
          <t>B-B-020</t>
        </is>
      </c>
      <c r="F27" t="inlineStr">
        <is>
          <t>625 Avenue of the Americas</t>
        </is>
      </c>
      <c r="G27" t="inlineStr">
        <is>
          <t>4</t>
        </is>
      </c>
      <c r="H27" t="inlineStr">
        <is>
          <t>10011</t>
        </is>
      </c>
      <c r="I27" t="n">
        <v>40.74024</v>
      </c>
      <c r="J27" t="n">
        <v>-73.994996</v>
      </c>
      <c r="K27" t="inlineStr">
        <is>
          <t>Y</t>
        </is>
      </c>
      <c r="L27" t="inlineStr">
        <is>
          <t>over-500</t>
        </is>
      </c>
      <c r="M27" t="inlineStr">
        <is>
          <t>whole-company</t>
        </is>
      </c>
      <c r="N27" s="2" t="inlineStr">
        <is>
          <t>https://www.builtinnyc.com/company/ro</t>
        </is>
      </c>
      <c r="O27" s="2" t="inlineStr">
        <is>
          <t>https://www.builtinnyc.com/company/ro/offices</t>
        </is>
      </c>
      <c r="P27" t="inlineStr">
        <is>
          <t>2026-10-23</t>
        </is>
      </c>
      <c r="Q27" s="2" t="inlineStr">
        <is>
          <t>https://commercialobserver.com/2024/11/trading-firm-gts-lease-625-avenue-of-the-americas/</t>
        </is>
      </c>
      <c r="R27" t="inlineStr">
        <is>
          <t>high</t>
        </is>
      </c>
      <c r="S27" t="inlineStr">
        <is>
          <t>N</t>
        </is>
      </c>
      <c r="T27" t="inlineStr"/>
      <c r="U27" t="inlineStr"/>
      <c r="V27" s="3" t="inlineStr">
        <is>
          <t>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W27" t="inlineStr">
        <is>
          <t>2026-10-23</t>
        </is>
      </c>
      <c r="X27" t="inlineStr">
        <is>
          <t>New York</t>
        </is>
      </c>
      <c r="Y27" t="inlineStr">
        <is>
          <t>Y</t>
        </is>
      </c>
      <c r="Z27" t="inlineStr">
        <is>
          <t>https://www.builtinnyc.com/company/ro/offices</t>
        </is>
      </c>
      <c r="AA27" t="inlineStr"/>
      <c r="AB27" t="inlineStr">
        <is>
          <t>single-source</t>
        </is>
      </c>
      <c r="AC27" t="inlineStr"/>
      <c r="AD27" t="inlineStr"/>
      <c r="AE27" t="inlineStr"/>
      <c r="AF27" t="inlineStr">
        <is>
          <t>unknown</t>
        </is>
      </c>
      <c r="AG27" t="inlineStr"/>
      <c r="AH27" t="inlineStr">
        <is>
          <t>unknown</t>
        </is>
      </c>
      <c r="AI27" t="inlineStr">
        <is>
          <t>near-miss-over-500</t>
        </is>
      </c>
      <c r="AJ27" t="inlineStr">
        <is>
          <t>occupied</t>
        </is>
      </c>
      <c r="AK27" t="inlineStr"/>
      <c r="AL27" t="inlineStr">
        <is>
          <t>2026-10-23</t>
        </is>
      </c>
      <c r="AM27" s="3" t="inlineStr"/>
      <c r="AN27" t="inlineStr">
        <is>
          <t>builtin</t>
        </is>
      </c>
      <c r="AO27" t="inlineStr">
        <is>
          <t>2024-11-21</t>
        </is>
      </c>
      <c r="AP27" t="inlineStr">
        <is>
          <t>no-coworking-in-building</t>
        </is>
      </c>
      <c r="AQ27" t="inlineStr">
        <is>
          <t>1007940030</t>
        </is>
      </c>
      <c r="AR27" t="n">
        <v>0</v>
      </c>
      <c r="AS27" t="inlineStr">
        <is>
          <t>35,156 sf</t>
        </is>
      </c>
      <c r="AT27" t="inlineStr">
        <is>
          <t>S2</t>
        </is>
      </c>
      <c r="AU27" s="3" t="inlineStr">
        <is>
          <t>just-over-500 (501 to 1,000): over 500 company-wide (824; the count quoted in this row's notes)</t>
        </is>
      </c>
      <c r="AV27" t="inlineStr">
        <is>
          <t>just-over-500 (501 to 1,000)</t>
        </is>
      </c>
      <c r="AW27" t="inlineStr">
        <is>
          <t>824</t>
        </is>
      </c>
      <c r="AX27" t="inlineStr">
        <is>
          <t>N</t>
        </is>
      </c>
    </row>
    <row r="28">
      <c r="A28" t="inlineStr">
        <is>
          <t>B-C-201</t>
        </is>
      </c>
      <c r="B28" t="inlineStr">
        <is>
          <t>Cole Haan</t>
        </is>
      </c>
      <c r="C28" s="2" t="inlineStr">
        <is>
          <t>https://www.colehaan.com</t>
        </is>
      </c>
      <c r="D28" t="inlineStr">
        <is>
          <t>footwear brand (NYC office)</t>
        </is>
      </c>
      <c r="E28" t="inlineStr">
        <is>
          <t>B-B-021</t>
        </is>
      </c>
      <c r="F28" t="inlineStr">
        <is>
          <t>620 Avenue of the Americas</t>
        </is>
      </c>
      <c r="G28" t="inlineStr">
        <is>
          <t>3</t>
        </is>
      </c>
      <c r="H28" t="inlineStr">
        <is>
          <t>10011</t>
        </is>
      </c>
      <c r="I28" t="n">
        <v>40.740084</v>
      </c>
      <c r="J28" t="n">
        <v>-73.994613</v>
      </c>
      <c r="K28" t="inlineStr">
        <is>
          <t>Y</t>
        </is>
      </c>
      <c r="L28" t="inlineStr">
        <is>
          <t>over-500</t>
        </is>
      </c>
      <c r="M28" t="inlineStr">
        <is>
          <t>whole-company</t>
        </is>
      </c>
      <c r="N28" s="2" t="inlineStr">
        <is>
          <t>https://www.builtinnyc.com/company/cole-haan</t>
        </is>
      </c>
      <c r="O28" s="2" t="inlineStr">
        <is>
          <t>https://commercialobserver.com/2024/09/cole-haan-32bj-lease-620-avenue-of-the-americas/</t>
        </is>
      </c>
      <c r="P28" t="inlineStr">
        <is>
          <t>2024-09-24</t>
        </is>
      </c>
      <c r="Q28" s="2" t="inlineStr">
        <is>
          <t>https://www.builtinnyc.com/company/cole-haan/offices</t>
        </is>
      </c>
      <c r="R28" t="inlineStr">
        <is>
          <t>low</t>
        </is>
      </c>
      <c r="S28" t="inlineStr">
        <is>
          <t>N</t>
        </is>
      </c>
      <c r="T28" t="inlineStr"/>
      <c r="U28" t="inlineStr"/>
      <c r="V28" s="3" t="inlineStr">
        <is>
          <t>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8" t="inlineStr">
        <is>
          <t>2026-10-23</t>
        </is>
      </c>
      <c r="X28" t="inlineStr">
        <is>
          <t>Greenland</t>
        </is>
      </c>
      <c r="Y28" t="inlineStr">
        <is>
          <t>N</t>
        </is>
      </c>
      <c r="Z28" t="inlineStr">
        <is>
          <t>https://www.builtinnyc.com/company/cole-haan/offices</t>
        </is>
      </c>
      <c r="AA28" t="inlineStr"/>
      <c r="AB28" t="inlineStr">
        <is>
          <t>single-source</t>
        </is>
      </c>
      <c r="AC28" t="inlineStr"/>
      <c r="AD28" t="inlineStr"/>
      <c r="AE28" t="inlineStr"/>
      <c r="AF28" t="inlineStr">
        <is>
          <t>unknown</t>
        </is>
      </c>
      <c r="AG28" t="inlineStr"/>
      <c r="AH28" t="inlineStr">
        <is>
          <t>loading dock</t>
        </is>
      </c>
      <c r="AI28" t="inlineStr">
        <is>
          <t>near-miss-over-500</t>
        </is>
      </c>
      <c r="AJ28" t="inlineStr">
        <is>
          <t>occupied</t>
        </is>
      </c>
      <c r="AK28" t="inlineStr"/>
      <c r="AL28" t="inlineStr">
        <is>
          <t>2026-10-23</t>
        </is>
      </c>
      <c r="AM28" s="3" t="inlineStr"/>
      <c r="AN28" t="inlineStr">
        <is>
          <t>leasing-press</t>
        </is>
      </c>
      <c r="AO28" t="inlineStr">
        <is>
          <t>2026-10-23</t>
        </is>
      </c>
      <c r="AP28" t="inlineStr">
        <is>
          <t>no-coworking-in-building</t>
        </is>
      </c>
      <c r="AQ28" t="inlineStr">
        <is>
          <t>1008207505</t>
        </is>
      </c>
      <c r="AR28" t="n">
        <v>0</v>
      </c>
      <c r="AS28" t="inlineStr">
        <is>
          <t>62,262 sf</t>
        </is>
      </c>
      <c r="AT28" t="inlineStr">
        <is>
          <t>S2</t>
        </is>
      </c>
      <c r="AU28" s="3" t="inlineStr">
        <is>
          <t>over-1,000 (1,001 to 4,999): over 500 company-wide (1,618; the count quoted in this row's notes)</t>
        </is>
      </c>
      <c r="AV28" t="inlineStr">
        <is>
          <t>over-1,000 (1,001 to 4,999)</t>
        </is>
      </c>
      <c r="AW28" t="inlineStr">
        <is>
          <t>1618</t>
        </is>
      </c>
      <c r="AX28" t="inlineStr">
        <is>
          <t>N</t>
        </is>
      </c>
    </row>
    <row r="29">
      <c r="A29" t="inlineStr">
        <is>
          <t>B-C-202</t>
        </is>
      </c>
      <c r="B29" t="inlineStr">
        <is>
          <t>Palantir Technologies</t>
        </is>
      </c>
      <c r="C29" s="2" t="inlineStr">
        <is>
          <t>https://www.palantir.com</t>
        </is>
      </c>
      <c r="D29" t="inlineStr">
        <is>
          <t>data analytics software</t>
        </is>
      </c>
      <c r="E29" t="inlineStr">
        <is>
          <t>B-B-021</t>
        </is>
      </c>
      <c r="F29" t="inlineStr">
        <is>
          <t>620 Avenue of the Americas</t>
        </is>
      </c>
      <c r="G29" t="inlineStr">
        <is>
          <t>unknown</t>
        </is>
      </c>
      <c r="H29" t="inlineStr">
        <is>
          <t>10011</t>
        </is>
      </c>
      <c r="I29" t="n">
        <v>40.740084</v>
      </c>
      <c r="J29" t="n">
        <v>-73.994613</v>
      </c>
      <c r="K29" t="inlineStr">
        <is>
          <t>Y</t>
        </is>
      </c>
      <c r="L29" t="inlineStr">
        <is>
          <t>over-500</t>
        </is>
      </c>
      <c r="M29" t="inlineStr">
        <is>
          <t>whole-company</t>
        </is>
      </c>
      <c r="N29" s="2" t="inlineStr">
        <is>
          <t>https://en.wikipedia.org/wiki/Palantir_Technologies</t>
        </is>
      </c>
      <c r="O29" s="2" t="inlineStr">
        <is>
          <t>https://commercialobserver.com/2024/05/palantir-lease-620-avenue-of-the-americas/</t>
        </is>
      </c>
      <c r="P29" t="inlineStr">
        <is>
          <t>2024-05</t>
        </is>
      </c>
      <c r="Q29" t="inlineStr"/>
      <c r="R29" t="inlineStr">
        <is>
          <t>low</t>
        </is>
      </c>
      <c r="S29" t="inlineStr">
        <is>
          <t>N</t>
        </is>
      </c>
      <c r="T29" t="inlineStr"/>
      <c r="U29" t="inlineStr"/>
      <c r="V29" s="3" t="inlineStr">
        <is>
          <t>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W29" t="inlineStr">
        <is>
          <t>2026-10-23</t>
        </is>
      </c>
      <c r="X29" t="inlineStr">
        <is>
          <t>unknown</t>
        </is>
      </c>
      <c r="Y29" t="inlineStr">
        <is>
          <t>unknown</t>
        </is>
      </c>
      <c r="Z29" t="inlineStr"/>
      <c r="AA29" t="inlineStr"/>
      <c r="AB29" t="inlineStr">
        <is>
          <t>single-source</t>
        </is>
      </c>
      <c r="AC29" t="inlineStr"/>
      <c r="AD29" t="inlineStr"/>
      <c r="AE29" t="inlineStr"/>
      <c r="AF29" t="inlineStr">
        <is>
          <t>unknown</t>
        </is>
      </c>
      <c r="AG29" t="inlineStr"/>
      <c r="AH29" t="inlineStr">
        <is>
          <t>loading dock</t>
        </is>
      </c>
      <c r="AI29" t="inlineStr">
        <is>
          <t>near-miss-over-500</t>
        </is>
      </c>
      <c r="AJ29" t="inlineStr">
        <is>
          <t>occupied</t>
        </is>
      </c>
      <c r="AK29" t="inlineStr"/>
      <c r="AL29" t="inlineStr">
        <is>
          <t>2025</t>
        </is>
      </c>
      <c r="AM29" s="3" t="inlineStr"/>
      <c r="AN29" t="inlineStr">
        <is>
          <t>leasing-press</t>
        </is>
      </c>
      <c r="AO29" t="inlineStr"/>
      <c r="AP29" t="inlineStr">
        <is>
          <t>no-coworking-in-building</t>
        </is>
      </c>
      <c r="AQ29" t="inlineStr">
        <is>
          <t>1008207505</t>
        </is>
      </c>
      <c r="AR29" t="n">
        <v>0</v>
      </c>
      <c r="AS29" t="inlineStr">
        <is>
          <t>140,345 sf</t>
        </is>
      </c>
      <c r="AT29" t="inlineStr">
        <is>
          <t>S1</t>
        </is>
      </c>
      <c r="AU29" s="3" t="inlineStr">
        <is>
          <t>over-1,000 (1,001 to 4,999): over 500 company-wide (4,429; the count quoted in this row's notes)</t>
        </is>
      </c>
      <c r="AV29" t="inlineStr">
        <is>
          <t>over-1,000 (1,001 to 4,999)</t>
        </is>
      </c>
      <c r="AW29" t="inlineStr">
        <is>
          <t>4429</t>
        </is>
      </c>
      <c r="AX29" t="inlineStr">
        <is>
          <t>N</t>
        </is>
      </c>
    </row>
    <row r="30">
      <c r="A30" t="inlineStr">
        <is>
          <t>B-C-204</t>
        </is>
      </c>
      <c r="B30" t="inlineStr">
        <is>
          <t>Perkins Eastman</t>
        </is>
      </c>
      <c r="C30" s="2" t="inlineStr">
        <is>
          <t>https://www.perkinseastman.com</t>
        </is>
      </c>
      <c r="D30" t="inlineStr">
        <is>
          <t>architecture and design</t>
        </is>
      </c>
      <c r="E30" t="inlineStr">
        <is>
          <t>B-B-023</t>
        </is>
      </c>
      <c r="F30" t="inlineStr">
        <is>
          <t>115 Fifth Avenue</t>
        </is>
      </c>
      <c r="G30" t="inlineStr">
        <is>
          <t>unknown</t>
        </is>
      </c>
      <c r="H30" t="inlineStr">
        <is>
          <t>10003</t>
        </is>
      </c>
      <c r="I30" t="n">
        <v>40.738809</v>
      </c>
      <c r="J30" t="n">
        <v>-73.991356</v>
      </c>
      <c r="K30" t="inlineStr">
        <is>
          <t>Y</t>
        </is>
      </c>
      <c r="L30" t="inlineStr">
        <is>
          <t>over-500</t>
        </is>
      </c>
      <c r="M30" t="inlineStr">
        <is>
          <t>whole-company</t>
        </is>
      </c>
      <c r="N30" s="2" t="inlineStr">
        <is>
          <t>https://www.builtinnyc.com/company/perkins-eastman</t>
        </is>
      </c>
      <c r="O30" s="2" t="inlineStr">
        <is>
          <t>https://www.perkinseastman.com/studios/new-york/</t>
        </is>
      </c>
      <c r="P30" t="inlineStr">
        <is>
          <t>2026-10-23</t>
        </is>
      </c>
      <c r="Q30" t="inlineStr"/>
      <c r="R30" t="inlineStr">
        <is>
          <t>medium</t>
        </is>
      </c>
      <c r="S30" t="inlineStr">
        <is>
          <t>N</t>
        </is>
      </c>
      <c r="T30" t="inlineStr"/>
      <c r="U30" t="inlineStr"/>
      <c r="V30" s="3" t="inlineStr">
        <is>
          <t>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0" t="inlineStr">
        <is>
          <t>2026-10-23</t>
        </is>
      </c>
      <c r="X30" t="inlineStr">
        <is>
          <t>New York</t>
        </is>
      </c>
      <c r="Y30" t="inlineStr">
        <is>
          <t>Y</t>
        </is>
      </c>
      <c r="Z30" t="inlineStr">
        <is>
          <t>https://www.builtinnyc.com/company/perkins-eastman/offices</t>
        </is>
      </c>
      <c r="AA30" t="inlineStr"/>
      <c r="AB30" t="inlineStr">
        <is>
          <t>single-source</t>
        </is>
      </c>
      <c r="AC30" t="inlineStr"/>
      <c r="AD30" t="inlineStr"/>
      <c r="AE30" t="inlineStr"/>
      <c r="AF30" t="inlineStr">
        <is>
          <t>unknown</t>
        </is>
      </c>
      <c r="AG30" t="inlineStr"/>
      <c r="AH30" t="inlineStr">
        <is>
          <t>security desk</t>
        </is>
      </c>
      <c r="AI30" t="inlineStr">
        <is>
          <t>near-miss-over-500</t>
        </is>
      </c>
      <c r="AJ30" t="inlineStr">
        <is>
          <t>occupied</t>
        </is>
      </c>
      <c r="AK30" t="inlineStr"/>
      <c r="AL30" t="inlineStr">
        <is>
          <t>2026-10-23</t>
        </is>
      </c>
      <c r="AM30" s="3" t="inlineStr"/>
      <c r="AN30" t="inlineStr">
        <is>
          <t>company-site</t>
        </is>
      </c>
      <c r="AO30" t="inlineStr"/>
      <c r="AP30" t="inlineStr">
        <is>
          <t>no-coworking-in-building</t>
        </is>
      </c>
      <c r="AQ30" t="inlineStr">
        <is>
          <t>1008470062</t>
        </is>
      </c>
      <c r="AR30" t="n">
        <v>0</v>
      </c>
      <c r="AS30" t="inlineStr"/>
      <c r="AT30" t="inlineStr">
        <is>
          <t>S2</t>
        </is>
      </c>
      <c r="AU30" s="3" t="inlineStr">
        <is>
          <t>over-1,000 (1,001 to 4,999): over 500 company-wide (1,314; the count quoted in this row's notes)</t>
        </is>
      </c>
      <c r="AV30" t="inlineStr">
        <is>
          <t>over-1,000 (1,001 to 4,999)</t>
        </is>
      </c>
      <c r="AW30" t="inlineStr">
        <is>
          <t>1314</t>
        </is>
      </c>
      <c r="AX30" t="inlineStr">
        <is>
          <t>N</t>
        </is>
      </c>
    </row>
    <row r="31">
      <c r="A31" t="inlineStr">
        <is>
          <t>B-C-205</t>
        </is>
      </c>
      <c r="B31" t="inlineStr">
        <is>
          <t>Prophet</t>
        </is>
      </c>
      <c r="C31" s="2" t="inlineStr">
        <is>
          <t>https://www.prophet.com</t>
        </is>
      </c>
      <c r="D31" t="inlineStr">
        <is>
          <t>brand and marketing consulting</t>
        </is>
      </c>
      <c r="E31" t="inlineStr">
        <is>
          <t>B-B-023</t>
        </is>
      </c>
      <c r="F31" t="inlineStr">
        <is>
          <t>115 Fifth Avenue</t>
        </is>
      </c>
      <c r="G31" t="inlineStr">
        <is>
          <t>unknown</t>
        </is>
      </c>
      <c r="H31" t="inlineStr">
        <is>
          <t>10003</t>
        </is>
      </c>
      <c r="I31" t="n">
        <v>40.738809</v>
      </c>
      <c r="J31" t="n">
        <v>-73.991356</v>
      </c>
      <c r="K31" t="inlineStr">
        <is>
          <t>Y</t>
        </is>
      </c>
      <c r="L31" t="inlineStr">
        <is>
          <t>over-500</t>
        </is>
      </c>
      <c r="M31" t="inlineStr">
        <is>
          <t>whole-company</t>
        </is>
      </c>
      <c r="N31" s="2" t="inlineStr">
        <is>
          <t>https://www.builtinnyc.com/company/prophet</t>
        </is>
      </c>
      <c r="O31" s="2" t="inlineStr">
        <is>
          <t>https://commercialobserver.com/2026/04/adyen-lease-111-115-fifth-avenue/</t>
        </is>
      </c>
      <c r="P31" t="inlineStr">
        <is>
          <t>2026-04-07</t>
        </is>
      </c>
      <c r="Q31" t="inlineStr"/>
      <c r="R31" t="inlineStr">
        <is>
          <t>medium</t>
        </is>
      </c>
      <c r="S31" t="inlineStr">
        <is>
          <t>N</t>
        </is>
      </c>
      <c r="T31" t="inlineStr"/>
      <c r="U31" t="inlineStr"/>
      <c r="V31" s="3" t="inlineStr">
        <is>
          <t>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W31" t="inlineStr">
        <is>
          <t>2026-10-23</t>
        </is>
      </c>
      <c r="X31" t="inlineStr">
        <is>
          <t>unknown</t>
        </is>
      </c>
      <c r="Y31" t="inlineStr">
        <is>
          <t>unknown</t>
        </is>
      </c>
      <c r="Z31" t="inlineStr">
        <is>
          <t>https://www.builtinnyc.com/company/prophet/offices</t>
        </is>
      </c>
      <c r="AA31" t="inlineStr"/>
      <c r="AB31" t="inlineStr">
        <is>
          <t>single-source</t>
        </is>
      </c>
      <c r="AC31" t="inlineStr"/>
      <c r="AD31" t="inlineStr"/>
      <c r="AE31" t="inlineStr"/>
      <c r="AF31" t="inlineStr">
        <is>
          <t>unknown</t>
        </is>
      </c>
      <c r="AG31" t="inlineStr"/>
      <c r="AH31" t="inlineStr">
        <is>
          <t>security desk</t>
        </is>
      </c>
      <c r="AI31" t="inlineStr">
        <is>
          <t>near-miss-over-500</t>
        </is>
      </c>
      <c r="AJ31" t="inlineStr">
        <is>
          <t>occupied</t>
        </is>
      </c>
      <c r="AK31" t="inlineStr"/>
      <c r="AL31" t="inlineStr">
        <is>
          <t>2026-10-23</t>
        </is>
      </c>
      <c r="AM31" s="3" t="inlineStr"/>
      <c r="AN31" t="inlineStr">
        <is>
          <t>leasing-press</t>
        </is>
      </c>
      <c r="AO31" t="inlineStr"/>
      <c r="AP31" t="inlineStr">
        <is>
          <t>no-coworking-in-building</t>
        </is>
      </c>
      <c r="AQ31" t="inlineStr">
        <is>
          <t>1008470062</t>
        </is>
      </c>
      <c r="AR31" t="n">
        <v>0</v>
      </c>
      <c r="AS31" t="inlineStr"/>
      <c r="AT31" t="inlineStr">
        <is>
          <t>S1</t>
        </is>
      </c>
      <c r="AU31" s="3" t="inlineStr">
        <is>
          <t>just-over-500 (501 to 1,000): over 500 company-wide (1,000; the count quoted in this row's notes); the NYC office alone may fit the 40-250 band, founder to confirm</t>
        </is>
      </c>
      <c r="AV31" t="inlineStr">
        <is>
          <t>just-over-500 (501 to 1,000)</t>
        </is>
      </c>
      <c r="AW31" t="inlineStr">
        <is>
          <t>1000</t>
        </is>
      </c>
      <c r="AX31" t="inlineStr">
        <is>
          <t>Y</t>
        </is>
      </c>
    </row>
    <row r="32">
      <c r="A32" t="inlineStr">
        <is>
          <t>B-C-206</t>
        </is>
      </c>
      <c r="B32" t="inlineStr">
        <is>
          <t>Netflix</t>
        </is>
      </c>
      <c r="C32" s="2" t="inlineStr">
        <is>
          <t>https://www.netflix.com</t>
        </is>
      </c>
      <c r="D32" t="inlineStr">
        <is>
          <t>streaming media</t>
        </is>
      </c>
      <c r="E32" t="inlineStr"/>
      <c r="F32" t="inlineStr">
        <is>
          <t>888 Broadway</t>
        </is>
      </c>
      <c r="G32" t="inlineStr">
        <is>
          <t>unknown</t>
        </is>
      </c>
      <c r="H32" t="inlineStr"/>
      <c r="I32" t="n">
        <v>40.738167</v>
      </c>
      <c r="J32" t="n">
        <v>-73.989851</v>
      </c>
      <c r="K32" t="inlineStr">
        <is>
          <t>Y</t>
        </is>
      </c>
      <c r="L32" t="inlineStr">
        <is>
          <t>over-500</t>
        </is>
      </c>
      <c r="M32" t="inlineStr">
        <is>
          <t>whole-company</t>
        </is>
      </c>
      <c r="N32" s="2" t="inlineStr">
        <is>
          <t>https://www.builtinnyc.com/company/netflix</t>
        </is>
      </c>
      <c r="O32" s="2" t="inlineStr">
        <is>
          <t>https://commercialobserver.com/2026/10/williams-equities-michael-t-cohen-robert-getreu-andrew-roos-office-new-york/</t>
        </is>
      </c>
      <c r="P32" t="inlineStr">
        <is>
          <t>2026-10-20</t>
        </is>
      </c>
      <c r="Q32" s="2" t="inlineStr">
        <is>
          <t>https://therealdeal.com/new-york/2025/02/14/cannon-hill-recaps-888-broadway-at-amount-above-200m/</t>
        </is>
      </c>
      <c r="R32" t="inlineStr">
        <is>
          <t>high</t>
        </is>
      </c>
      <c r="S32" t="inlineStr">
        <is>
          <t>N</t>
        </is>
      </c>
      <c r="T32" t="inlineStr"/>
      <c r="U32" t="inlineStr"/>
      <c r="V32" s="3" t="inlineStr">
        <is>
          <t>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is>
      </c>
      <c r="W32" t="inlineStr">
        <is>
          <t>2026-10-23</t>
        </is>
      </c>
      <c r="X32" t="inlineStr">
        <is>
          <t>Los Gatos</t>
        </is>
      </c>
      <c r="Y32" t="inlineStr">
        <is>
          <t>N</t>
        </is>
      </c>
      <c r="Z32" t="inlineStr">
        <is>
          <t>https://www.builtinnyc.com/company/netflix/offices</t>
        </is>
      </c>
      <c r="AA32" t="inlineStr"/>
      <c r="AB32" t="inlineStr">
        <is>
          <t>single-source</t>
        </is>
      </c>
      <c r="AC32" t="inlineStr"/>
      <c r="AD32" t="inlineStr"/>
      <c r="AE32" t="inlineStr"/>
      <c r="AF32" t="inlineStr">
        <is>
          <t>unknown</t>
        </is>
      </c>
      <c r="AG32" t="inlineStr"/>
      <c r="AH32" t="inlineStr">
        <is>
          <t>unknown</t>
        </is>
      </c>
      <c r="AI32" t="inlineStr">
        <is>
          <t>near-miss-over-500</t>
        </is>
      </c>
      <c r="AJ32" t="inlineStr">
        <is>
          <t>occupied</t>
        </is>
      </c>
      <c r="AK32" t="inlineStr"/>
      <c r="AL32" t="inlineStr">
        <is>
          <t>2026-10-23</t>
        </is>
      </c>
      <c r="AM32" s="3" t="inlineStr"/>
      <c r="AN32" t="inlineStr">
        <is>
          <t>leasing-press</t>
        </is>
      </c>
      <c r="AO32" t="inlineStr">
        <is>
          <t>2025-02-14</t>
        </is>
      </c>
      <c r="AP32" t="inlineStr">
        <is>
          <t>no-coworking-in-building</t>
        </is>
      </c>
      <c r="AQ32" t="inlineStr">
        <is>
          <t>1008477501</t>
        </is>
      </c>
      <c r="AR32" t="n">
        <v>0</v>
      </c>
      <c r="AS32" t="inlineStr"/>
      <c r="AT32" t="inlineStr">
        <is>
          <t>S2</t>
        </is>
      </c>
      <c r="AU32" s="3" t="inlineStr">
        <is>
          <t>not-near (5,000 or more): over 500 company-wide (13,212; the count quoted in this row's notes)</t>
        </is>
      </c>
      <c r="AV32" t="inlineStr">
        <is>
          <t>not-near (5,000 or more)</t>
        </is>
      </c>
      <c r="AW32" t="inlineStr">
        <is>
          <t>13212</t>
        </is>
      </c>
      <c r="AX32" t="inlineStr">
        <is>
          <t>N</t>
        </is>
      </c>
    </row>
    <row r="33">
      <c r="A33" t="inlineStr">
        <is>
          <t>B-C-203</t>
        </is>
      </c>
      <c r="B33" t="inlineStr">
        <is>
          <t>Warner Bros. Discovery</t>
        </is>
      </c>
      <c r="C33" s="2" t="inlineStr">
        <is>
          <t>https://www.wbd.com</t>
        </is>
      </c>
      <c r="D33" t="inlineStr">
        <is>
          <t>media (Food Network and other networks)</t>
        </is>
      </c>
      <c r="E33" t="inlineStr"/>
      <c r="F33" t="inlineStr">
        <is>
          <t>230 Park Avenue South</t>
        </is>
      </c>
      <c r="G33" t="inlineStr">
        <is>
          <t>whole building</t>
        </is>
      </c>
      <c r="H33" t="inlineStr">
        <is>
          <t>10003</t>
        </is>
      </c>
      <c r="I33" t="n">
        <v>40.737622</v>
      </c>
      <c r="J33" t="n">
        <v>-73.988544</v>
      </c>
      <c r="K33" t="inlineStr">
        <is>
          <t>Y</t>
        </is>
      </c>
      <c r="L33" t="inlineStr">
        <is>
          <t>over-500</t>
        </is>
      </c>
      <c r="M33" t="inlineStr">
        <is>
          <t>whole-company</t>
        </is>
      </c>
      <c r="N33" s="2" t="inlineStr">
        <is>
          <t>https://www.builtinnyc.com/company/warner-bros-discovery</t>
        </is>
      </c>
      <c r="O33" s="2" t="inlineStr">
        <is>
          <t>https://data.sec.gov/submissions/CIK0001437107.json</t>
        </is>
      </c>
      <c r="P33" t="inlineStr">
        <is>
          <t>2026-10-23</t>
        </is>
      </c>
      <c r="Q33" s="2" t="inlineStr">
        <is>
          <t>https://commercialobserver.com/2023/01/warner-brothers-discovery-park-avenue-south/</t>
        </is>
      </c>
      <c r="R33" t="inlineStr">
        <is>
          <t>high</t>
        </is>
      </c>
      <c r="S33" t="inlineStr">
        <is>
          <t>N</t>
        </is>
      </c>
      <c r="T33" t="inlineStr"/>
      <c r="U33" t="inlineStr"/>
      <c r="V33" s="3" t="inlineStr">
        <is>
          <t>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is>
      </c>
      <c r="W33" t="inlineStr">
        <is>
          <t>2026-10-23</t>
        </is>
      </c>
      <c r="X33" t="inlineStr">
        <is>
          <t>New York</t>
        </is>
      </c>
      <c r="Y33" t="inlineStr">
        <is>
          <t>Y</t>
        </is>
      </c>
      <c r="Z33" t="inlineStr">
        <is>
          <t>https://www.builtinnyc.com/company/warner-bros-discovery/offices</t>
        </is>
      </c>
      <c r="AA33" t="inlineStr"/>
      <c r="AB33" t="inlineStr">
        <is>
          <t>single-source</t>
        </is>
      </c>
      <c r="AC33" t="inlineStr"/>
      <c r="AD33" t="inlineStr"/>
      <c r="AE33" t="inlineStr"/>
      <c r="AF33" t="inlineStr">
        <is>
          <t>unknown</t>
        </is>
      </c>
      <c r="AG33" t="inlineStr"/>
      <c r="AH33" t="inlineStr">
        <is>
          <t>security desk</t>
        </is>
      </c>
      <c r="AI33" t="inlineStr">
        <is>
          <t>near-miss-over-500</t>
        </is>
      </c>
      <c r="AJ33" t="inlineStr">
        <is>
          <t>occupied</t>
        </is>
      </c>
      <c r="AK33" t="inlineStr"/>
      <c r="AL33" t="inlineStr">
        <is>
          <t>2026-10-23</t>
        </is>
      </c>
      <c r="AM33" s="3" t="inlineStr"/>
      <c r="AN33" t="inlineStr">
        <is>
          <t>other</t>
        </is>
      </c>
      <c r="AO33" t="inlineStr">
        <is>
          <t>2023-01-25</t>
        </is>
      </c>
      <c r="AP33" t="inlineStr">
        <is>
          <t>no-coworking-in-building</t>
        </is>
      </c>
      <c r="AQ33" t="inlineStr">
        <is>
          <t>1008470040</t>
        </is>
      </c>
      <c r="AR33" t="n">
        <v>0</v>
      </c>
      <c r="AS33" t="inlineStr">
        <is>
          <t>375,000 sf</t>
        </is>
      </c>
      <c r="AT33" t="inlineStr">
        <is>
          <t>S2</t>
        </is>
      </c>
      <c r="AU33" s="3" t="inlineStr">
        <is>
          <t>not-near (5,000 or more): over 500 company-wide (40,000; the count quoted in this row's notes)</t>
        </is>
      </c>
      <c r="AV33" t="inlineStr">
        <is>
          <t>not-near (5,000 or more)</t>
        </is>
      </c>
      <c r="AW33" t="inlineStr">
        <is>
          <t>40000</t>
        </is>
      </c>
      <c r="AX33" t="inlineStr">
        <is>
          <t>N</t>
        </is>
      </c>
    </row>
    <row r="34">
      <c r="A34" t="inlineStr">
        <is>
          <t>B-C-207</t>
        </is>
      </c>
      <c r="B34" t="inlineStr">
        <is>
          <t>ZGF Architects</t>
        </is>
      </c>
      <c r="C34" s="2" t="inlineStr">
        <is>
          <t>https://www.zgf.com</t>
        </is>
      </c>
      <c r="D34" t="inlineStr">
        <is>
          <t>architecture</t>
        </is>
      </c>
      <c r="E34" t="inlineStr">
        <is>
          <t>B-B-025</t>
        </is>
      </c>
      <c r="F34" t="inlineStr">
        <is>
          <t>39 West 19th Street</t>
        </is>
      </c>
      <c r="G34" t="inlineStr">
        <is>
          <t>12</t>
        </is>
      </c>
      <c r="H34" t="inlineStr">
        <is>
          <t>10011</t>
        </is>
      </c>
      <c r="I34" t="n">
        <v>40.740157</v>
      </c>
      <c r="J34" t="n">
        <v>-73.993377</v>
      </c>
      <c r="K34" t="inlineStr">
        <is>
          <t>Y</t>
        </is>
      </c>
      <c r="L34" t="inlineStr">
        <is>
          <t>over-500</t>
        </is>
      </c>
      <c r="M34" t="inlineStr">
        <is>
          <t>whole-company</t>
        </is>
      </c>
      <c r="N34" s="2" t="inlineStr">
        <is>
          <t>https://en.wikipedia.org/wiki/ZGF_Architects</t>
        </is>
      </c>
      <c r="O34" s="2" t="inlineStr">
        <is>
          <t>https://www.zgf.com/contact</t>
        </is>
      </c>
      <c r="P34" t="inlineStr">
        <is>
          <t>2026-10-23</t>
        </is>
      </c>
      <c r="Q34" s="2" t="inlineStr">
        <is>
          <t>https://commercialobserver.com/2020/01/zgf-architects-lease-39-west-19th-street-rosen-family/</t>
        </is>
      </c>
      <c r="R34" t="inlineStr">
        <is>
          <t>medium</t>
        </is>
      </c>
      <c r="S34" t="inlineStr">
        <is>
          <t>N</t>
        </is>
      </c>
      <c r="T34" t="inlineStr"/>
      <c r="U34" t="inlineStr"/>
      <c r="V34" s="3" t="inlineStr">
        <is>
          <t>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is>
      </c>
      <c r="W34" t="inlineStr">
        <is>
          <t>2026-10-23</t>
        </is>
      </c>
      <c r="X34" t="inlineStr">
        <is>
          <t>unknown</t>
        </is>
      </c>
      <c r="Y34" t="inlineStr">
        <is>
          <t>unknown</t>
        </is>
      </c>
      <c r="Z34" t="inlineStr"/>
      <c r="AA34" t="inlineStr"/>
      <c r="AB34" t="inlineStr">
        <is>
          <t>single-source</t>
        </is>
      </c>
      <c r="AC34" t="inlineStr"/>
      <c r="AD34" t="inlineStr"/>
      <c r="AE34" t="inlineStr"/>
      <c r="AF34" t="inlineStr">
        <is>
          <t>unknown</t>
        </is>
      </c>
      <c r="AG34" t="inlineStr"/>
      <c r="AH34" t="inlineStr">
        <is>
          <t>unknown</t>
        </is>
      </c>
      <c r="AI34" t="inlineStr">
        <is>
          <t>near-miss-over-500</t>
        </is>
      </c>
      <c r="AJ34" t="inlineStr">
        <is>
          <t>occupied</t>
        </is>
      </c>
      <c r="AK34" t="inlineStr"/>
      <c r="AL34" t="inlineStr">
        <is>
          <t>2021-10</t>
        </is>
      </c>
      <c r="AM34" s="3" t="inlineStr"/>
      <c r="AN34" t="inlineStr">
        <is>
          <t>company-site</t>
        </is>
      </c>
      <c r="AO34" t="inlineStr">
        <is>
          <t>2020-01-10</t>
        </is>
      </c>
      <c r="AP34" t="inlineStr">
        <is>
          <t>no-coworking-in-building</t>
        </is>
      </c>
      <c r="AQ34" t="inlineStr">
        <is>
          <t>1008210014</t>
        </is>
      </c>
      <c r="AR34" t="n">
        <v>0</v>
      </c>
      <c r="AS34" t="inlineStr">
        <is>
          <t>11,502 sf</t>
        </is>
      </c>
      <c r="AT34" t="inlineStr">
        <is>
          <t>S2</t>
        </is>
      </c>
      <c r="AU34" s="3" t="inlineStr">
        <is>
          <t>just-over-500 (501 to 1,000): over 500 company-wide (750; the count quoted in this row's notes)</t>
        </is>
      </c>
      <c r="AV34" t="inlineStr">
        <is>
          <t>just-over-500 (501 to 1,000)</t>
        </is>
      </c>
      <c r="AW34" t="inlineStr">
        <is>
          <t>750</t>
        </is>
      </c>
      <c r="AX34" t="inlineStr">
        <is>
          <t>N</t>
        </is>
      </c>
    </row>
    <row r="35">
      <c r="A35" t="inlineStr">
        <is>
          <t>B-C-208</t>
        </is>
      </c>
      <c r="B35" t="inlineStr">
        <is>
          <t>Tory Burch</t>
        </is>
      </c>
      <c r="C35" s="2" t="inlineStr">
        <is>
          <t>https://www.toryburch.com</t>
        </is>
      </c>
      <c r="D35" t="inlineStr">
        <is>
          <t>fashion brand (headquarters)</t>
        </is>
      </c>
      <c r="E35" t="inlineStr"/>
      <c r="F35" t="inlineStr">
        <is>
          <t>11 West 19th Street</t>
        </is>
      </c>
      <c r="G35" t="inlineStr">
        <is>
          <t>7-11</t>
        </is>
      </c>
      <c r="H35" t="inlineStr">
        <is>
          <t>10011</t>
        </is>
      </c>
      <c r="I35" t="n">
        <v>40.739723</v>
      </c>
      <c r="J35" t="n">
        <v>-73.992339</v>
      </c>
      <c r="K35" t="inlineStr">
        <is>
          <t>Y</t>
        </is>
      </c>
      <c r="L35" t="inlineStr">
        <is>
          <t>over-500</t>
        </is>
      </c>
      <c r="M35" t="inlineStr">
        <is>
          <t>whole-company</t>
        </is>
      </c>
      <c r="N35" s="2" t="inlineStr">
        <is>
          <t>https://www.builtinnyc.com/company/tory-burch</t>
        </is>
      </c>
      <c r="O35" s="2" t="inlineStr">
        <is>
          <t>https://www.builtinnyc.com/company/tory-burch/offices</t>
        </is>
      </c>
      <c r="P35" t="inlineStr">
        <is>
          <t>2026-10-23</t>
        </is>
      </c>
      <c r="Q35" s="2" t="inlineStr">
        <is>
          <t>https://commercialobserver.com/2022/08/tory-burch-renewal-11-west-19th-street/</t>
        </is>
      </c>
      <c r="R35" t="inlineStr">
        <is>
          <t>low</t>
        </is>
      </c>
      <c r="S35" t="inlineStr">
        <is>
          <t>N</t>
        </is>
      </c>
      <c r="T35" t="inlineStr"/>
      <c r="U35" t="inlineStr"/>
      <c r="V35" s="3" t="inlineStr">
        <is>
          <t>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is>
      </c>
      <c r="W35" t="inlineStr">
        <is>
          <t>2026-10-23</t>
        </is>
      </c>
      <c r="X35" t="inlineStr">
        <is>
          <t>New York</t>
        </is>
      </c>
      <c r="Y35" t="inlineStr">
        <is>
          <t>Y</t>
        </is>
      </c>
      <c r="Z35" t="inlineStr">
        <is>
          <t>https://www.builtinnyc.com/company/tory-burch/offices</t>
        </is>
      </c>
      <c r="AA35" t="inlineStr"/>
      <c r="AB35" t="inlineStr">
        <is>
          <t>single-source</t>
        </is>
      </c>
      <c r="AC35" t="inlineStr"/>
      <c r="AD35" t="inlineStr"/>
      <c r="AE35" t="inlineStr"/>
      <c r="AF35" t="inlineStr">
        <is>
          <t>unknown</t>
        </is>
      </c>
      <c r="AG35" t="inlineStr"/>
      <c r="AH35" t="inlineStr">
        <is>
          <t>security desk</t>
        </is>
      </c>
      <c r="AI35" t="inlineStr">
        <is>
          <t>near-miss-over-500</t>
        </is>
      </c>
      <c r="AJ35" t="inlineStr">
        <is>
          <t>occupied</t>
        </is>
      </c>
      <c r="AK35" t="inlineStr"/>
      <c r="AL35" t="inlineStr">
        <is>
          <t>2026-10-23</t>
        </is>
      </c>
      <c r="AM35" s="3" t="inlineStr"/>
      <c r="AN35" t="inlineStr">
        <is>
          <t>builtin</t>
        </is>
      </c>
      <c r="AO35" t="inlineStr">
        <is>
          <t>2022-08-05</t>
        </is>
      </c>
      <c r="AP35" t="inlineStr">
        <is>
          <t>no-coworking-in-building</t>
        </is>
      </c>
      <c r="AQ35" t="inlineStr">
        <is>
          <t>1008210032</t>
        </is>
      </c>
      <c r="AR35" t="n">
        <v>0</v>
      </c>
      <c r="AS35" t="inlineStr">
        <is>
          <t>130,000 sf</t>
        </is>
      </c>
      <c r="AT35" t="inlineStr">
        <is>
          <t>S2</t>
        </is>
      </c>
      <c r="AU35" s="3" t="inlineStr">
        <is>
          <t>over-1,000 (1,001 to 4,999): over 500 company-wide (3,206; the count quoted in this row's notes)</t>
        </is>
      </c>
      <c r="AV35" t="inlineStr">
        <is>
          <t>over-1,000 (1,001 to 4,999)</t>
        </is>
      </c>
      <c r="AW35" t="inlineStr">
        <is>
          <t>3206</t>
        </is>
      </c>
      <c r="AX35" t="inlineStr">
        <is>
          <t>N</t>
        </is>
      </c>
    </row>
    <row r="36">
      <c r="A36" t="inlineStr">
        <is>
          <t>B-C-209</t>
        </is>
      </c>
      <c r="B36" t="inlineStr">
        <is>
          <t>Infor</t>
        </is>
      </c>
      <c r="C36" s="2" t="inlineStr">
        <is>
          <t>https://www.infor.com</t>
        </is>
      </c>
      <c r="D36" t="inlineStr">
        <is>
          <t>enterprise software</t>
        </is>
      </c>
      <c r="E36" t="inlineStr">
        <is>
          <t>B-B-026</t>
        </is>
      </c>
      <c r="F36" t="inlineStr">
        <is>
          <t>641 Avenue of the Americas</t>
        </is>
      </c>
      <c r="G36" t="inlineStr">
        <is>
          <t>unknown</t>
        </is>
      </c>
      <c r="H36" t="inlineStr">
        <is>
          <t>10011</t>
        </is>
      </c>
      <c r="I36" t="n">
        <v>40.7409</v>
      </c>
      <c r="J36" t="n">
        <v>-73.994512</v>
      </c>
      <c r="K36" t="inlineStr">
        <is>
          <t>Y</t>
        </is>
      </c>
      <c r="L36" t="inlineStr">
        <is>
          <t>over-500</t>
        </is>
      </c>
      <c r="M36" t="inlineStr">
        <is>
          <t>whole-company</t>
        </is>
      </c>
      <c r="N36" s="2" t="inlineStr">
        <is>
          <t>https://www.builtinnyc.com/company/infor</t>
        </is>
      </c>
      <c r="O36" s="2" t="inlineStr">
        <is>
          <t>https://commercialobserver.com/2026/09/stash-financial-lease-641-avenue-of-the-americas/</t>
        </is>
      </c>
      <c r="P36" t="inlineStr">
        <is>
          <t>2026-09-02</t>
        </is>
      </c>
      <c r="Q36" s="2" t="inlineStr">
        <is>
          <t>https://commercialobserver.com/2021/05/software-company-infor-reups-90k-sf-at-635-641-avenue-of-the-americas/</t>
        </is>
      </c>
      <c r="R36" t="inlineStr">
        <is>
          <t>medium</t>
        </is>
      </c>
      <c r="S36" t="inlineStr">
        <is>
          <t>N</t>
        </is>
      </c>
      <c r="T36" t="inlineStr"/>
      <c r="U36" t="inlineStr"/>
      <c r="V36" s="3" t="inlineStr">
        <is>
          <t>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6" t="inlineStr">
        <is>
          <t>2026-10-23</t>
        </is>
      </c>
      <c r="X36" t="inlineStr">
        <is>
          <t>New York</t>
        </is>
      </c>
      <c r="Y36" t="inlineStr">
        <is>
          <t>Y</t>
        </is>
      </c>
      <c r="Z36" t="inlineStr">
        <is>
          <t>https://www.builtinnyc.com/company/infor/offices</t>
        </is>
      </c>
      <c r="AA36" t="inlineStr"/>
      <c r="AB36" t="inlineStr">
        <is>
          <t>single-source</t>
        </is>
      </c>
      <c r="AC36" t="inlineStr"/>
      <c r="AD36" t="inlineStr"/>
      <c r="AE36" t="inlineStr"/>
      <c r="AF36" t="inlineStr">
        <is>
          <t>unknown</t>
        </is>
      </c>
      <c r="AG36" t="inlineStr"/>
      <c r="AH36" t="inlineStr">
        <is>
          <t>unknown</t>
        </is>
      </c>
      <c r="AI36" t="inlineStr">
        <is>
          <t>near-miss-over-500</t>
        </is>
      </c>
      <c r="AJ36" t="inlineStr">
        <is>
          <t>occupied</t>
        </is>
      </c>
      <c r="AK36" t="inlineStr"/>
      <c r="AL36" t="inlineStr">
        <is>
          <t>2026-10-23</t>
        </is>
      </c>
      <c r="AM36" s="3" t="inlineStr"/>
      <c r="AN36" t="inlineStr">
        <is>
          <t>leasing-press</t>
        </is>
      </c>
      <c r="AO36" t="inlineStr">
        <is>
          <t>2021-05-06</t>
        </is>
      </c>
      <c r="AP36" t="inlineStr">
        <is>
          <t>no-coworking-in-building</t>
        </is>
      </c>
      <c r="AQ36" t="inlineStr">
        <is>
          <t>1007950044</t>
        </is>
      </c>
      <c r="AR36" t="n">
        <v>0</v>
      </c>
      <c r="AS36" t="inlineStr">
        <is>
          <t>90,000 sf</t>
        </is>
      </c>
      <c r="AT36" t="inlineStr">
        <is>
          <t>S2</t>
        </is>
      </c>
      <c r="AU36" s="3" t="inlineStr">
        <is>
          <t>not-near (5,000 or more): over 500 company-wide (18,402; the count quoted in this row's notes)</t>
        </is>
      </c>
      <c r="AV36" t="inlineStr">
        <is>
          <t>not-near (5,000 or more)</t>
        </is>
      </c>
      <c r="AW36" t="inlineStr">
        <is>
          <t>18402</t>
        </is>
      </c>
      <c r="AX36" t="inlineStr">
        <is>
          <t>N</t>
        </is>
      </c>
    </row>
    <row r="37">
      <c r="A37" t="inlineStr">
        <is>
          <t>B-C-210</t>
        </is>
      </c>
      <c r="B37" t="inlineStr">
        <is>
          <t>dsm-firmenich</t>
        </is>
      </c>
      <c r="C37" s="2" t="inlineStr">
        <is>
          <t>https://www.dsm-firmenich.com</t>
        </is>
      </c>
      <c r="D37" t="inlineStr">
        <is>
          <t>fragrance and nutrition ingredients</t>
        </is>
      </c>
      <c r="E37" t="inlineStr">
        <is>
          <t>B-B-026</t>
        </is>
      </c>
      <c r="F37" t="inlineStr">
        <is>
          <t>641 Avenue of the Americas</t>
        </is>
      </c>
      <c r="G37" t="inlineStr">
        <is>
          <t>unknown</t>
        </is>
      </c>
      <c r="H37" t="inlineStr">
        <is>
          <t>10011</t>
        </is>
      </c>
      <c r="I37" t="n">
        <v>40.7409</v>
      </c>
      <c r="J37" t="n">
        <v>-73.994512</v>
      </c>
      <c r="K37" t="inlineStr">
        <is>
          <t>Y</t>
        </is>
      </c>
      <c r="L37" t="inlineStr">
        <is>
          <t>over-500</t>
        </is>
      </c>
      <c r="M37" t="inlineStr">
        <is>
          <t>whole-company</t>
        </is>
      </c>
      <c r="N37" s="2" t="inlineStr">
        <is>
          <t>https://en.wikipedia.org/wiki/DSM-Firmenich</t>
        </is>
      </c>
      <c r="O37" s="2" t="inlineStr">
        <is>
          <t>https://commercialobserver.com/2026/09/stash-financial-lease-641-avenue-of-the-americas/</t>
        </is>
      </c>
      <c r="P37" t="inlineStr">
        <is>
          <t>2026-09-02</t>
        </is>
      </c>
      <c r="Q37" s="2" t="inlineStr">
        <is>
          <t>https://commercialobserver.com/2024/10/dsm-firmenich-lease-641-avenue-of-the-americas/</t>
        </is>
      </c>
      <c r="R37" t="inlineStr">
        <is>
          <t>medium</t>
        </is>
      </c>
      <c r="S37" t="inlineStr">
        <is>
          <t>N</t>
        </is>
      </c>
      <c r="T37" t="inlineStr"/>
      <c r="U37" t="inlineStr"/>
      <c r="V37" s="3" t="inlineStr">
        <is>
          <t>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W37" t="inlineStr">
        <is>
          <t>2026-10-23</t>
        </is>
      </c>
      <c r="X37" t="inlineStr">
        <is>
          <t>unknown</t>
        </is>
      </c>
      <c r="Y37" t="inlineStr">
        <is>
          <t>unknown</t>
        </is>
      </c>
      <c r="Z37" t="inlineStr"/>
      <c r="AA37" t="inlineStr"/>
      <c r="AB37" t="inlineStr">
        <is>
          <t>single-source</t>
        </is>
      </c>
      <c r="AC37" t="inlineStr"/>
      <c r="AD37" t="inlineStr"/>
      <c r="AE37" t="inlineStr"/>
      <c r="AF37" t="inlineStr">
        <is>
          <t>unknown</t>
        </is>
      </c>
      <c r="AG37" t="inlineStr"/>
      <c r="AH37" t="inlineStr">
        <is>
          <t>unknown</t>
        </is>
      </c>
      <c r="AI37" t="inlineStr">
        <is>
          <t>near-miss-over-500</t>
        </is>
      </c>
      <c r="AJ37" t="inlineStr">
        <is>
          <t>occupied</t>
        </is>
      </c>
      <c r="AK37" t="inlineStr"/>
      <c r="AL37" t="inlineStr">
        <is>
          <t>2026-10-23</t>
        </is>
      </c>
      <c r="AM37" s="3" t="inlineStr"/>
      <c r="AN37" t="inlineStr">
        <is>
          <t>leasing-press</t>
        </is>
      </c>
      <c r="AO37" t="inlineStr">
        <is>
          <t>2024-10-17</t>
        </is>
      </c>
      <c r="AP37" t="inlineStr">
        <is>
          <t>no-coworking-in-building</t>
        </is>
      </c>
      <c r="AQ37" t="inlineStr">
        <is>
          <t>1007950044</t>
        </is>
      </c>
      <c r="AR37" t="n">
        <v>0</v>
      </c>
      <c r="AS37" t="inlineStr">
        <is>
          <t>45,000 sf</t>
        </is>
      </c>
      <c r="AT37" t="inlineStr">
        <is>
          <t>S2</t>
        </is>
      </c>
      <c r="AU37" s="3" t="inlineStr">
        <is>
          <t>not-near (5,000 or more): over 500 company-wide (30,000; the count quoted in this row's notes)</t>
        </is>
      </c>
      <c r="AV37" t="inlineStr">
        <is>
          <t>not-near (5,000 or more)</t>
        </is>
      </c>
      <c r="AW37" t="inlineStr">
        <is>
          <t>30000</t>
        </is>
      </c>
      <c r="AX37" t="inlineStr">
        <is>
          <t>N</t>
        </is>
      </c>
    </row>
    <row r="38">
      <c r="A38" t="inlineStr">
        <is>
          <t>B-C-211</t>
        </is>
      </c>
      <c r="B38" t="inlineStr">
        <is>
          <t>Mastercard</t>
        </is>
      </c>
      <c r="C38" s="2" t="inlineStr">
        <is>
          <t>https://www.mastercard.com</t>
        </is>
      </c>
      <c r="D38" t="inlineStr">
        <is>
          <t>payments (tech hub)</t>
        </is>
      </c>
      <c r="E38" t="inlineStr"/>
      <c r="F38" t="inlineStr">
        <is>
          <t>150 Fifth Avenue</t>
        </is>
      </c>
      <c r="G38" t="inlineStr">
        <is>
          <t>unknown</t>
        </is>
      </c>
      <c r="H38" t="inlineStr"/>
      <c r="I38" t="n">
        <v>40.739548</v>
      </c>
      <c r="J38" t="n">
        <v>-73.99127300000001</v>
      </c>
      <c r="K38" t="inlineStr">
        <is>
          <t>Y</t>
        </is>
      </c>
      <c r="L38" t="inlineStr">
        <is>
          <t>over-500</t>
        </is>
      </c>
      <c r="M38" t="inlineStr">
        <is>
          <t>whole-company</t>
        </is>
      </c>
      <c r="N38" s="2" t="inlineStr">
        <is>
          <t>https://www.builtinnyc.com/company/mastercard</t>
        </is>
      </c>
      <c r="O38" s="2" t="inlineStr">
        <is>
          <t>https://commercialobserver.com/2025/09/bam-labs-150-fifth-avenue-first-u-s-location/</t>
        </is>
      </c>
      <c r="P38" t="inlineStr">
        <is>
          <t>2025-09-22</t>
        </is>
      </c>
      <c r="Q38" s="2" t="inlineStr">
        <is>
          <t>https://commercialobserver.com/2021/10/150-fifth-avenue-debuts-as-mastercards-new-tech-hq/</t>
        </is>
      </c>
      <c r="R38" t="inlineStr">
        <is>
          <t>medium</t>
        </is>
      </c>
      <c r="S38" t="inlineStr">
        <is>
          <t>N</t>
        </is>
      </c>
      <c r="T38" t="inlineStr"/>
      <c r="U38" t="inlineStr"/>
      <c r="V38" s="3" t="inlineStr">
        <is>
          <t>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is>
      </c>
      <c r="W38" t="inlineStr">
        <is>
          <t>2026-10-23</t>
        </is>
      </c>
      <c r="X38" t="inlineStr">
        <is>
          <t>Purchase</t>
        </is>
      </c>
      <c r="Y38" t="inlineStr">
        <is>
          <t>N</t>
        </is>
      </c>
      <c r="Z38" t="inlineStr">
        <is>
          <t>https://www.builtinnyc.com/company/mastercard/offices</t>
        </is>
      </c>
      <c r="AA38" t="inlineStr"/>
      <c r="AB38" t="inlineStr">
        <is>
          <t>single-source</t>
        </is>
      </c>
      <c r="AC38" t="inlineStr"/>
      <c r="AD38" t="inlineStr"/>
      <c r="AE38" t="inlineStr"/>
      <c r="AF38" t="inlineStr">
        <is>
          <t>unknown</t>
        </is>
      </c>
      <c r="AG38" t="inlineStr"/>
      <c r="AH38" t="inlineStr">
        <is>
          <t>unknown</t>
        </is>
      </c>
      <c r="AI38" t="inlineStr">
        <is>
          <t>near-miss-over-500</t>
        </is>
      </c>
      <c r="AJ38" t="inlineStr">
        <is>
          <t>occupied</t>
        </is>
      </c>
      <c r="AK38" t="inlineStr"/>
      <c r="AL38" t="inlineStr">
        <is>
          <t>2026-10-23</t>
        </is>
      </c>
      <c r="AM38" s="3" t="inlineStr"/>
      <c r="AN38" t="inlineStr">
        <is>
          <t>leasing-press</t>
        </is>
      </c>
      <c r="AO38" t="inlineStr">
        <is>
          <t>2021-10-20</t>
        </is>
      </c>
      <c r="AP38" t="inlineStr">
        <is>
          <t>no-coworking-in-building</t>
        </is>
      </c>
      <c r="AQ38" t="inlineStr">
        <is>
          <t>1008210041</t>
        </is>
      </c>
      <c r="AR38" t="n">
        <v>0</v>
      </c>
      <c r="AS38" t="inlineStr">
        <is>
          <t>212,000 sf</t>
        </is>
      </c>
      <c r="AT38" t="inlineStr">
        <is>
          <t>S2</t>
        </is>
      </c>
      <c r="AU38" s="3" t="inlineStr">
        <is>
          <t>not-near (5,000 or more): over 500 company-wide (38,800; the count quoted in this row's notes)</t>
        </is>
      </c>
      <c r="AV38" t="inlineStr">
        <is>
          <t>not-near (5,000 or more)</t>
        </is>
      </c>
      <c r="AW38" t="inlineStr">
        <is>
          <t>38800</t>
        </is>
      </c>
      <c r="AX38" t="inlineStr">
        <is>
          <t>N</t>
        </is>
      </c>
    </row>
    <row r="39">
      <c r="A39" t="inlineStr">
        <is>
          <t>B-C-213</t>
        </is>
      </c>
      <c r="B39" t="inlineStr">
        <is>
          <t>Fenwick &amp; West</t>
        </is>
      </c>
      <c r="C39" s="2" t="inlineStr">
        <is>
          <t>https://www.fenwick.com</t>
        </is>
      </c>
      <c r="D39" t="inlineStr">
        <is>
          <t>law firm</t>
        </is>
      </c>
      <c r="E39" t="inlineStr">
        <is>
          <t>B-B-031</t>
        </is>
      </c>
      <c r="F39" t="inlineStr">
        <is>
          <t>902 Broadway</t>
        </is>
      </c>
      <c r="G39" t="inlineStr">
        <is>
          <t>13-15, 18</t>
        </is>
      </c>
      <c r="H39" t="inlineStr">
        <is>
          <t>10010</t>
        </is>
      </c>
      <c r="I39" t="n">
        <v>40.739363</v>
      </c>
      <c r="J39" t="n">
        <v>-73.98953400000001</v>
      </c>
      <c r="K39" t="inlineStr">
        <is>
          <t>Y</t>
        </is>
      </c>
      <c r="L39" t="inlineStr">
        <is>
          <t>over-500</t>
        </is>
      </c>
      <c r="M39" t="inlineStr">
        <is>
          <t>whole-company</t>
        </is>
      </c>
      <c r="N39" s="2" t="inlineStr">
        <is>
          <t>https://www.builtinnyc.com/company/fenwick-west</t>
        </is>
      </c>
      <c r="O39" s="2" t="inlineStr">
        <is>
          <t>https://commercialobserver.com/2026/06/fenwick-west-lease-expansion-rosen-902-broadway/</t>
        </is>
      </c>
      <c r="P39" t="inlineStr">
        <is>
          <t>2026-06-16</t>
        </is>
      </c>
      <c r="Q39" s="2" t="inlineStr">
        <is>
          <t>https://www.builtinnyc.com/company/fenwick-west/offices</t>
        </is>
      </c>
      <c r="R39" t="inlineStr">
        <is>
          <t>high</t>
        </is>
      </c>
      <c r="S39" t="inlineStr">
        <is>
          <t>N</t>
        </is>
      </c>
      <c r="T39" t="inlineStr"/>
      <c r="U39" t="inlineStr"/>
      <c r="V39" s="3" t="inlineStr">
        <is>
          <t>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is>
      </c>
      <c r="W39" t="inlineStr">
        <is>
          <t>2026-10-23</t>
        </is>
      </c>
      <c r="X39" t="inlineStr">
        <is>
          <t>Mountain View</t>
        </is>
      </c>
      <c r="Y39" t="inlineStr">
        <is>
          <t>N</t>
        </is>
      </c>
      <c r="Z39" t="inlineStr">
        <is>
          <t>https://www.builtinnyc.com/company/fenwick-west/offices</t>
        </is>
      </c>
      <c r="AA39" t="inlineStr"/>
      <c r="AB39" t="inlineStr">
        <is>
          <t>single-source</t>
        </is>
      </c>
      <c r="AC39" t="inlineStr"/>
      <c r="AD39" t="inlineStr"/>
      <c r="AE39" t="inlineStr"/>
      <c r="AF39" t="inlineStr">
        <is>
          <t>unknown</t>
        </is>
      </c>
      <c r="AG39" t="inlineStr"/>
      <c r="AH39" t="inlineStr">
        <is>
          <t>security desk</t>
        </is>
      </c>
      <c r="AI39" t="inlineStr">
        <is>
          <t>near-miss-over-500</t>
        </is>
      </c>
      <c r="AJ39" t="inlineStr">
        <is>
          <t>occupied</t>
        </is>
      </c>
      <c r="AK39" t="inlineStr"/>
      <c r="AL39" t="inlineStr">
        <is>
          <t>2026-10-23</t>
        </is>
      </c>
      <c r="AM39" s="3" t="inlineStr"/>
      <c r="AN39" t="inlineStr">
        <is>
          <t>leasing-press</t>
        </is>
      </c>
      <c r="AO39" t="inlineStr">
        <is>
          <t>2026-10-23</t>
        </is>
      </c>
      <c r="AP39" t="inlineStr">
        <is>
          <t>different-floor</t>
        </is>
      </c>
      <c r="AQ39" t="inlineStr">
        <is>
          <t>1008490016</t>
        </is>
      </c>
      <c r="AR39" t="n">
        <v>0</v>
      </c>
      <c r="AS39" t="inlineStr">
        <is>
          <t>72,800 sf</t>
        </is>
      </c>
      <c r="AT39" t="inlineStr">
        <is>
          <t>S2</t>
        </is>
      </c>
      <c r="AU39" s="3" t="inlineStr">
        <is>
          <t>over-1,000 (1,001 to 4,999): over 500 company-wide (1,176; the count quoted in this row's notes)</t>
        </is>
      </c>
      <c r="AV39" t="inlineStr">
        <is>
          <t>over-1,000 (1,001 to 4,999)</t>
        </is>
      </c>
      <c r="AW39" t="inlineStr">
        <is>
          <t>1176</t>
        </is>
      </c>
      <c r="AX39" t="inlineStr">
        <is>
          <t>N</t>
        </is>
      </c>
    </row>
    <row r="40">
      <c r="A40" t="inlineStr">
        <is>
          <t>B-C-214</t>
        </is>
      </c>
      <c r="B40" t="inlineStr">
        <is>
          <t>SeatGeek</t>
        </is>
      </c>
      <c r="C40" s="2" t="inlineStr">
        <is>
          <t>https://seatgeek.com</t>
        </is>
      </c>
      <c r="D40" t="inlineStr">
        <is>
          <t>ticketing marketplace</t>
        </is>
      </c>
      <c r="E40" t="inlineStr">
        <is>
          <t>B-B-031</t>
        </is>
      </c>
      <c r="F40" t="inlineStr">
        <is>
          <t>902 Broadway</t>
        </is>
      </c>
      <c r="G40" t="inlineStr">
        <is>
          <t>8-11</t>
        </is>
      </c>
      <c r="H40" t="inlineStr">
        <is>
          <t>10010</t>
        </is>
      </c>
      <c r="I40" t="n">
        <v>40.739363</v>
      </c>
      <c r="J40" t="n">
        <v>-73.98953400000001</v>
      </c>
      <c r="K40" t="inlineStr">
        <is>
          <t>Y</t>
        </is>
      </c>
      <c r="L40" t="inlineStr">
        <is>
          <t>over-500</t>
        </is>
      </c>
      <c r="M40" t="inlineStr">
        <is>
          <t>whole-company</t>
        </is>
      </c>
      <c r="N40" s="2" t="inlineStr">
        <is>
          <t>https://www.builtinnyc.com/company/seatgeek</t>
        </is>
      </c>
      <c r="O40" s="2" t="inlineStr">
        <is>
          <t>https://commercialobserver.com/2018/10/seatgeek-leases-72k-sf-for-new-flatiron-offices/</t>
        </is>
      </c>
      <c r="P40" t="inlineStr">
        <is>
          <t>2018-10-17</t>
        </is>
      </c>
      <c r="Q40" s="2" t="inlineStr">
        <is>
          <t>https://www.metro-manhattan.com/buildings/902-broadway/</t>
        </is>
      </c>
      <c r="R40" t="inlineStr">
        <is>
          <t>low</t>
        </is>
      </c>
      <c r="S40" t="inlineStr">
        <is>
          <t>N</t>
        </is>
      </c>
      <c r="T40" t="inlineStr"/>
      <c r="U40" t="inlineStr"/>
      <c r="V40" s="3" t="inlineStr">
        <is>
          <t>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is>
      </c>
      <c r="W40" t="inlineStr">
        <is>
          <t>2026-10-23</t>
        </is>
      </c>
      <c r="X40" t="inlineStr">
        <is>
          <t>New York</t>
        </is>
      </c>
      <c r="Y40" t="inlineStr">
        <is>
          <t>Y</t>
        </is>
      </c>
      <c r="Z40" t="inlineStr">
        <is>
          <t>https://www.builtinnyc.com/company/seatgeek/offices</t>
        </is>
      </c>
      <c r="AA40" t="inlineStr"/>
      <c r="AB40" t="inlineStr">
        <is>
          <t>single-source</t>
        </is>
      </c>
      <c r="AC40" t="inlineStr"/>
      <c r="AD40" t="inlineStr"/>
      <c r="AE40" t="inlineStr"/>
      <c r="AF40" t="inlineStr">
        <is>
          <t>unknown</t>
        </is>
      </c>
      <c r="AG40" t="inlineStr"/>
      <c r="AH40" t="inlineStr">
        <is>
          <t>security desk</t>
        </is>
      </c>
      <c r="AI40" t="inlineStr">
        <is>
          <t>near-miss-over-500</t>
        </is>
      </c>
      <c r="AJ40" t="inlineStr">
        <is>
          <t>occupancy-unconfirmed</t>
        </is>
      </c>
      <c r="AK40" t="inlineStr"/>
      <c r="AL40" t="inlineStr">
        <is>
          <t>2026-10-23</t>
        </is>
      </c>
      <c r="AM40" s="3" t="inlineStr"/>
      <c r="AN40" t="inlineStr">
        <is>
          <t>leasing-press</t>
        </is>
      </c>
      <c r="AO40" t="inlineStr">
        <is>
          <t>2024-11-02</t>
        </is>
      </c>
      <c r="AP40" t="inlineStr">
        <is>
          <t>different-floor</t>
        </is>
      </c>
      <c r="AQ40" t="inlineStr">
        <is>
          <t>1008490016</t>
        </is>
      </c>
      <c r="AR40" t="n">
        <v>0</v>
      </c>
      <c r="AS40" t="inlineStr">
        <is>
          <t>72,800 sf</t>
        </is>
      </c>
      <c r="AT40" t="inlineStr">
        <is>
          <t>S2</t>
        </is>
      </c>
      <c r="AU40" s="3" t="inlineStr">
        <is>
          <t>just-over-500 (501 to 1,000): over 500 company-wide (900; the count quoted in this row's notes)</t>
        </is>
      </c>
      <c r="AV40" t="inlineStr">
        <is>
          <t>just-over-500 (501 to 1,000)</t>
        </is>
      </c>
      <c r="AW40" t="inlineStr">
        <is>
          <t>900</t>
        </is>
      </c>
      <c r="AX40" t="inlineStr">
        <is>
          <t>N</t>
        </is>
      </c>
    </row>
    <row r="41">
      <c r="A41" t="inlineStr">
        <is>
          <t>B-C-212</t>
        </is>
      </c>
      <c r="B41" t="inlineStr">
        <is>
          <t>MillerKnoll</t>
        </is>
      </c>
      <c r="C41" s="2" t="inlineStr">
        <is>
          <t>https://www.millerknoll.com</t>
        </is>
      </c>
      <c r="D41" t="inlineStr">
        <is>
          <t>office furniture (showroom and office)</t>
        </is>
      </c>
      <c r="E41" t="inlineStr"/>
      <c r="F41" t="inlineStr">
        <is>
          <t>251 Park Avenue South</t>
        </is>
      </c>
      <c r="G41" t="inlineStr">
        <is>
          <t>incl. 6-7</t>
        </is>
      </c>
      <c r="H41" t="inlineStr"/>
      <c r="I41" t="n">
        <v>40.738448</v>
      </c>
      <c r="J41" t="n">
        <v>-73.987379</v>
      </c>
      <c r="K41" t="inlineStr">
        <is>
          <t>Y</t>
        </is>
      </c>
      <c r="L41" t="inlineStr">
        <is>
          <t>over-500</t>
        </is>
      </c>
      <c r="M41" t="inlineStr">
        <is>
          <t>whole-company</t>
        </is>
      </c>
      <c r="N41" s="2" t="inlineStr">
        <is>
          <t>https://www.builtinnyc.com/company/millerknoll</t>
        </is>
      </c>
      <c r="O41" s="2" t="inlineStr">
        <is>
          <t>https://commercialobserver.com/2023/05/office-furniture-giant-millerknoll-adds-15k-sf-to-251-park-avenue-south-footprint/</t>
        </is>
      </c>
      <c r="P41" t="inlineStr">
        <is>
          <t>2023-05-08</t>
        </is>
      </c>
      <c r="Q41" t="inlineStr"/>
      <c r="R41" t="inlineStr">
        <is>
          <t>low</t>
        </is>
      </c>
      <c r="S41" t="inlineStr">
        <is>
          <t>N</t>
        </is>
      </c>
      <c r="T41" t="inlineStr"/>
      <c r="U41" t="inlineStr"/>
      <c r="V41" s="3" t="inlineStr">
        <is>
          <t>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is>
      </c>
      <c r="W41" t="inlineStr">
        <is>
          <t>2026-10-23</t>
        </is>
      </c>
      <c r="X41" t="inlineStr">
        <is>
          <t>Zeeland</t>
        </is>
      </c>
      <c r="Y41" t="inlineStr">
        <is>
          <t>N</t>
        </is>
      </c>
      <c r="Z41" t="inlineStr">
        <is>
          <t>https://www.builtinnyc.com/company/millerknoll/offices</t>
        </is>
      </c>
      <c r="AA41" t="inlineStr"/>
      <c r="AB41" t="inlineStr">
        <is>
          <t>single-source</t>
        </is>
      </c>
      <c r="AC41" t="inlineStr"/>
      <c r="AD41" t="inlineStr"/>
      <c r="AE41" t="inlineStr"/>
      <c r="AF41" t="inlineStr">
        <is>
          <t>unknown</t>
        </is>
      </c>
      <c r="AG41" t="inlineStr"/>
      <c r="AH41" t="inlineStr">
        <is>
          <t>unknown</t>
        </is>
      </c>
      <c r="AI41" t="inlineStr">
        <is>
          <t>near-miss-over-500</t>
        </is>
      </c>
      <c r="AJ41" t="inlineStr">
        <is>
          <t>occupancy-unconfirmed</t>
        </is>
      </c>
      <c r="AK41" t="inlineStr"/>
      <c r="AL41" t="inlineStr">
        <is>
          <t>2026-10-23</t>
        </is>
      </c>
      <c r="AM41" s="3" t="inlineStr"/>
      <c r="AN41" t="inlineStr">
        <is>
          <t>leasing-press</t>
        </is>
      </c>
      <c r="AO41" t="inlineStr"/>
      <c r="AP41" t="inlineStr">
        <is>
          <t>no-coworking-in-building</t>
        </is>
      </c>
      <c r="AQ41" t="inlineStr">
        <is>
          <t>1008760001</t>
        </is>
      </c>
      <c r="AR41" t="n">
        <v>0</v>
      </c>
      <c r="AS41" t="inlineStr">
        <is>
          <t>60,000 sf</t>
        </is>
      </c>
      <c r="AT41" t="inlineStr">
        <is>
          <t>S2</t>
        </is>
      </c>
      <c r="AU41" s="3" t="inlineStr">
        <is>
          <t>not-near (5,000 or more): over 500 company-wide (9,522; the count quoted in this row's notes)</t>
        </is>
      </c>
      <c r="AV41" t="inlineStr">
        <is>
          <t>not-near (5,000 or more)</t>
        </is>
      </c>
      <c r="AW41" t="inlineStr">
        <is>
          <t>9522</t>
        </is>
      </c>
      <c r="AX41" t="inlineStr">
        <is>
          <t>N</t>
        </is>
      </c>
    </row>
    <row r="42">
      <c r="A42" t="inlineStr">
        <is>
          <t>B-C-215</t>
        </is>
      </c>
      <c r="B42" t="inlineStr">
        <is>
          <t>AngelList</t>
        </is>
      </c>
      <c r="C42" s="2" t="inlineStr">
        <is>
          <t>https://www.angellist.com</t>
        </is>
      </c>
      <c r="D42" t="inlineStr">
        <is>
          <t>fintech (venture fund infrastructure)</t>
        </is>
      </c>
      <c r="E42" t="inlineStr">
        <is>
          <t>B-B-032</t>
        </is>
      </c>
      <c r="F42" t="inlineStr">
        <is>
          <t>257 Park Avenue South</t>
        </is>
      </c>
      <c r="G42" t="inlineStr">
        <is>
          <t>18</t>
        </is>
      </c>
      <c r="H42" t="inlineStr">
        <is>
          <t>10010</t>
        </is>
      </c>
      <c r="I42" t="n">
        <v>40.738577</v>
      </c>
      <c r="J42" t="n">
        <v>-73.987151</v>
      </c>
      <c r="K42" t="inlineStr">
        <is>
          <t>Y</t>
        </is>
      </c>
      <c r="L42" t="inlineStr">
        <is>
          <t>over-500</t>
        </is>
      </c>
      <c r="M42" t="inlineStr">
        <is>
          <t>whole-company</t>
        </is>
      </c>
      <c r="N42" s="2" t="inlineStr">
        <is>
          <t>https://www.builtinnyc.com/company/angellist</t>
        </is>
      </c>
      <c r="O42" s="2" t="inlineStr">
        <is>
          <t>https://commercialobserver.com/2025/09/angellist-lease-257-park-avenue-south/</t>
        </is>
      </c>
      <c r="P42" t="inlineStr">
        <is>
          <t>2025-09-12</t>
        </is>
      </c>
      <c r="Q42" t="inlineStr"/>
      <c r="R42" t="inlineStr">
        <is>
          <t>medium</t>
        </is>
      </c>
      <c r="S42" t="inlineStr">
        <is>
          <t>N</t>
        </is>
      </c>
      <c r="T42" t="inlineStr"/>
      <c r="U42" t="inlineStr"/>
      <c r="V42" s="3" t="inlineStr">
        <is>
          <t>Seven-year lease of the full 18th floor (12,900 sf). Built In shows 518 total employees (just over 500), HQ San Francisco, NYC office listed without a street. Near-miss on size.</t>
        </is>
      </c>
      <c r="W42" t="inlineStr">
        <is>
          <t>2026-10-23</t>
        </is>
      </c>
      <c r="X42" t="inlineStr">
        <is>
          <t>San Francisco</t>
        </is>
      </c>
      <c r="Y42" t="inlineStr">
        <is>
          <t>N</t>
        </is>
      </c>
      <c r="Z42" t="inlineStr">
        <is>
          <t>https://www.builtinnyc.com/company/angellist/offices</t>
        </is>
      </c>
      <c r="AA42" t="inlineStr"/>
      <c r="AB42" t="inlineStr">
        <is>
          <t>single-source</t>
        </is>
      </c>
      <c r="AC42" t="inlineStr"/>
      <c r="AD42" t="inlineStr"/>
      <c r="AE42" t="inlineStr"/>
      <c r="AF42" t="inlineStr">
        <is>
          <t>unknown</t>
        </is>
      </c>
      <c r="AG42" t="inlineStr"/>
      <c r="AH42" t="inlineStr">
        <is>
          <t>unknown</t>
        </is>
      </c>
      <c r="AI42" t="inlineStr">
        <is>
          <t>near-miss-over-500</t>
        </is>
      </c>
      <c r="AJ42" t="inlineStr">
        <is>
          <t>occupancy-unconfirmed</t>
        </is>
      </c>
      <c r="AK42" t="inlineStr"/>
      <c r="AL42" t="inlineStr">
        <is>
          <t>2026-10-23</t>
        </is>
      </c>
      <c r="AM42" s="3" t="inlineStr"/>
      <c r="AN42" t="inlineStr">
        <is>
          <t>leasing-press</t>
        </is>
      </c>
      <c r="AO42" t="inlineStr"/>
      <c r="AP42" t="inlineStr">
        <is>
          <t>no-coworking-in-building</t>
        </is>
      </c>
      <c r="AQ42" t="inlineStr">
        <is>
          <t>1008767504</t>
        </is>
      </c>
      <c r="AR42" t="n">
        <v>0</v>
      </c>
      <c r="AS42" t="inlineStr">
        <is>
          <t>12,900 sf</t>
        </is>
      </c>
      <c r="AT42" t="inlineStr">
        <is>
          <t>S2</t>
        </is>
      </c>
      <c r="AU42" s="3" t="inlineStr">
        <is>
          <t>just-over-500 (501 to 1,000): over 500 company-wide (518; the count quoted in this row's notes)</t>
        </is>
      </c>
      <c r="AV42" t="inlineStr">
        <is>
          <t>just-over-500 (501 to 1,000)</t>
        </is>
      </c>
      <c r="AW42" t="inlineStr">
        <is>
          <t>518</t>
        </is>
      </c>
      <c r="AX42" t="inlineStr">
        <is>
          <t>N</t>
        </is>
      </c>
    </row>
    <row r="43">
      <c r="A43" t="inlineStr">
        <is>
          <t>B-C-216</t>
        </is>
      </c>
      <c r="B43" t="inlineStr">
        <is>
          <t>Reaktor</t>
        </is>
      </c>
      <c r="C43" s="2" t="inlineStr">
        <is>
          <t>https://www.reaktor.com</t>
        </is>
      </c>
      <c r="D43" t="inlineStr">
        <is>
          <t>software and design consultancy</t>
        </is>
      </c>
      <c r="E43" t="inlineStr">
        <is>
          <t>B-B-033</t>
        </is>
      </c>
      <c r="F43" t="inlineStr">
        <is>
          <t>30 West 21st Street</t>
        </is>
      </c>
      <c r="G43" t="inlineStr">
        <is>
          <t>14</t>
        </is>
      </c>
      <c r="H43" t="inlineStr">
        <is>
          <t>10010</t>
        </is>
      </c>
      <c r="I43" t="n">
        <v>40.74082</v>
      </c>
      <c r="J43" t="n">
        <v>-73.992366</v>
      </c>
      <c r="K43" t="inlineStr">
        <is>
          <t>Y</t>
        </is>
      </c>
      <c r="L43" t="inlineStr">
        <is>
          <t>over-500</t>
        </is>
      </c>
      <c r="M43" t="inlineStr">
        <is>
          <t>whole-company</t>
        </is>
      </c>
      <c r="N43" s="2" t="inlineStr">
        <is>
          <t>https://www.builtinnyc.com/company/reaktor</t>
        </is>
      </c>
      <c r="O43" s="2" t="inlineStr">
        <is>
          <t>https://www.builtinnyc.com/company/reaktor/offices</t>
        </is>
      </c>
      <c r="P43" t="inlineStr">
        <is>
          <t>2026-10-23</t>
        </is>
      </c>
      <c r="Q43" s="2" t="inlineStr">
        <is>
          <t>https://commercialobserver.com/2025/04/actively-ai-lease-30-west-21st-street/</t>
        </is>
      </c>
      <c r="R43" t="inlineStr">
        <is>
          <t>high</t>
        </is>
      </c>
      <c r="S43" t="inlineStr">
        <is>
          <t>N</t>
        </is>
      </c>
      <c r="T43" t="inlineStr"/>
      <c r="U43" t="inlineStr"/>
      <c r="V43" s="3" t="inlineStr">
        <is>
          <t>Built In lists New York office at 30 W 21st Street, 14th floor; CO Apr 2025 names software company Reaktor as a tenant. Built In shows 644 total employees (Helsinki-based); NYC office headcount not sourced.</t>
        </is>
      </c>
      <c r="W43" t="inlineStr">
        <is>
          <t>2026-10-23</t>
        </is>
      </c>
      <c r="X43" t="inlineStr">
        <is>
          <t>unknown</t>
        </is>
      </c>
      <c r="Y43" t="inlineStr">
        <is>
          <t>unknown</t>
        </is>
      </c>
      <c r="Z43" t="inlineStr">
        <is>
          <t>https://www.builtinnyc.com/company/reaktor/offices</t>
        </is>
      </c>
      <c r="AA43" t="inlineStr"/>
      <c r="AB43" t="inlineStr">
        <is>
          <t>single-source</t>
        </is>
      </c>
      <c r="AC43" t="inlineStr"/>
      <c r="AD43" t="inlineStr"/>
      <c r="AE43" t="inlineStr"/>
      <c r="AF43" t="inlineStr">
        <is>
          <t>unknown</t>
        </is>
      </c>
      <c r="AG43" t="inlineStr"/>
      <c r="AH43" t="inlineStr">
        <is>
          <t>unknown</t>
        </is>
      </c>
      <c r="AI43" t="inlineStr">
        <is>
          <t>near-miss-over-500</t>
        </is>
      </c>
      <c r="AJ43" t="inlineStr">
        <is>
          <t>occupied</t>
        </is>
      </c>
      <c r="AK43" t="inlineStr"/>
      <c r="AL43" t="inlineStr">
        <is>
          <t>2026-10-23</t>
        </is>
      </c>
      <c r="AM43" s="3" t="inlineStr"/>
      <c r="AN43" t="inlineStr">
        <is>
          <t>builtin</t>
        </is>
      </c>
      <c r="AO43" t="inlineStr">
        <is>
          <t>2025-04-14</t>
        </is>
      </c>
      <c r="AP43" t="inlineStr">
        <is>
          <t>no-coworking-in-building</t>
        </is>
      </c>
      <c r="AQ43" t="inlineStr">
        <is>
          <t>1008220058</t>
        </is>
      </c>
      <c r="AR43" t="n">
        <v>0</v>
      </c>
      <c r="AS43" t="inlineStr"/>
      <c r="AT43" t="inlineStr">
        <is>
          <t>S2</t>
        </is>
      </c>
      <c r="AU43" s="3" t="inlineStr">
        <is>
          <t>just-over-500 (501 to 1,000): over 500 company-wide (644; the count quoted in this row's notes)</t>
        </is>
      </c>
      <c r="AV43" t="inlineStr">
        <is>
          <t>just-over-500 (501 to 1,000)</t>
        </is>
      </c>
      <c r="AW43" t="inlineStr">
        <is>
          <t>644</t>
        </is>
      </c>
      <c r="AX43" t="inlineStr">
        <is>
          <t>N</t>
        </is>
      </c>
    </row>
    <row r="44">
      <c r="A44" t="inlineStr">
        <is>
          <t>B-C-217</t>
        </is>
      </c>
      <c r="B44" t="inlineStr">
        <is>
          <t>Airtable</t>
        </is>
      </c>
      <c r="C44" s="2" t="inlineStr">
        <is>
          <t>https://www.airtable.com</t>
        </is>
      </c>
      <c r="D44" t="inlineStr">
        <is>
          <t>software (no-code database)</t>
        </is>
      </c>
      <c r="E44" t="inlineStr"/>
      <c r="F44" t="inlineStr">
        <is>
          <t>35 East 21st Street</t>
        </is>
      </c>
      <c r="G44" t="inlineStr">
        <is>
          <t>unknown</t>
        </is>
      </c>
      <c r="H44" t="inlineStr"/>
      <c r="I44" t="n">
        <v>40.739614</v>
      </c>
      <c r="J44" t="n">
        <v>-73.988361</v>
      </c>
      <c r="K44" t="inlineStr">
        <is>
          <t>Y</t>
        </is>
      </c>
      <c r="L44" t="inlineStr">
        <is>
          <t>over-500</t>
        </is>
      </c>
      <c r="M44" t="inlineStr">
        <is>
          <t>whole-company</t>
        </is>
      </c>
      <c r="N44" s="2" t="inlineStr">
        <is>
          <t>https://www.builtinnyc.com/company/airtable</t>
        </is>
      </c>
      <c r="O44" s="2" t="inlineStr">
        <is>
          <t>https://www.builtinnyc.com/company/airtable/offices</t>
        </is>
      </c>
      <c r="P44" t="inlineStr">
        <is>
          <t>2026-10-23</t>
        </is>
      </c>
      <c r="Q44" t="inlineStr"/>
      <c r="R44" t="inlineStr">
        <is>
          <t>low</t>
        </is>
      </c>
      <c r="S44" t="inlineStr">
        <is>
          <t>N</t>
        </is>
      </c>
      <c r="T44" t="inlineStr"/>
      <c r="U44" t="inlineStr"/>
      <c r="V44" s="3" t="inlineStr">
        <is>
          <t>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t>
        </is>
      </c>
      <c r="W44" t="inlineStr">
        <is>
          <t>2026-10-23</t>
        </is>
      </c>
      <c r="X44" t="inlineStr">
        <is>
          <t>San Francisco</t>
        </is>
      </c>
      <c r="Y44" t="inlineStr">
        <is>
          <t>N</t>
        </is>
      </c>
      <c r="Z44" t="inlineStr">
        <is>
          <t>https://www.builtinnyc.com/company/airtable/offices</t>
        </is>
      </c>
      <c r="AA44" t="inlineStr"/>
      <c r="AB44" t="inlineStr">
        <is>
          <t>single-source</t>
        </is>
      </c>
      <c r="AC44" t="inlineStr"/>
      <c r="AD44" t="inlineStr"/>
      <c r="AE44" t="inlineStr"/>
      <c r="AF44" t="inlineStr">
        <is>
          <t>unknown</t>
        </is>
      </c>
      <c r="AG44" t="inlineStr"/>
      <c r="AH44" t="inlineStr">
        <is>
          <t>unknown</t>
        </is>
      </c>
      <c r="AI44" t="inlineStr">
        <is>
          <t>near-miss-over-500</t>
        </is>
      </c>
      <c r="AJ44" t="inlineStr">
        <is>
          <t>occupied</t>
        </is>
      </c>
      <c r="AK44" t="inlineStr"/>
      <c r="AL44" t="inlineStr">
        <is>
          <t>2026-10-23</t>
        </is>
      </c>
      <c r="AM44" s="3" t="inlineStr"/>
      <c r="AN44" t="inlineStr">
        <is>
          <t>builtin</t>
        </is>
      </c>
      <c r="AO44" t="inlineStr"/>
      <c r="AP44" t="inlineStr">
        <is>
          <t>no-coworking-in-building</t>
        </is>
      </c>
      <c r="AQ44" t="inlineStr">
        <is>
          <t>1008500025</t>
        </is>
      </c>
      <c r="AR44" t="n">
        <v>0</v>
      </c>
      <c r="AS44" t="inlineStr"/>
      <c r="AT44" t="inlineStr">
        <is>
          <t>S2</t>
        </is>
      </c>
      <c r="AU44" s="3" t="inlineStr">
        <is>
          <t>just-over-500 (501 to 1,000): over 500 company-wide (900; the count quoted in this row's notes)</t>
        </is>
      </c>
      <c r="AV44" t="inlineStr">
        <is>
          <t>just-over-500 (501 to 1,000)</t>
        </is>
      </c>
      <c r="AW44" t="inlineStr">
        <is>
          <t>900</t>
        </is>
      </c>
      <c r="AX44" t="inlineStr">
        <is>
          <t>N</t>
        </is>
      </c>
    </row>
    <row r="45">
      <c r="A45" t="inlineStr">
        <is>
          <t>B-C-084</t>
        </is>
      </c>
      <c r="B45" t="inlineStr">
        <is>
          <t>Synthesia</t>
        </is>
      </c>
      <c r="C45" s="2" t="inlineStr">
        <is>
          <t>https://www.synthesia.io</t>
        </is>
      </c>
      <c r="D45" t="inlineStr">
        <is>
          <t>software (AI video)</t>
        </is>
      </c>
      <c r="E45" t="inlineStr">
        <is>
          <t>B-B-038</t>
        </is>
      </c>
      <c r="F45" t="inlineStr">
        <is>
          <t>675 Avenue of the Americas</t>
        </is>
      </c>
      <c r="G45" t="inlineStr">
        <is>
          <t>unknown</t>
        </is>
      </c>
      <c r="H45" t="inlineStr">
        <is>
          <t>10010</t>
        </is>
      </c>
      <c r="I45" t="n">
        <v>40.742014</v>
      </c>
      <c r="J45" t="n">
        <v>-73.99370500000001</v>
      </c>
      <c r="K45" t="inlineStr">
        <is>
          <t>Y</t>
        </is>
      </c>
      <c r="L45" t="inlineStr">
        <is>
          <t>over-500</t>
        </is>
      </c>
      <c r="M45" t="inlineStr">
        <is>
          <t>whole-company</t>
        </is>
      </c>
      <c r="N45" s="2" t="inlineStr">
        <is>
          <t>https://www.reveliolabs.com/companies/synthesia/employees</t>
        </is>
      </c>
      <c r="O45" s="2" t="inlineStr">
        <is>
          <t>https://commercialobserver.com/2026/10/synthesia-lease-gfp-675-avenue-of-the-americas/</t>
        </is>
      </c>
      <c r="P45" t="inlineStr">
        <is>
          <t>2026-10-08</t>
        </is>
      </c>
      <c r="Q45" t="inlineStr"/>
      <c r="R45" t="inlineStr">
        <is>
          <t>medium</t>
        </is>
      </c>
      <c r="S45" t="inlineStr">
        <is>
          <t>N</t>
        </is>
      </c>
      <c r="T45" t="inlineStr"/>
      <c r="U45" t="inlineStr"/>
      <c r="V45" s="3" t="inlineStr">
        <is>
          <t>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W45" t="inlineStr">
        <is>
          <t>2026-10-23</t>
        </is>
      </c>
      <c r="X45" t="inlineStr">
        <is>
          <t>London</t>
        </is>
      </c>
      <c r="Y45" t="inlineStr">
        <is>
          <t>N</t>
        </is>
      </c>
      <c r="Z45" t="inlineStr">
        <is>
          <t>https://www.reveliolabs.com/companies/synthesia/employees</t>
        </is>
      </c>
      <c r="AA45" t="inlineStr">
        <is>
          <t>774</t>
        </is>
      </c>
      <c r="AB45" t="inlineStr">
        <is>
          <t>over-500-second-source</t>
        </is>
      </c>
      <c r="AC45" t="inlineStr">
        <is>
          <t>428</t>
        </is>
      </c>
      <c r="AD45" t="inlineStr">
        <is>
          <t>https://www.builtinnyc.com/company/synthesia</t>
        </is>
      </c>
      <c r="AE45" t="inlineStr">
        <is>
          <t>2026-10-23</t>
        </is>
      </c>
      <c r="AF45" t="inlineStr">
        <is>
          <t>unknown</t>
        </is>
      </c>
      <c r="AG45" t="inlineStr"/>
      <c r="AH45" t="inlineStr">
        <is>
          <t>unknown</t>
        </is>
      </c>
      <c r="AI45" t="inlineStr">
        <is>
          <t>near-miss-over-500</t>
        </is>
      </c>
      <c r="AJ45" t="inlineStr">
        <is>
          <t>signed-not-occupied</t>
        </is>
      </c>
      <c r="AK45" t="inlineStr">
        <is>
          <t>unknown</t>
        </is>
      </c>
      <c r="AL45" t="inlineStr">
        <is>
          <t>2026-08-31</t>
        </is>
      </c>
      <c r="AM45" s="3" t="inlineStr"/>
      <c r="AN45" t="inlineStr">
        <is>
          <t>leasing-press</t>
        </is>
      </c>
      <c r="AO45" t="inlineStr"/>
      <c r="AP45" t="inlineStr">
        <is>
          <t>no-coworking-in-building</t>
        </is>
      </c>
      <c r="AQ45" t="inlineStr">
        <is>
          <t>1007970037</t>
        </is>
      </c>
      <c r="AR45" t="n">
        <v>0</v>
      </c>
      <c r="AS45" t="inlineStr">
        <is>
          <t>50,000 sf; 13,600 sf; 6,490 sf</t>
        </is>
      </c>
      <c r="AT45" t="inlineStr">
        <is>
          <t>S2</t>
        </is>
      </c>
      <c r="AU45" s="3" t="inlineStr">
        <is>
          <t>just-over-500 (501 to 1,000): over 500 company-wide (774; Revelio Labs page in headcount_source_url, as of March 2026, added at review round 2); the NYC office alone may fit the 40-250 band, founder to confirm</t>
        </is>
      </c>
      <c r="AV45" t="inlineStr">
        <is>
          <t>just-over-500 (501 to 1,000)</t>
        </is>
      </c>
      <c r="AW45" t="inlineStr">
        <is>
          <t>774</t>
        </is>
      </c>
      <c r="AX45" t="inlineStr">
        <is>
          <t>Y</t>
        </is>
      </c>
    </row>
    <row r="46">
      <c r="A46" t="inlineStr">
        <is>
          <t>B-C-218</t>
        </is>
      </c>
      <c r="B46" t="inlineStr">
        <is>
          <t>M&amp;C Saatchi Group (New York)</t>
        </is>
      </c>
      <c r="C46" s="2" t="inlineStr">
        <is>
          <t>https://www.mcsaatchi.com/</t>
        </is>
      </c>
      <c r="D46" t="inlineStr">
        <is>
          <t>Advertising / creative agency</t>
        </is>
      </c>
      <c r="E46" t="inlineStr">
        <is>
          <t>B-B-041</t>
        </is>
      </c>
      <c r="F46" t="inlineStr">
        <is>
          <t>16 West 22nd Street</t>
        </is>
      </c>
      <c r="G46" t="inlineStr">
        <is>
          <t>9</t>
        </is>
      </c>
      <c r="H46" t="inlineStr">
        <is>
          <t>10010</t>
        </is>
      </c>
      <c r="I46" t="n">
        <v>40.74118</v>
      </c>
      <c r="J46" t="n">
        <v>-73.99129000000001</v>
      </c>
      <c r="K46" t="inlineStr">
        <is>
          <t>Y</t>
        </is>
      </c>
      <c r="L46" t="inlineStr">
        <is>
          <t>over-500</t>
        </is>
      </c>
      <c r="M46" t="inlineStr">
        <is>
          <t>whole-company</t>
        </is>
      </c>
      <c r="N46" s="2" t="inlineStr">
        <is>
          <t>https://en.wikipedia.org/wiki/M%26C_Saatchi</t>
        </is>
      </c>
      <c r="O46" s="2" t="inlineStr">
        <is>
          <t>https://www.builtinnyc.com/company/m-c-saatchi-group/offices</t>
        </is>
      </c>
      <c r="P46" t="inlineStr">
        <is>
          <t>2026-10-23</t>
        </is>
      </c>
      <c r="Q46" s="2" t="inlineStr">
        <is>
          <t>https://flatironnomad.nyc/2024/01/03/december-news-roundup-4/</t>
        </is>
      </c>
      <c r="R46" t="inlineStr">
        <is>
          <t>low</t>
        </is>
      </c>
      <c r="S46" t="inlineStr">
        <is>
          <t>N</t>
        </is>
      </c>
      <c r="T46" t="inlineStr"/>
      <c r="U46" t="inlineStr"/>
      <c r="V46" s="3" t="inlineStr">
        <is>
          <t>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6" t="inlineStr">
        <is>
          <t>2026-10-23</t>
        </is>
      </c>
      <c r="X46" t="inlineStr">
        <is>
          <t>unknown</t>
        </is>
      </c>
      <c r="Y46" t="inlineStr">
        <is>
          <t>unknown</t>
        </is>
      </c>
      <c r="Z46" t="inlineStr">
        <is>
          <t>https://www.builtinnyc.com/company/m-c-saatchi-group/offices</t>
        </is>
      </c>
      <c r="AA46" t="inlineStr"/>
      <c r="AB46" t="inlineStr">
        <is>
          <t>single-source</t>
        </is>
      </c>
      <c r="AC46" t="inlineStr"/>
      <c r="AD46" t="inlineStr"/>
      <c r="AE46" t="inlineStr"/>
      <c r="AF46" t="inlineStr">
        <is>
          <t>unknown</t>
        </is>
      </c>
      <c r="AG46" t="inlineStr"/>
      <c r="AH46" t="inlineStr">
        <is>
          <t>unknown</t>
        </is>
      </c>
      <c r="AI46" t="inlineStr">
        <is>
          <t>near-miss-over-500</t>
        </is>
      </c>
      <c r="AJ46" t="inlineStr">
        <is>
          <t>occupied</t>
        </is>
      </c>
      <c r="AK46" t="inlineStr"/>
      <c r="AL46" t="inlineStr">
        <is>
          <t>2026-10-24</t>
        </is>
      </c>
      <c r="AM46" s="3" t="inlineStr"/>
      <c r="AN46" t="inlineStr">
        <is>
          <t>builtin</t>
        </is>
      </c>
      <c r="AO46" t="inlineStr">
        <is>
          <t>2024-01-03</t>
        </is>
      </c>
      <c r="AP46" t="inlineStr">
        <is>
          <t>no-coworking-in-building</t>
        </is>
      </c>
      <c r="AQ46" t="inlineStr">
        <is>
          <t>1008230029</t>
        </is>
      </c>
      <c r="AR46" t="n">
        <v>0</v>
      </c>
      <c r="AS46" t="inlineStr">
        <is>
          <t>13,000 sf</t>
        </is>
      </c>
      <c r="AT46" t="inlineStr">
        <is>
          <t>S3</t>
        </is>
      </c>
      <c r="AU46" s="3" t="inlineStr">
        <is>
          <t>over-1,000 (1,001 to 4,999): over 500 company-wide (2,003; the count quoted in this row's notes)</t>
        </is>
      </c>
      <c r="AV46" t="inlineStr">
        <is>
          <t>over-1,000 (1,001 to 4,999)</t>
        </is>
      </c>
      <c r="AW46" t="inlineStr">
        <is>
          <t>2003</t>
        </is>
      </c>
      <c r="AX46" t="inlineStr">
        <is>
          <t>N</t>
        </is>
      </c>
    </row>
    <row r="47">
      <c r="A47" t="inlineStr">
        <is>
          <t>B-C-219</t>
        </is>
      </c>
      <c r="B47" t="inlineStr">
        <is>
          <t>e.l.f. Beauty</t>
        </is>
      </c>
      <c r="C47" s="2" t="inlineStr">
        <is>
          <t>https://www.elfcosmetics.com</t>
        </is>
      </c>
      <c r="D47" t="inlineStr">
        <is>
          <t>cosmetics brand (NYC office)</t>
        </is>
      </c>
      <c r="E47" t="inlineStr">
        <is>
          <t>B-B-041</t>
        </is>
      </c>
      <c r="F47" t="inlineStr">
        <is>
          <t>16 West 22nd Street</t>
        </is>
      </c>
      <c r="G47" t="inlineStr">
        <is>
          <t>unknown</t>
        </is>
      </c>
      <c r="H47" t="inlineStr">
        <is>
          <t>10010</t>
        </is>
      </c>
      <c r="I47" t="n">
        <v>40.74118</v>
      </c>
      <c r="J47" t="n">
        <v>-73.99129000000001</v>
      </c>
      <c r="K47" t="inlineStr">
        <is>
          <t>Y</t>
        </is>
      </c>
      <c r="L47" t="inlineStr">
        <is>
          <t>over-500</t>
        </is>
      </c>
      <c r="M47" t="inlineStr">
        <is>
          <t>whole-company</t>
        </is>
      </c>
      <c r="N47" s="2" t="inlineStr">
        <is>
          <t>https://www.builtinnyc.com/company/elf-beauty</t>
        </is>
      </c>
      <c r="O47" s="2" t="inlineStr">
        <is>
          <t>https://commercialobserver.com/2024/08/elf-beauty-lease-gfp-real-estate-16-west-22nd-street/</t>
        </is>
      </c>
      <c r="P47" t="inlineStr">
        <is>
          <t>2024-08-27</t>
        </is>
      </c>
      <c r="Q47" t="inlineStr"/>
      <c r="R47" t="inlineStr">
        <is>
          <t>low</t>
        </is>
      </c>
      <c r="S47" t="inlineStr">
        <is>
          <t>N</t>
        </is>
      </c>
      <c r="T47" t="inlineStr"/>
      <c r="U47" t="inlineStr"/>
      <c r="V47" s="3" t="inlineStr">
        <is>
          <t>10-year lease adding 26,000 sf (39,000 sf total) in Aug 2024; in the building since 2020. Source predates 2024-10-23 and not re-confirmed. Built In shows 1,096 total employees, HQ Oakland CA. Over 500.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W47" t="inlineStr">
        <is>
          <t>2026-10-23</t>
        </is>
      </c>
      <c r="X47" t="inlineStr">
        <is>
          <t>Oakland</t>
        </is>
      </c>
      <c r="Y47" t="inlineStr">
        <is>
          <t>N</t>
        </is>
      </c>
      <c r="Z47" t="inlineStr">
        <is>
          <t>https://www.builtinnyc.com/company/elf-beauty/offices</t>
        </is>
      </c>
      <c r="AA47" t="inlineStr"/>
      <c r="AB47" t="inlineStr">
        <is>
          <t>single-source</t>
        </is>
      </c>
      <c r="AC47" t="inlineStr"/>
      <c r="AD47" t="inlineStr"/>
      <c r="AE47" t="inlineStr"/>
      <c r="AF47" t="inlineStr">
        <is>
          <t>unknown</t>
        </is>
      </c>
      <c r="AG47" t="inlineStr"/>
      <c r="AH47" t="inlineStr">
        <is>
          <t>unknown</t>
        </is>
      </c>
      <c r="AI47" t="inlineStr">
        <is>
          <t>near-miss-over-500</t>
        </is>
      </c>
      <c r="AJ47" t="inlineStr">
        <is>
          <t>occupied</t>
        </is>
      </c>
      <c r="AK47" t="inlineStr"/>
      <c r="AL47" t="inlineStr">
        <is>
          <t>2026-10-23</t>
        </is>
      </c>
      <c r="AM47" s="3" t="inlineStr"/>
      <c r="AN47" t="inlineStr">
        <is>
          <t>leasing-press</t>
        </is>
      </c>
      <c r="AO47" t="inlineStr"/>
      <c r="AP47" t="inlineStr">
        <is>
          <t>no-coworking-in-building</t>
        </is>
      </c>
      <c r="AQ47" t="inlineStr">
        <is>
          <t>1008230029</t>
        </is>
      </c>
      <c r="AR47" t="n">
        <v>0</v>
      </c>
      <c r="AS47" t="inlineStr">
        <is>
          <t>26,000 sf; 39,000 sf</t>
        </is>
      </c>
      <c r="AT47" t="inlineStr">
        <is>
          <t>S2</t>
        </is>
      </c>
      <c r="AU47" s="3" t="inlineStr">
        <is>
          <t>over-1,000 (1,001 to 4,999): over 500 company-wide (1,096; the count quoted in this row's notes)</t>
        </is>
      </c>
      <c r="AV47" t="inlineStr">
        <is>
          <t>over-1,000 (1,001 to 4,999)</t>
        </is>
      </c>
      <c r="AW47" t="inlineStr">
        <is>
          <t>1096</t>
        </is>
      </c>
      <c r="AX47" t="inlineStr">
        <is>
          <t>N</t>
        </is>
      </c>
    </row>
    <row r="48">
      <c r="A48" t="inlineStr">
        <is>
          <t>B-C-220</t>
        </is>
      </c>
      <c r="B48" t="inlineStr">
        <is>
          <t>FanDuel</t>
        </is>
      </c>
      <c r="C48" s="2" t="inlineStr">
        <is>
          <t>https://www.fanduel.com/</t>
        </is>
      </c>
      <c r="D48" t="inlineStr">
        <is>
          <t>Sports betting / gaming technology</t>
        </is>
      </c>
      <c r="E48" t="inlineStr">
        <is>
          <t>B-B-044</t>
        </is>
      </c>
      <c r="F48" t="inlineStr">
        <is>
          <t>300 Park Avenue South</t>
        </is>
      </c>
      <c r="G48" t="inlineStr">
        <is>
          <t>unknown</t>
        </is>
      </c>
      <c r="H48" t="inlineStr">
        <is>
          <t>10010</t>
        </is>
      </c>
      <c r="I48" t="n">
        <v>40.739819</v>
      </c>
      <c r="J48" t="n">
        <v>-73.986885</v>
      </c>
      <c r="K48" t="inlineStr">
        <is>
          <t>Y</t>
        </is>
      </c>
      <c r="L48" t="inlineStr">
        <is>
          <t>over-500</t>
        </is>
      </c>
      <c r="M48" t="inlineStr">
        <is>
          <t>whole-company</t>
        </is>
      </c>
      <c r="N48" s="2" t="inlineStr">
        <is>
          <t>https://www.builtinnyc.com/company/fanduel/offices</t>
        </is>
      </c>
      <c r="O48" s="2" t="inlineStr">
        <is>
          <t>https://rockrose.com/office/300-park-ave-s/</t>
        </is>
      </c>
      <c r="P48" t="inlineStr">
        <is>
          <t>2026-10-23</t>
        </is>
      </c>
      <c r="Q48" s="2" t="inlineStr">
        <is>
          <t>https://www.builtinnyc.com/company/fanduel/offices</t>
        </is>
      </c>
      <c r="R48" t="inlineStr">
        <is>
          <t>high</t>
        </is>
      </c>
      <c r="S48" t="inlineStr">
        <is>
          <t>N</t>
        </is>
      </c>
      <c r="T48" t="inlineStr"/>
      <c r="U48" t="inlineStr"/>
      <c r="V48" s="3" t="inlineStr">
        <is>
          <t>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is>
      </c>
      <c r="W48" t="inlineStr">
        <is>
          <t>2026-10-23</t>
        </is>
      </c>
      <c r="X48" t="inlineStr">
        <is>
          <t>New York</t>
        </is>
      </c>
      <c r="Y48" t="inlineStr">
        <is>
          <t>Y</t>
        </is>
      </c>
      <c r="Z48" t="inlineStr">
        <is>
          <t>https://www.builtinnyc.com/company/fanduel/offices</t>
        </is>
      </c>
      <c r="AA48" t="inlineStr"/>
      <c r="AB48" t="inlineStr">
        <is>
          <t>single-source</t>
        </is>
      </c>
      <c r="AC48" t="inlineStr"/>
      <c r="AD48" t="inlineStr"/>
      <c r="AE48" t="inlineStr"/>
      <c r="AF48" t="inlineStr">
        <is>
          <t>unknown</t>
        </is>
      </c>
      <c r="AG48" t="inlineStr"/>
      <c r="AH48" t="inlineStr">
        <is>
          <t>security desk</t>
        </is>
      </c>
      <c r="AI48" t="inlineStr">
        <is>
          <t>near-miss-over-500</t>
        </is>
      </c>
      <c r="AJ48" t="inlineStr">
        <is>
          <t>occupied</t>
        </is>
      </c>
      <c r="AK48" t="inlineStr"/>
      <c r="AL48" t="inlineStr">
        <is>
          <t>2026-10-23</t>
        </is>
      </c>
      <c r="AM48" s="3" t="inlineStr"/>
      <c r="AN48" t="inlineStr">
        <is>
          <t>building-site</t>
        </is>
      </c>
      <c r="AO48" t="inlineStr">
        <is>
          <t>2026-10-23</t>
        </is>
      </c>
      <c r="AP48" t="inlineStr">
        <is>
          <t>no-coworking-in-building</t>
        </is>
      </c>
      <c r="AQ48" t="inlineStr">
        <is>
          <t>1008510035</t>
        </is>
      </c>
      <c r="AR48" t="n">
        <v>0</v>
      </c>
      <c r="AS48" t="inlineStr"/>
      <c r="AT48" t="inlineStr">
        <is>
          <t>S3</t>
        </is>
      </c>
      <c r="AU48" s="3" t="inlineStr">
        <is>
          <t>over-1,000 (1,001 to 4,999): over 500 company-wide (3,693; the count quoted in this row's notes)</t>
        </is>
      </c>
      <c r="AV48" t="inlineStr">
        <is>
          <t>over-1,000 (1,001 to 4,999)</t>
        </is>
      </c>
      <c r="AW48" t="inlineStr">
        <is>
          <t>3693</t>
        </is>
      </c>
      <c r="AX48" t="inlineStr">
        <is>
          <t>N</t>
        </is>
      </c>
    </row>
    <row r="49">
      <c r="A49" t="inlineStr">
        <is>
          <t>B-C-225</t>
        </is>
      </c>
      <c r="B49" t="inlineStr">
        <is>
          <t>Ramp</t>
        </is>
      </c>
      <c r="C49" s="2" t="inlineStr">
        <is>
          <t>https://ramp.com/</t>
        </is>
      </c>
      <c r="D49" t="inlineStr">
        <is>
          <t>Fintech (corporate cards and spend)</t>
        </is>
      </c>
      <c r="E49" t="inlineStr"/>
      <c r="F49" t="inlineStr">
        <is>
          <t>28 West 23rd Street</t>
        </is>
      </c>
      <c r="G49" t="inlineStr">
        <is>
          <t>multiple (285,300 sf)</t>
        </is>
      </c>
      <c r="H49" t="inlineStr">
        <is>
          <t>10010</t>
        </is>
      </c>
      <c r="I49" t="n">
        <v>40.741817</v>
      </c>
      <c r="J49" t="n">
        <v>-73.990988</v>
      </c>
      <c r="K49" t="inlineStr">
        <is>
          <t>Y</t>
        </is>
      </c>
      <c r="L49" t="inlineStr">
        <is>
          <t>over-500</t>
        </is>
      </c>
      <c r="M49" t="inlineStr">
        <is>
          <t>whole-company</t>
        </is>
      </c>
      <c r="N49" s="2" t="inlineStr">
        <is>
          <t>https://en.wikipedia.org/wiki/Ramp_(company)</t>
        </is>
      </c>
      <c r="O49" s="2" t="inlineStr">
        <is>
          <t>https://commercialobserver.com/2026/04/manhattan-office-leasing-2026-class-a/</t>
        </is>
      </c>
      <c r="P49" t="inlineStr">
        <is>
          <t>2026-04</t>
        </is>
      </c>
      <c r="Q49" s="2" t="inlineStr">
        <is>
          <t>https://www.metro-manhattan.com/neighborhoods/midtown-south/flatiron/</t>
        </is>
      </c>
      <c r="R49" t="inlineStr">
        <is>
          <t>high</t>
        </is>
      </c>
      <c r="S49" t="inlineStr">
        <is>
          <t>N</t>
        </is>
      </c>
      <c r="T49" t="inlineStr"/>
      <c r="U49" t="inlineStr"/>
      <c r="V49" s="3" t="inlineStr">
        <is>
          <t>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is>
      </c>
      <c r="W49" t="inlineStr">
        <is>
          <t>2026-10-23</t>
        </is>
      </c>
      <c r="X49" t="inlineStr">
        <is>
          <t>unknown</t>
        </is>
      </c>
      <c r="Y49" t="inlineStr">
        <is>
          <t>unknown</t>
        </is>
      </c>
      <c r="Z49" t="inlineStr"/>
      <c r="AA49" t="inlineStr"/>
      <c r="AB49" t="inlineStr">
        <is>
          <t>single-source</t>
        </is>
      </c>
      <c r="AC49" t="inlineStr"/>
      <c r="AD49" t="inlineStr"/>
      <c r="AE49" t="inlineStr"/>
      <c r="AF49" t="inlineStr">
        <is>
          <t>unknown</t>
        </is>
      </c>
      <c r="AG49" t="inlineStr"/>
      <c r="AH49" t="inlineStr">
        <is>
          <t>security desk</t>
        </is>
      </c>
      <c r="AI49" t="inlineStr">
        <is>
          <t>near-miss-over-500</t>
        </is>
      </c>
      <c r="AJ49" t="inlineStr">
        <is>
          <t>occupied</t>
        </is>
      </c>
      <c r="AK49" t="inlineStr"/>
      <c r="AL49" t="inlineStr">
        <is>
          <t>2026-10-23</t>
        </is>
      </c>
      <c r="AM49" s="3" t="inlineStr"/>
      <c r="AN49" t="inlineStr">
        <is>
          <t>leasing-press</t>
        </is>
      </c>
      <c r="AO49" t="inlineStr">
        <is>
          <t>2026-06</t>
        </is>
      </c>
      <c r="AP49" t="inlineStr">
        <is>
          <t>no-coworking-in-building</t>
        </is>
      </c>
      <c r="AQ49" t="inlineStr">
        <is>
          <t>1008240028</t>
        </is>
      </c>
      <c r="AR49" t="n">
        <v>0</v>
      </c>
      <c r="AS49" t="inlineStr">
        <is>
          <t>285,303 sf</t>
        </is>
      </c>
      <c r="AT49" t="inlineStr">
        <is>
          <t>S3</t>
        </is>
      </c>
      <c r="AU49" s="3" t="inlineStr">
        <is>
          <t>over-1,000 (1,001 to 4,999): over 500 company-wide (1,200; the count quoted in this row's notes)</t>
        </is>
      </c>
      <c r="AV49" t="inlineStr">
        <is>
          <t>over-1,000 (1,001 to 4,999)</t>
        </is>
      </c>
      <c r="AW49" t="inlineStr">
        <is>
          <t>1200</t>
        </is>
      </c>
      <c r="AX49" t="inlineStr">
        <is>
          <t>N</t>
        </is>
      </c>
    </row>
    <row r="50">
      <c r="A50" t="inlineStr">
        <is>
          <t>B-C-226</t>
        </is>
      </c>
      <c r="B50" t="inlineStr">
        <is>
          <t>IMG Worldwide (WME Group)</t>
        </is>
      </c>
      <c r="C50" s="2" t="inlineStr">
        <is>
          <t>https://www.img.com</t>
        </is>
      </c>
      <c r="D50" t="inlineStr">
        <is>
          <t>talent and modeling agency</t>
        </is>
      </c>
      <c r="E50" t="inlineStr"/>
      <c r="F50" t="inlineStr">
        <is>
          <t>304 Park Avenue South</t>
        </is>
      </c>
      <c r="G50" t="inlineStr">
        <is>
          <t>part 2, 8-12, PH</t>
        </is>
      </c>
      <c r="H50" t="inlineStr"/>
      <c r="I50" t="n">
        <v>40.740049</v>
      </c>
      <c r="J50" t="n">
        <v>-73.986717</v>
      </c>
      <c r="K50" t="inlineStr">
        <is>
          <t>Y</t>
        </is>
      </c>
      <c r="L50" t="inlineStr">
        <is>
          <t>over-500</t>
        </is>
      </c>
      <c r="M50" t="inlineStr">
        <is>
          <t>whole-company</t>
        </is>
      </c>
      <c r="N50" s="2" t="inlineStr">
        <is>
          <t>https://en.wikipedia.org/wiki/IMG_(company)</t>
        </is>
      </c>
      <c r="O50" s="2" t="inlineStr">
        <is>
          <t>https://commercialobserver.com/2026/09/img-worldwide-lease-renewal-304-park-avenue-south/</t>
        </is>
      </c>
      <c r="P50" t="inlineStr">
        <is>
          <t>2026-09-16</t>
        </is>
      </c>
      <c r="Q50" s="2" t="inlineStr">
        <is>
          <t>https://therealdeal.com/new-york/2026/10/07/new-york-citys-top-office-leases-in-september/</t>
        </is>
      </c>
      <c r="R50" t="inlineStr">
        <is>
          <t>medium</t>
        </is>
      </c>
      <c r="S50" t="inlineStr">
        <is>
          <t>N</t>
        </is>
      </c>
      <c r="T50" t="inlineStr"/>
      <c r="U50" t="inlineStr"/>
      <c r="V50" s="3" t="inlineStr">
        <is>
          <t>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is>
      </c>
      <c r="W50" t="inlineStr">
        <is>
          <t>2026-10-23</t>
        </is>
      </c>
      <c r="X50" t="inlineStr">
        <is>
          <t>unknown</t>
        </is>
      </c>
      <c r="Y50" t="inlineStr">
        <is>
          <t>unknown</t>
        </is>
      </c>
      <c r="Z50" t="inlineStr"/>
      <c r="AA50" t="inlineStr"/>
      <c r="AB50" t="inlineStr">
        <is>
          <t>single-source</t>
        </is>
      </c>
      <c r="AC50" t="inlineStr"/>
      <c r="AD50" t="inlineStr"/>
      <c r="AE50" t="inlineStr"/>
      <c r="AF50" t="inlineStr">
        <is>
          <t>WME Group</t>
        </is>
      </c>
      <c r="AG50" t="inlineStr">
        <is>
          <t>row name</t>
        </is>
      </c>
      <c r="AH50" t="inlineStr">
        <is>
          <t>unknown</t>
        </is>
      </c>
      <c r="AI50" t="inlineStr">
        <is>
          <t>near-miss-over-500</t>
        </is>
      </c>
      <c r="AJ50" t="inlineStr">
        <is>
          <t>occupied</t>
        </is>
      </c>
      <c r="AK50" t="inlineStr"/>
      <c r="AL50" t="inlineStr">
        <is>
          <t>2026-10-24</t>
        </is>
      </c>
      <c r="AM50" s="3" t="inlineStr"/>
      <c r="AN50" t="inlineStr">
        <is>
          <t>leasing-press</t>
        </is>
      </c>
      <c r="AO50" t="inlineStr">
        <is>
          <t>2026-10-07</t>
        </is>
      </c>
      <c r="AP50" t="inlineStr">
        <is>
          <t>no-coworking-in-building</t>
        </is>
      </c>
      <c r="AQ50" t="inlineStr">
        <is>
          <t>1008510041</t>
        </is>
      </c>
      <c r="AR50" t="n">
        <v>0</v>
      </c>
      <c r="AS50" t="inlineStr">
        <is>
          <t>90,202 sf</t>
        </is>
      </c>
      <c r="AT50" t="inlineStr">
        <is>
          <t>S2</t>
        </is>
      </c>
      <c r="AU50" s="3" t="inlineStr">
        <is>
          <t>over-1,000 (1,001 to 4,999): over 500 company-wide (3,000; the count quoted in this row's notes)</t>
        </is>
      </c>
      <c r="AV50" t="inlineStr">
        <is>
          <t>over-1,000 (1,001 to 4,999)</t>
        </is>
      </c>
      <c r="AW50" t="inlineStr">
        <is>
          <t>3000</t>
        </is>
      </c>
      <c r="AX50" t="inlineStr">
        <is>
          <t>N</t>
        </is>
      </c>
    </row>
    <row r="51">
      <c r="A51" t="inlineStr">
        <is>
          <t>B-C-221</t>
        </is>
      </c>
      <c r="B51" t="inlineStr">
        <is>
          <t>BuzzFeed</t>
        </is>
      </c>
      <c r="C51" s="2" t="inlineStr">
        <is>
          <t>https://www.buzzfeed.com/</t>
        </is>
      </c>
      <c r="D51" t="inlineStr">
        <is>
          <t>Digital media</t>
        </is>
      </c>
      <c r="E51" t="inlineStr">
        <is>
          <t>B-B-046</t>
        </is>
      </c>
      <c r="F51" t="inlineStr">
        <is>
          <t>50 West 23rd Street</t>
        </is>
      </c>
      <c r="G51" t="inlineStr">
        <is>
          <t>5 (part) and 6</t>
        </is>
      </c>
      <c r="H51" t="inlineStr">
        <is>
          <t>10010</t>
        </is>
      </c>
      <c r="I51" t="n">
        <v>40.742199</v>
      </c>
      <c r="J51" t="n">
        <v>-73.99172</v>
      </c>
      <c r="K51" t="inlineStr">
        <is>
          <t>Y</t>
        </is>
      </c>
      <c r="L51" t="inlineStr">
        <is>
          <t>over-500</t>
        </is>
      </c>
      <c r="M51" t="inlineStr">
        <is>
          <t>whole-company</t>
        </is>
      </c>
      <c r="N51" s="2" t="inlineStr">
        <is>
          <t>https://www.builtinnyc.com/company/buzzfeed/offices</t>
        </is>
      </c>
      <c r="O51" s="2" t="inlineStr">
        <is>
          <t>https://commercialobserver.com/2025/03/buzfeed-lease-50-west-23rd-street/</t>
        </is>
      </c>
      <c r="P51" t="inlineStr">
        <is>
          <t>2025-03-26</t>
        </is>
      </c>
      <c r="Q51" s="2" t="inlineStr">
        <is>
          <t>https://commercialobserver.com/?p=544473</t>
        </is>
      </c>
      <c r="R51" t="inlineStr">
        <is>
          <t>medium</t>
        </is>
      </c>
      <c r="S51" t="inlineStr">
        <is>
          <t>N</t>
        </is>
      </c>
      <c r="T51" t="inlineStr"/>
      <c r="U51" t="inlineStr"/>
      <c r="V51" s="3" t="inlineStr">
        <is>
          <t>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1" t="inlineStr">
        <is>
          <t>2026-10-23</t>
        </is>
      </c>
      <c r="X51" t="inlineStr">
        <is>
          <t>New York</t>
        </is>
      </c>
      <c r="Y51" t="inlineStr">
        <is>
          <t>Y</t>
        </is>
      </c>
      <c r="Z51" t="inlineStr">
        <is>
          <t>https://www.builtinnyc.com/company/buzzfeed/offices</t>
        </is>
      </c>
      <c r="AA51" t="inlineStr"/>
      <c r="AB51" t="inlineStr">
        <is>
          <t>single-source</t>
        </is>
      </c>
      <c r="AC51" t="inlineStr"/>
      <c r="AD51" t="inlineStr"/>
      <c r="AE51" t="inlineStr"/>
      <c r="AF51" t="inlineStr">
        <is>
          <t>unknown</t>
        </is>
      </c>
      <c r="AG51" t="inlineStr"/>
      <c r="AH51" t="inlineStr">
        <is>
          <t>security desk</t>
        </is>
      </c>
      <c r="AI51" t="inlineStr">
        <is>
          <t>near-miss-over-500</t>
        </is>
      </c>
      <c r="AJ51" t="inlineStr">
        <is>
          <t>occupied</t>
        </is>
      </c>
      <c r="AK51" t="inlineStr"/>
      <c r="AL51" t="inlineStr">
        <is>
          <t>2026-10-23</t>
        </is>
      </c>
      <c r="AM51" s="3" t="inlineStr"/>
      <c r="AN51" t="inlineStr">
        <is>
          <t>leasing-press</t>
        </is>
      </c>
      <c r="AO51" t="inlineStr">
        <is>
          <t>2025-09-09</t>
        </is>
      </c>
      <c r="AP51" t="inlineStr">
        <is>
          <t>no-coworking-in-building</t>
        </is>
      </c>
      <c r="AQ51" t="inlineStr">
        <is>
          <t>1008240015</t>
        </is>
      </c>
      <c r="AR51" t="n">
        <v>0</v>
      </c>
      <c r="AS51" t="inlineStr">
        <is>
          <t>42,210 sf; 11,000 sf</t>
        </is>
      </c>
      <c r="AT51" t="inlineStr">
        <is>
          <t>S3</t>
        </is>
      </c>
      <c r="AU51" s="3" t="inlineStr">
        <is>
          <t>over-1,000 (1,001 to 4,999): over 500 company-wide (1,789; the count quoted in this row's notes)</t>
        </is>
      </c>
      <c r="AV51" t="inlineStr">
        <is>
          <t>over-1,000 (1,001 to 4,999)</t>
        </is>
      </c>
      <c r="AW51" t="inlineStr">
        <is>
          <t>1789</t>
        </is>
      </c>
      <c r="AX51" t="inlineStr">
        <is>
          <t>N</t>
        </is>
      </c>
    </row>
    <row r="52">
      <c r="A52" t="inlineStr">
        <is>
          <t>B-C-222</t>
        </is>
      </c>
      <c r="B52" t="inlineStr">
        <is>
          <t>Instacart</t>
        </is>
      </c>
      <c r="C52" s="2" t="inlineStr">
        <is>
          <t>https://www.instacart.com/</t>
        </is>
      </c>
      <c r="D52" t="inlineStr">
        <is>
          <t>Grocery delivery technology</t>
        </is>
      </c>
      <c r="E52" t="inlineStr">
        <is>
          <t>B-B-046</t>
        </is>
      </c>
      <c r="F52" t="inlineStr">
        <is>
          <t>50 West 23rd Street</t>
        </is>
      </c>
      <c r="G52" t="inlineStr">
        <is>
          <t>unknown</t>
        </is>
      </c>
      <c r="H52" t="inlineStr">
        <is>
          <t>10010</t>
        </is>
      </c>
      <c r="I52" t="n">
        <v>40.742199</v>
      </c>
      <c r="J52" t="n">
        <v>-73.99172</v>
      </c>
      <c r="K52" t="inlineStr">
        <is>
          <t>Y</t>
        </is>
      </c>
      <c r="L52" t="inlineStr">
        <is>
          <t>over-500</t>
        </is>
      </c>
      <c r="M52" t="inlineStr">
        <is>
          <t>whole-company</t>
        </is>
      </c>
      <c r="N52" s="2" t="inlineStr">
        <is>
          <t>https://www.builtinnyc.com/company/instacart/offices</t>
        </is>
      </c>
      <c r="O52" s="2" t="inlineStr">
        <is>
          <t>https://nyrej.com/index.php/two-new-leases-signed-at-50-west-23rd-st</t>
        </is>
      </c>
      <c r="P52" t="inlineStr">
        <is>
          <t>2025-10-14</t>
        </is>
      </c>
      <c r="Q52" s="2" t="inlineStr">
        <is>
          <t>https://commercialobserver.com/2026/07/instacart-lease-esrt-111-west-33rd-street/</t>
        </is>
      </c>
      <c r="R52" t="inlineStr">
        <is>
          <t>low</t>
        </is>
      </c>
      <c r="S52" t="inlineStr">
        <is>
          <t>N</t>
        </is>
      </c>
      <c r="T52" t="inlineStr"/>
      <c r="U52" t="inlineStr"/>
      <c r="V52" s="3" t="inlineStr">
        <is>
          <t>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2" t="inlineStr">
        <is>
          <t>2026-10-23</t>
        </is>
      </c>
      <c r="X52" t="inlineStr">
        <is>
          <t>San Francisco</t>
        </is>
      </c>
      <c r="Y52" t="inlineStr">
        <is>
          <t>N</t>
        </is>
      </c>
      <c r="Z52" t="inlineStr">
        <is>
          <t>https://www.builtinnyc.com/company/instacart/offices</t>
        </is>
      </c>
      <c r="AA52" t="inlineStr"/>
      <c r="AB52" t="inlineStr">
        <is>
          <t>single-source</t>
        </is>
      </c>
      <c r="AC52" t="inlineStr"/>
      <c r="AD52" t="inlineStr"/>
      <c r="AE52" t="inlineStr"/>
      <c r="AF52" t="inlineStr">
        <is>
          <t>unknown</t>
        </is>
      </c>
      <c r="AG52" t="inlineStr"/>
      <c r="AH52" t="inlineStr">
        <is>
          <t>security desk</t>
        </is>
      </c>
      <c r="AI52" t="inlineStr">
        <is>
          <t>near-miss-over-500</t>
        </is>
      </c>
      <c r="AJ52" t="inlineStr">
        <is>
          <t>moving-out</t>
        </is>
      </c>
      <c r="AK52" t="inlineStr">
        <is>
          <t>unknown</t>
        </is>
      </c>
      <c r="AL52" t="inlineStr">
        <is>
          <t>2026-10-23</t>
        </is>
      </c>
      <c r="AM52" s="3" t="inlineStr"/>
      <c r="AN52" t="inlineStr">
        <is>
          <t>leasing-press</t>
        </is>
      </c>
      <c r="AO52" t="inlineStr">
        <is>
          <t>2026-07-20</t>
        </is>
      </c>
      <c r="AP52" t="inlineStr">
        <is>
          <t>no-coworking-in-building</t>
        </is>
      </c>
      <c r="AQ52" t="inlineStr">
        <is>
          <t>1008240015</t>
        </is>
      </c>
      <c r="AR52" t="n">
        <v>0</v>
      </c>
      <c r="AS52" t="inlineStr">
        <is>
          <t>21,000 sf; 26,134 sf</t>
        </is>
      </c>
      <c r="AT52" t="inlineStr">
        <is>
          <t>S3</t>
        </is>
      </c>
      <c r="AU52" s="3" t="inlineStr">
        <is>
          <t>over-1,000 (1,001 to 4,999): over 500 company-wide (3,000; the count quoted in this row's notes)</t>
        </is>
      </c>
      <c r="AV52" t="inlineStr">
        <is>
          <t>over-1,000 (1,001 to 4,999)</t>
        </is>
      </c>
      <c r="AW52" t="inlineStr">
        <is>
          <t>3000</t>
        </is>
      </c>
      <c r="AX52" t="inlineStr">
        <is>
          <t>N</t>
        </is>
      </c>
    </row>
    <row r="53">
      <c r="A53" t="inlineStr">
        <is>
          <t>B-C-223</t>
        </is>
      </c>
      <c r="B53" t="inlineStr">
        <is>
          <t>MSQ Partners</t>
        </is>
      </c>
      <c r="C53" s="2" t="inlineStr">
        <is>
          <t>https://www.msqpartners.com/</t>
        </is>
      </c>
      <c r="D53" t="inlineStr">
        <is>
          <t>Marketing / creative agency</t>
        </is>
      </c>
      <c r="E53" t="inlineStr">
        <is>
          <t>B-B-046</t>
        </is>
      </c>
      <c r="F53" t="inlineStr">
        <is>
          <t>50 West 23rd Street</t>
        </is>
      </c>
      <c r="G53" t="inlineStr">
        <is>
          <t>8 and part of 7</t>
        </is>
      </c>
      <c r="H53" t="inlineStr">
        <is>
          <t>10010</t>
        </is>
      </c>
      <c r="I53" t="n">
        <v>40.742199</v>
      </c>
      <c r="J53" t="n">
        <v>-73.99172</v>
      </c>
      <c r="K53" t="inlineStr">
        <is>
          <t>Y</t>
        </is>
      </c>
      <c r="L53" t="inlineStr">
        <is>
          <t>over-500</t>
        </is>
      </c>
      <c r="M53" t="inlineStr">
        <is>
          <t>whole-company</t>
        </is>
      </c>
      <c r="N53" s="2" t="inlineStr">
        <is>
          <t>https://www.msqpartners.com/about</t>
        </is>
      </c>
      <c r="O53" s="2" t="inlineStr">
        <is>
          <t>https://commercialobserver.com/?p=544473</t>
        </is>
      </c>
      <c r="P53" t="inlineStr">
        <is>
          <t>2025-09-09</t>
        </is>
      </c>
      <c r="Q53" s="2" t="inlineStr">
        <is>
          <t>https://nyrej.com/index.php/two-new-leases-signed-at-50-west-23rd-st</t>
        </is>
      </c>
      <c r="R53" t="inlineStr">
        <is>
          <t>medium</t>
        </is>
      </c>
      <c r="S53" t="inlineStr">
        <is>
          <t>N</t>
        </is>
      </c>
      <c r="T53" t="inlineStr"/>
      <c r="U53" t="inlineStr"/>
      <c r="V53" s="3" t="inlineStr">
        <is>
          <t>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3" t="inlineStr">
        <is>
          <t>2026-10-23</t>
        </is>
      </c>
      <c r="X53" t="inlineStr">
        <is>
          <t>unknown</t>
        </is>
      </c>
      <c r="Y53" t="inlineStr">
        <is>
          <t>unknown</t>
        </is>
      </c>
      <c r="Z53" t="inlineStr"/>
      <c r="AA53" t="inlineStr"/>
      <c r="AB53" t="inlineStr">
        <is>
          <t>single-source</t>
        </is>
      </c>
      <c r="AC53" t="inlineStr"/>
      <c r="AD53" t="inlineStr"/>
      <c r="AE53" t="inlineStr"/>
      <c r="AF53" t="inlineStr">
        <is>
          <t>unknown</t>
        </is>
      </c>
      <c r="AG53" t="inlineStr"/>
      <c r="AH53" t="inlineStr">
        <is>
          <t>security desk</t>
        </is>
      </c>
      <c r="AI53" t="inlineStr">
        <is>
          <t>near-miss-over-500</t>
        </is>
      </c>
      <c r="AJ53" t="inlineStr">
        <is>
          <t>occupancy-unconfirmed</t>
        </is>
      </c>
      <c r="AK53" t="inlineStr"/>
      <c r="AL53" t="inlineStr">
        <is>
          <t>2026-10-24</t>
        </is>
      </c>
      <c r="AM53" s="3" t="inlineStr"/>
      <c r="AN53" t="inlineStr">
        <is>
          <t>leasing-press</t>
        </is>
      </c>
      <c r="AO53" t="inlineStr">
        <is>
          <t>2025-10-14</t>
        </is>
      </c>
      <c r="AP53" t="inlineStr">
        <is>
          <t>no-coworking-in-building</t>
        </is>
      </c>
      <c r="AQ53" t="inlineStr">
        <is>
          <t>1008240015</t>
        </is>
      </c>
      <c r="AR53" t="n">
        <v>0</v>
      </c>
      <c r="AS53" t="inlineStr">
        <is>
          <t>38,273 sf</t>
        </is>
      </c>
      <c r="AT53" t="inlineStr">
        <is>
          <t>S3</t>
        </is>
      </c>
      <c r="AU53" s="3" t="inlineStr">
        <is>
          <t>over-1,000 (1,001 to 4,999): over 500 company-wide (1,850; MSQ's own About page as quoted in the slice notes: '1850+' people); the NYC office alone may fit the 40-250 band, founder to confirm</t>
        </is>
      </c>
      <c r="AV53" t="inlineStr">
        <is>
          <t>over-1,000 (1,001 to 4,999)</t>
        </is>
      </c>
      <c r="AW53" t="inlineStr">
        <is>
          <t>1850</t>
        </is>
      </c>
      <c r="AX53" t="inlineStr">
        <is>
          <t>Y</t>
        </is>
      </c>
    </row>
    <row r="54">
      <c r="A54" t="inlineStr">
        <is>
          <t>B-C-224</t>
        </is>
      </c>
      <c r="B54" t="inlineStr">
        <is>
          <t>Trustpilot</t>
        </is>
      </c>
      <c r="C54" s="2" t="inlineStr">
        <is>
          <t>https://www.trustpilot.com/</t>
        </is>
      </c>
      <c r="D54" t="inlineStr">
        <is>
          <t>Consumer review platform</t>
        </is>
      </c>
      <c r="E54" t="inlineStr">
        <is>
          <t>B-B-046</t>
        </is>
      </c>
      <c r="F54" t="inlineStr">
        <is>
          <t>50 West 23rd Street</t>
        </is>
      </c>
      <c r="G54" t="inlineStr">
        <is>
          <t>unknown</t>
        </is>
      </c>
      <c r="H54" t="inlineStr">
        <is>
          <t>10010</t>
        </is>
      </c>
      <c r="I54" t="n">
        <v>40.742199</v>
      </c>
      <c r="J54" t="n">
        <v>-73.99172</v>
      </c>
      <c r="K54" t="inlineStr">
        <is>
          <t>Y</t>
        </is>
      </c>
      <c r="L54" t="inlineStr">
        <is>
          <t>over-500</t>
        </is>
      </c>
      <c r="M54" t="inlineStr">
        <is>
          <t>whole-company</t>
        </is>
      </c>
      <c r="N54" s="2" t="inlineStr">
        <is>
          <t>https://www.builtinnyc.com/company/trustpilot/offices</t>
        </is>
      </c>
      <c r="O54" s="2" t="inlineStr">
        <is>
          <t>https://nyrej.com/index.php/two-new-leases-signed-at-50-west-23rd-st</t>
        </is>
      </c>
      <c r="P54" t="inlineStr">
        <is>
          <t>2025-10-14</t>
        </is>
      </c>
      <c r="Q54" s="2" t="inlineStr">
        <is>
          <t>https://www.builtinnyc.com/company/trustpilot/offices</t>
        </is>
      </c>
      <c r="R54" t="inlineStr">
        <is>
          <t>medium</t>
        </is>
      </c>
      <c r="S54" t="inlineStr">
        <is>
          <t>N</t>
        </is>
      </c>
      <c r="T54" t="inlineStr"/>
      <c r="U54" t="inlineStr"/>
      <c r="V54" s="3" t="inlineStr">
        <is>
          <t>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W54" t="inlineStr">
        <is>
          <t>2026-10-23</t>
        </is>
      </c>
      <c r="X54" t="inlineStr">
        <is>
          <t>unknown</t>
        </is>
      </c>
      <c r="Y54" t="inlineStr">
        <is>
          <t>unknown</t>
        </is>
      </c>
      <c r="Z54" t="inlineStr">
        <is>
          <t>https://www.builtinnyc.com/company/trustpilot/offices</t>
        </is>
      </c>
      <c r="AA54" t="inlineStr"/>
      <c r="AB54" t="inlineStr">
        <is>
          <t>single-source</t>
        </is>
      </c>
      <c r="AC54" t="inlineStr"/>
      <c r="AD54" t="inlineStr"/>
      <c r="AE54" t="inlineStr"/>
      <c r="AF54" t="inlineStr">
        <is>
          <t>unknown</t>
        </is>
      </c>
      <c r="AG54" t="inlineStr"/>
      <c r="AH54" t="inlineStr">
        <is>
          <t>security desk</t>
        </is>
      </c>
      <c r="AI54" t="inlineStr">
        <is>
          <t>near-miss-over-500</t>
        </is>
      </c>
      <c r="AJ54" t="inlineStr">
        <is>
          <t>occupied</t>
        </is>
      </c>
      <c r="AK54" t="inlineStr"/>
      <c r="AL54" t="inlineStr">
        <is>
          <t>2026-10-23</t>
        </is>
      </c>
      <c r="AM54" s="3" t="inlineStr"/>
      <c r="AN54" t="inlineStr">
        <is>
          <t>leasing-press</t>
        </is>
      </c>
      <c r="AO54" t="inlineStr">
        <is>
          <t>2026-10-23</t>
        </is>
      </c>
      <c r="AP54" t="inlineStr">
        <is>
          <t>no-coworking-in-building</t>
        </is>
      </c>
      <c r="AQ54" t="inlineStr">
        <is>
          <t>1008240015</t>
        </is>
      </c>
      <c r="AR54" t="n">
        <v>0</v>
      </c>
      <c r="AS54" t="inlineStr"/>
      <c r="AT54" t="inlineStr">
        <is>
          <t>S3</t>
        </is>
      </c>
      <c r="AU54" s="3" t="inlineStr">
        <is>
          <t>just-over-500 (501 to 1,000): over 500 company-wide (950; the count quoted in this row's notes)</t>
        </is>
      </c>
      <c r="AV54" t="inlineStr">
        <is>
          <t>just-over-500 (501 to 1,000)</t>
        </is>
      </c>
      <c r="AW54" t="inlineStr">
        <is>
          <t>950</t>
        </is>
      </c>
      <c r="AX54" t="inlineStr">
        <is>
          <t>N</t>
        </is>
      </c>
    </row>
    <row r="55">
      <c r="A55" t="inlineStr">
        <is>
          <t>B-C-227</t>
        </is>
      </c>
      <c r="B55" t="inlineStr">
        <is>
          <t>Huge</t>
        </is>
      </c>
      <c r="C55" s="2" t="inlineStr">
        <is>
          <t>https://www.hugeinc.com/</t>
        </is>
      </c>
      <c r="D55" t="inlineStr">
        <is>
          <t>Design and technology agency</t>
        </is>
      </c>
      <c r="E55" t="inlineStr">
        <is>
          <t>B-B-050</t>
        </is>
      </c>
      <c r="F55" t="inlineStr">
        <is>
          <t>53 West 23rd Street</t>
        </is>
      </c>
      <c r="G55" t="inlineStr">
        <is>
          <t>8</t>
        </is>
      </c>
      <c r="H55" t="inlineStr">
        <is>
          <t>10010</t>
        </is>
      </c>
      <c r="I55" t="n">
        <v>40.742654</v>
      </c>
      <c r="J55" t="n">
        <v>-73.991559</v>
      </c>
      <c r="K55" t="inlineStr">
        <is>
          <t>Y</t>
        </is>
      </c>
      <c r="L55" t="inlineStr">
        <is>
          <t>over-500</t>
        </is>
      </c>
      <c r="M55" t="inlineStr">
        <is>
          <t>whole-company</t>
        </is>
      </c>
      <c r="N55" s="2" t="inlineStr">
        <is>
          <t>https://www.builtinnyc.com/company/huge/offices</t>
        </is>
      </c>
      <c r="O55" s="2" t="inlineStr">
        <is>
          <t>https://commercialobserver.com/2025/10/huge-lease-adams-53-west-23rd-street/</t>
        </is>
      </c>
      <c r="P55" t="inlineStr">
        <is>
          <t>2025-10-02</t>
        </is>
      </c>
      <c r="Q55" s="2" t="inlineStr">
        <is>
          <t>https://flatironnomad.nyc/2025/11/05/october-news-roundup-6/</t>
        </is>
      </c>
      <c r="R55" t="inlineStr">
        <is>
          <t>medium</t>
        </is>
      </c>
      <c r="S55" t="inlineStr">
        <is>
          <t>N</t>
        </is>
      </c>
      <c r="T55" t="inlineStr"/>
      <c r="U55" t="inlineStr"/>
      <c r="V55" s="3" t="inlineStr">
        <is>
          <t>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5" t="inlineStr">
        <is>
          <t>2026-10-23</t>
        </is>
      </c>
      <c r="X55" t="inlineStr">
        <is>
          <t>New York</t>
        </is>
      </c>
      <c r="Y55" t="inlineStr">
        <is>
          <t>Y</t>
        </is>
      </c>
      <c r="Z55" t="inlineStr">
        <is>
          <t>https://www.builtinnyc.com/company/huge/offices</t>
        </is>
      </c>
      <c r="AA55" t="inlineStr"/>
      <c r="AB55" t="inlineStr">
        <is>
          <t>single-source</t>
        </is>
      </c>
      <c r="AC55" t="inlineStr"/>
      <c r="AD55" t="inlineStr"/>
      <c r="AE55" t="inlineStr"/>
      <c r="AF55" t="inlineStr">
        <is>
          <t>unknown</t>
        </is>
      </c>
      <c r="AG55" t="inlineStr"/>
      <c r="AH55" t="inlineStr">
        <is>
          <t>security desk</t>
        </is>
      </c>
      <c r="AI55" t="inlineStr">
        <is>
          <t>near-miss-over-500</t>
        </is>
      </c>
      <c r="AJ55" t="inlineStr">
        <is>
          <t>signed-not-occupied</t>
        </is>
      </c>
      <c r="AK55" t="inlineStr">
        <is>
          <t>unknown</t>
        </is>
      </c>
      <c r="AL55" t="inlineStr">
        <is>
          <t>2026-10-23</t>
        </is>
      </c>
      <c r="AM55" s="3" t="inlineStr"/>
      <c r="AN55" t="inlineStr">
        <is>
          <t>leasing-press</t>
        </is>
      </c>
      <c r="AO55" t="inlineStr">
        <is>
          <t>2025-11-05</t>
        </is>
      </c>
      <c r="AP55" t="inlineStr">
        <is>
          <t>no-coworking-in-building</t>
        </is>
      </c>
      <c r="AQ55" t="inlineStr">
        <is>
          <t>1008250012</t>
        </is>
      </c>
      <c r="AR55" t="n">
        <v>0</v>
      </c>
      <c r="AS55" t="inlineStr">
        <is>
          <t>16,909 sf</t>
        </is>
      </c>
      <c r="AT55" t="inlineStr">
        <is>
          <t>S3</t>
        </is>
      </c>
      <c r="AU55" s="3" t="inlineStr">
        <is>
          <t>over-1,000 (1,001 to 4,999): over 500 company-wide (1,430; the count quoted in this row's notes)</t>
        </is>
      </c>
      <c r="AV55" t="inlineStr">
        <is>
          <t>over-1,000 (1,001 to 4,999)</t>
        </is>
      </c>
      <c r="AW55" t="inlineStr">
        <is>
          <t>1430</t>
        </is>
      </c>
      <c r="AX55" t="inlineStr">
        <is>
          <t>N</t>
        </is>
      </c>
    </row>
    <row r="56">
      <c r="A56" t="inlineStr">
        <is>
          <t>B-C-228</t>
        </is>
      </c>
      <c r="B56" t="inlineStr">
        <is>
          <t>TileBar</t>
        </is>
      </c>
      <c r="C56" s="2" t="inlineStr">
        <is>
          <t>https://www.tilebar.com/</t>
        </is>
      </c>
      <c r="D56" t="inlineStr">
        <is>
          <t>Consumer brand (tile and surfaces) / showroom</t>
        </is>
      </c>
      <c r="E56" t="inlineStr">
        <is>
          <t>B-B-050</t>
        </is>
      </c>
      <c r="F56" t="inlineStr">
        <is>
          <t>53 West 23rd Street</t>
        </is>
      </c>
      <c r="G56" t="inlineStr">
        <is>
          <t>3 and 4</t>
        </is>
      </c>
      <c r="H56" t="inlineStr">
        <is>
          <t>10010</t>
        </is>
      </c>
      <c r="I56" t="n">
        <v>40.742654</v>
      </c>
      <c r="J56" t="n">
        <v>-73.991559</v>
      </c>
      <c r="K56" t="inlineStr">
        <is>
          <t>Y</t>
        </is>
      </c>
      <c r="L56" t="inlineStr">
        <is>
          <t>over-500</t>
        </is>
      </c>
      <c r="M56" t="inlineStr">
        <is>
          <t>whole-company</t>
        </is>
      </c>
      <c r="N56" s="2" t="inlineStr">
        <is>
          <t>https://www.builtinnyc.com/company/tilebar/offices</t>
        </is>
      </c>
      <c r="O56" s="2" t="inlineStr">
        <is>
          <t>https://rebusinessonline.com/tilebar-signs-34000-sf-office-lease-in-manhattans-flatiron-district/</t>
        </is>
      </c>
      <c r="P56" t="inlineStr">
        <is>
          <t>2025-04-18</t>
        </is>
      </c>
      <c r="Q56" s="2" t="inlineStr">
        <is>
          <t>https://commercialobserver.com/2025/10/huge-lease-adams-53-west-23rd-street/</t>
        </is>
      </c>
      <c r="R56" t="inlineStr">
        <is>
          <t>high</t>
        </is>
      </c>
      <c r="S56" t="inlineStr">
        <is>
          <t>N</t>
        </is>
      </c>
      <c r="T56" t="inlineStr"/>
      <c r="U56" t="inlineStr"/>
      <c r="V56" s="3" t="inlineStr">
        <is>
          <t>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W56" t="inlineStr">
        <is>
          <t>2026-10-23</t>
        </is>
      </c>
      <c r="X56" t="inlineStr">
        <is>
          <t>Inwood</t>
        </is>
      </c>
      <c r="Y56" t="inlineStr">
        <is>
          <t>N</t>
        </is>
      </c>
      <c r="Z56" t="inlineStr">
        <is>
          <t>https://www.builtinnyc.com/company/tilebar/offices</t>
        </is>
      </c>
      <c r="AA56" t="inlineStr"/>
      <c r="AB56" t="inlineStr">
        <is>
          <t>single-source</t>
        </is>
      </c>
      <c r="AC56" t="inlineStr"/>
      <c r="AD56" t="inlineStr"/>
      <c r="AE56" t="inlineStr"/>
      <c r="AF56" t="inlineStr">
        <is>
          <t>unknown</t>
        </is>
      </c>
      <c r="AG56" t="inlineStr"/>
      <c r="AH56" t="inlineStr">
        <is>
          <t>security desk</t>
        </is>
      </c>
      <c r="AI56" t="inlineStr">
        <is>
          <t>near-miss-over-500</t>
        </is>
      </c>
      <c r="AJ56" t="inlineStr">
        <is>
          <t>occupied</t>
        </is>
      </c>
      <c r="AK56" t="inlineStr"/>
      <c r="AL56" t="inlineStr">
        <is>
          <t>2026-10-23</t>
        </is>
      </c>
      <c r="AM56" s="3" t="inlineStr"/>
      <c r="AN56" t="inlineStr">
        <is>
          <t>leasing-press</t>
        </is>
      </c>
      <c r="AO56" t="inlineStr">
        <is>
          <t>2025-10-02</t>
        </is>
      </c>
      <c r="AP56" t="inlineStr">
        <is>
          <t>no-coworking-in-building</t>
        </is>
      </c>
      <c r="AQ56" t="inlineStr">
        <is>
          <t>1008250012</t>
        </is>
      </c>
      <c r="AR56" t="n">
        <v>0</v>
      </c>
      <c r="AS56" t="inlineStr">
        <is>
          <t>34,000 sf</t>
        </is>
      </c>
      <c r="AT56" t="inlineStr">
        <is>
          <t>S3</t>
        </is>
      </c>
      <c r="AU56" s="3" t="inlineStr">
        <is>
          <t>just-over-500 (501 to 1,000): over 500 company-wide (575; the count quoted in this row's notes)</t>
        </is>
      </c>
      <c r="AV56" t="inlineStr">
        <is>
          <t>just-over-500 (501 to 1,000)</t>
        </is>
      </c>
      <c r="AW56" t="inlineStr">
        <is>
          <t>575</t>
        </is>
      </c>
      <c r="AX56" t="inlineStr">
        <is>
          <t>N</t>
        </is>
      </c>
    </row>
    <row r="57">
      <c r="A57" t="inlineStr">
        <is>
          <t>B-C-229</t>
        </is>
      </c>
      <c r="B57" t="inlineStr">
        <is>
          <t>DoorDash</t>
        </is>
      </c>
      <c r="C57" s="2" t="inlineStr">
        <is>
          <t>https://www.doordash.com/</t>
        </is>
      </c>
      <c r="D57" t="inlineStr">
        <is>
          <t>Delivery technology</t>
        </is>
      </c>
      <c r="E57" t="inlineStr"/>
      <c r="F57" t="inlineStr">
        <is>
          <t>200 Fifth Avenue</t>
        </is>
      </c>
      <c r="G57" t="inlineStr">
        <is>
          <t>unknown</t>
        </is>
      </c>
      <c r="H57" t="inlineStr">
        <is>
          <t>10010</t>
        </is>
      </c>
      <c r="I57" t="n">
        <v>40.741986</v>
      </c>
      <c r="J57" t="n">
        <v>-73.98947699999999</v>
      </c>
      <c r="K57" t="inlineStr">
        <is>
          <t>Y</t>
        </is>
      </c>
      <c r="L57" t="inlineStr">
        <is>
          <t>over-500</t>
        </is>
      </c>
      <c r="M57" t="inlineStr">
        <is>
          <t>whole-company</t>
        </is>
      </c>
      <c r="N57" s="2" t="inlineStr">
        <is>
          <t>https://en.wikipedia.org/wiki/DoorDash</t>
        </is>
      </c>
      <c r="O57" s="2" t="inlineStr">
        <is>
          <t>https://therealdeal.com/new-york/2025/04/03/bxps-200-fifth-avenue-lands-law-firm-tenant</t>
        </is>
      </c>
      <c r="P57" t="inlineStr">
        <is>
          <t>2025-04-03</t>
        </is>
      </c>
      <c r="Q57" t="inlineStr"/>
      <c r="R57" t="inlineStr">
        <is>
          <t>medium</t>
        </is>
      </c>
      <c r="S57" t="inlineStr">
        <is>
          <t>N</t>
        </is>
      </c>
      <c r="T57" t="inlineStr"/>
      <c r="U57" t="inlineStr"/>
      <c r="V57" s="3" t="inlineStr">
        <is>
          <t>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is>
      </c>
      <c r="W57" t="inlineStr">
        <is>
          <t>2026-10-23</t>
        </is>
      </c>
      <c r="X57" t="inlineStr">
        <is>
          <t>unknown</t>
        </is>
      </c>
      <c r="Y57" t="inlineStr">
        <is>
          <t>unknown</t>
        </is>
      </c>
      <c r="Z57" t="inlineStr"/>
      <c r="AA57" t="inlineStr"/>
      <c r="AB57" t="inlineStr">
        <is>
          <t>single-source</t>
        </is>
      </c>
      <c r="AC57" t="inlineStr"/>
      <c r="AD57" t="inlineStr"/>
      <c r="AE57" t="inlineStr"/>
      <c r="AF57" t="inlineStr">
        <is>
          <t>unknown</t>
        </is>
      </c>
      <c r="AG57" t="inlineStr"/>
      <c r="AH57" t="inlineStr">
        <is>
          <t>unknown</t>
        </is>
      </c>
      <c r="AI57" t="inlineStr">
        <is>
          <t>near-miss-over-500</t>
        </is>
      </c>
      <c r="AJ57" t="inlineStr">
        <is>
          <t>occupied</t>
        </is>
      </c>
      <c r="AK57" t="inlineStr"/>
      <c r="AL57" t="inlineStr">
        <is>
          <t>2026-10-23</t>
        </is>
      </c>
      <c r="AM57" s="3" t="inlineStr"/>
      <c r="AN57" t="inlineStr">
        <is>
          <t>leasing-press</t>
        </is>
      </c>
      <c r="AO57" t="inlineStr"/>
      <c r="AP57" t="inlineStr">
        <is>
          <t>no-coworking-in-building</t>
        </is>
      </c>
      <c r="AQ57" t="inlineStr">
        <is>
          <t>1008250031</t>
        </is>
      </c>
      <c r="AR57" t="n">
        <v>0</v>
      </c>
      <c r="AS57" t="inlineStr">
        <is>
          <t>115,000 sf</t>
        </is>
      </c>
      <c r="AT57" t="inlineStr">
        <is>
          <t>S3</t>
        </is>
      </c>
      <c r="AU57" s="3" t="inlineStr">
        <is>
          <t>not-near (5,000 or more): over 500 company-wide (31,400; the count quoted in this row's notes)</t>
        </is>
      </c>
      <c r="AV57" t="inlineStr">
        <is>
          <t>not-near (5,000 or more)</t>
        </is>
      </c>
      <c r="AW57" t="inlineStr">
        <is>
          <t>31400</t>
        </is>
      </c>
      <c r="AX57" t="inlineStr">
        <is>
          <t>N</t>
        </is>
      </c>
    </row>
    <row r="58">
      <c r="A58" t="inlineStr">
        <is>
          <t>B-C-230</t>
        </is>
      </c>
      <c r="B58" t="inlineStr">
        <is>
          <t>Goodwin Procter</t>
        </is>
      </c>
      <c r="C58" s="2" t="inlineStr">
        <is>
          <t>https://www.goodwinlaw.com/</t>
        </is>
      </c>
      <c r="D58" t="inlineStr">
        <is>
          <t>Law firm</t>
        </is>
      </c>
      <c r="E58" t="inlineStr"/>
      <c r="F58" t="inlineStr">
        <is>
          <t>200 Fifth Avenue</t>
        </is>
      </c>
      <c r="G58" t="inlineStr">
        <is>
          <t>2-5</t>
        </is>
      </c>
      <c r="H58" t="inlineStr">
        <is>
          <t>10010</t>
        </is>
      </c>
      <c r="I58" t="n">
        <v>40.741986</v>
      </c>
      <c r="J58" t="n">
        <v>-73.98947699999999</v>
      </c>
      <c r="K58" t="inlineStr">
        <is>
          <t>Y</t>
        </is>
      </c>
      <c r="L58" t="inlineStr">
        <is>
          <t>over-500</t>
        </is>
      </c>
      <c r="M58" t="inlineStr">
        <is>
          <t>whole-company</t>
        </is>
      </c>
      <c r="N58" s="2" t="inlineStr">
        <is>
          <t>https://en.wikipedia.org/wiki/Goodwin_Procter</t>
        </is>
      </c>
      <c r="O58" s="2" t="inlineStr">
        <is>
          <t>https://therealdeal.com/new-york/2025/04/03/bxps-200-fifth-avenue-lands-law-firm-tenant</t>
        </is>
      </c>
      <c r="P58" t="inlineStr">
        <is>
          <t>2025-04-03</t>
        </is>
      </c>
      <c r="Q58" s="2" t="inlineStr">
        <is>
          <t>https://flatironnomad.nyc/2025/05/07/april-news-roundup-6/</t>
        </is>
      </c>
      <c r="R58" t="inlineStr">
        <is>
          <t>medium</t>
        </is>
      </c>
      <c r="S58" t="inlineStr">
        <is>
          <t>N</t>
        </is>
      </c>
      <c r="T58" t="inlineStr"/>
      <c r="U58" t="inlineStr"/>
      <c r="V58" s="3" t="inlineStr">
        <is>
          <t>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is>
      </c>
      <c r="W58" t="inlineStr">
        <is>
          <t>2026-10-23</t>
        </is>
      </c>
      <c r="X58" t="inlineStr">
        <is>
          <t>unknown</t>
        </is>
      </c>
      <c r="Y58" t="inlineStr">
        <is>
          <t>unknown</t>
        </is>
      </c>
      <c r="Z58" t="inlineStr"/>
      <c r="AA58" t="inlineStr"/>
      <c r="AB58" t="inlineStr">
        <is>
          <t>single-source</t>
        </is>
      </c>
      <c r="AC58" t="inlineStr"/>
      <c r="AD58" t="inlineStr"/>
      <c r="AE58" t="inlineStr"/>
      <c r="AF58" t="inlineStr">
        <is>
          <t>unknown</t>
        </is>
      </c>
      <c r="AG58" t="inlineStr"/>
      <c r="AH58" t="inlineStr">
        <is>
          <t>unknown</t>
        </is>
      </c>
      <c r="AI58" t="inlineStr">
        <is>
          <t>near-miss-over-500</t>
        </is>
      </c>
      <c r="AJ58" t="inlineStr">
        <is>
          <t>signed-not-occupied</t>
        </is>
      </c>
      <c r="AK58" t="inlineStr">
        <is>
          <t>unknown</t>
        </is>
      </c>
      <c r="AL58" t="inlineStr">
        <is>
          <t>2026-10-23</t>
        </is>
      </c>
      <c r="AM58" s="3" t="inlineStr"/>
      <c r="AN58" t="inlineStr">
        <is>
          <t>leasing-press</t>
        </is>
      </c>
      <c r="AO58" t="inlineStr">
        <is>
          <t>2025-05-07</t>
        </is>
      </c>
      <c r="AP58" t="inlineStr">
        <is>
          <t>no-coworking-in-building</t>
        </is>
      </c>
      <c r="AQ58" t="inlineStr">
        <is>
          <t>1008250031</t>
        </is>
      </c>
      <c r="AR58" t="n">
        <v>0</v>
      </c>
      <c r="AS58" t="inlineStr">
        <is>
          <t>250,000 sf</t>
        </is>
      </c>
      <c r="AT58" t="inlineStr">
        <is>
          <t>S3</t>
        </is>
      </c>
      <c r="AU58" s="3" t="inlineStr">
        <is>
          <t>over-1,000 (1,001 to 4,999): over 500 company-wide (2,800; the count quoted in this row's notes)</t>
        </is>
      </c>
      <c r="AV58" t="inlineStr">
        <is>
          <t>over-1,000 (1,001 to 4,999)</t>
        </is>
      </c>
      <c r="AW58" t="inlineStr">
        <is>
          <t>2800</t>
        </is>
      </c>
      <c r="AX58" t="inlineStr">
        <is>
          <t>N</t>
        </is>
      </c>
    </row>
    <row r="59">
      <c r="A59" t="inlineStr">
        <is>
          <t>B-C-231</t>
        </is>
      </c>
      <c r="B59" t="inlineStr">
        <is>
          <t>Grey Group</t>
        </is>
      </c>
      <c r="C59" s="2" t="inlineStr">
        <is>
          <t>https://www.grey.com/</t>
        </is>
      </c>
      <c r="D59" t="inlineStr">
        <is>
          <t>Advertising agency</t>
        </is>
      </c>
      <c r="E59" t="inlineStr"/>
      <c r="F59" t="inlineStr">
        <is>
          <t>200 Fifth Avenue</t>
        </is>
      </c>
      <c r="G59" t="inlineStr">
        <is>
          <t>unknown</t>
        </is>
      </c>
      <c r="H59" t="inlineStr">
        <is>
          <t>10010</t>
        </is>
      </c>
      <c r="I59" t="n">
        <v>40.741986</v>
      </c>
      <c r="J59" t="n">
        <v>-73.98947699999999</v>
      </c>
      <c r="K59" t="inlineStr">
        <is>
          <t>Y</t>
        </is>
      </c>
      <c r="L59" t="inlineStr">
        <is>
          <t>over-500</t>
        </is>
      </c>
      <c r="M59" t="inlineStr">
        <is>
          <t>whole-company</t>
        </is>
      </c>
      <c r="N59" s="2" t="inlineStr">
        <is>
          <t>https://www.builtinnyc.com/company/grey-group/offices</t>
        </is>
      </c>
      <c r="O59" s="2" t="inlineStr">
        <is>
          <t>https://therealdeal.com/new-york/2025/04/03/bxps-200-fifth-avenue-lands-law-firm-tenant</t>
        </is>
      </c>
      <c r="P59" t="inlineStr">
        <is>
          <t>2025-04-03</t>
        </is>
      </c>
      <c r="Q59" t="inlineStr"/>
      <c r="R59" t="inlineStr">
        <is>
          <t>medium</t>
        </is>
      </c>
      <c r="S59" t="inlineStr">
        <is>
          <t>N</t>
        </is>
      </c>
      <c r="T59" t="inlineStr"/>
      <c r="U59" t="inlineStr"/>
      <c r="V59" s="3" t="inlineStr">
        <is>
          <t>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is>
      </c>
      <c r="W59" t="inlineStr">
        <is>
          <t>2026-10-23</t>
        </is>
      </c>
      <c r="X59" t="inlineStr">
        <is>
          <t>New York</t>
        </is>
      </c>
      <c r="Y59" t="inlineStr">
        <is>
          <t>Y</t>
        </is>
      </c>
      <c r="Z59" t="inlineStr">
        <is>
          <t>https://www.builtinnyc.com/company/grey-group/offices</t>
        </is>
      </c>
      <c r="AA59" t="inlineStr"/>
      <c r="AB59" t="inlineStr">
        <is>
          <t>single-source</t>
        </is>
      </c>
      <c r="AC59" t="inlineStr"/>
      <c r="AD59" t="inlineStr"/>
      <c r="AE59" t="inlineStr"/>
      <c r="AF59" t="inlineStr">
        <is>
          <t>unknown</t>
        </is>
      </c>
      <c r="AG59" t="inlineStr"/>
      <c r="AH59" t="inlineStr">
        <is>
          <t>unknown</t>
        </is>
      </c>
      <c r="AI59" t="inlineStr">
        <is>
          <t>near-miss-over-500</t>
        </is>
      </c>
      <c r="AJ59" t="inlineStr">
        <is>
          <t>occupied</t>
        </is>
      </c>
      <c r="AK59" t="inlineStr"/>
      <c r="AL59" t="inlineStr">
        <is>
          <t>2026-10-23</t>
        </is>
      </c>
      <c r="AM59" s="3" t="inlineStr"/>
      <c r="AN59" t="inlineStr">
        <is>
          <t>leasing-press</t>
        </is>
      </c>
      <c r="AO59" t="inlineStr"/>
      <c r="AP59" t="inlineStr">
        <is>
          <t>no-coworking-in-building</t>
        </is>
      </c>
      <c r="AQ59" t="inlineStr">
        <is>
          <t>1008250031</t>
        </is>
      </c>
      <c r="AR59" t="n">
        <v>0</v>
      </c>
      <c r="AS59" t="inlineStr"/>
      <c r="AT59" t="inlineStr">
        <is>
          <t>S3</t>
        </is>
      </c>
      <c r="AU59" s="3" t="inlineStr">
        <is>
          <t>over-1,000 (1,001 to 4,999): over 500 company-wide (3,137; the count quoted in this row's notes)</t>
        </is>
      </c>
      <c r="AV59" t="inlineStr">
        <is>
          <t>over-1,000 (1,001 to 4,999)</t>
        </is>
      </c>
      <c r="AW59" t="inlineStr">
        <is>
          <t>3137</t>
        </is>
      </c>
      <c r="AX59" t="inlineStr">
        <is>
          <t>N</t>
        </is>
      </c>
    </row>
    <row r="60">
      <c r="A60" t="inlineStr">
        <is>
          <t>B-C-232</t>
        </is>
      </c>
      <c r="B60" t="inlineStr">
        <is>
          <t>TKO Group Holdings</t>
        </is>
      </c>
      <c r="C60" s="2" t="inlineStr">
        <is>
          <t>https://tkogrp.com/</t>
        </is>
      </c>
      <c r="D60" t="inlineStr">
        <is>
          <t>Sports entertainment (WWE, UFC parent)</t>
        </is>
      </c>
      <c r="E60" t="inlineStr"/>
      <c r="F60" t="inlineStr">
        <is>
          <t>200 Fifth Avenue</t>
        </is>
      </c>
      <c r="G60" t="inlineStr">
        <is>
          <t>unknown</t>
        </is>
      </c>
      <c r="H60" t="inlineStr">
        <is>
          <t>10010</t>
        </is>
      </c>
      <c r="I60" t="n">
        <v>40.741986</v>
      </c>
      <c r="J60" t="n">
        <v>-73.98947699999999</v>
      </c>
      <c r="K60" t="inlineStr">
        <is>
          <t>Y</t>
        </is>
      </c>
      <c r="L60" t="inlineStr">
        <is>
          <t>over-500</t>
        </is>
      </c>
      <c r="M60" t="inlineStr">
        <is>
          <t>whole-company</t>
        </is>
      </c>
      <c r="N60" s="2" t="inlineStr">
        <is>
          <t>https://en.wikipedia.org/wiki/TKO_Group_Holdings</t>
        </is>
      </c>
      <c r="O60" s="2" t="inlineStr">
        <is>
          <t>https://tkogrp.com/privacy-policy/</t>
        </is>
      </c>
      <c r="P60" t="inlineStr">
        <is>
          <t>2026-10-24</t>
        </is>
      </c>
      <c r="Q60" s="2" t="inlineStr">
        <is>
          <t>https://en.wikipedia.org/wiki/200_Fifth_Avenue</t>
        </is>
      </c>
      <c r="R60" t="inlineStr">
        <is>
          <t>high</t>
        </is>
      </c>
      <c r="S60" t="inlineStr">
        <is>
          <t>N</t>
        </is>
      </c>
      <c r="T60" t="inlineStr"/>
      <c r="U60" t="inlineStr"/>
      <c r="V60" s="3" t="inlineStr">
        <is>
          <t>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is>
      </c>
      <c r="W60" t="inlineStr">
        <is>
          <t>2026-10-23</t>
        </is>
      </c>
      <c r="X60" t="inlineStr">
        <is>
          <t>unknown</t>
        </is>
      </c>
      <c r="Y60" t="inlineStr">
        <is>
          <t>unknown</t>
        </is>
      </c>
      <c r="Z60" t="inlineStr"/>
      <c r="AA60" t="inlineStr"/>
      <c r="AB60" t="inlineStr">
        <is>
          <t>single-source</t>
        </is>
      </c>
      <c r="AC60" t="inlineStr"/>
      <c r="AD60" t="inlineStr"/>
      <c r="AE60" t="inlineStr"/>
      <c r="AF60" t="inlineStr">
        <is>
          <t>unknown</t>
        </is>
      </c>
      <c r="AG60" t="inlineStr"/>
      <c r="AH60" t="inlineStr">
        <is>
          <t>unknown</t>
        </is>
      </c>
      <c r="AI60" t="inlineStr">
        <is>
          <t>near-miss-over-500</t>
        </is>
      </c>
      <c r="AJ60" t="inlineStr">
        <is>
          <t>occupied</t>
        </is>
      </c>
      <c r="AK60" t="inlineStr"/>
      <c r="AL60" t="inlineStr">
        <is>
          <t>2026-10-24</t>
        </is>
      </c>
      <c r="AM60" s="3" t="inlineStr"/>
      <c r="AN60" t="inlineStr">
        <is>
          <t>company-site</t>
        </is>
      </c>
      <c r="AO60" t="inlineStr">
        <is>
          <t>2026-10-24</t>
        </is>
      </c>
      <c r="AP60" t="inlineStr">
        <is>
          <t>no-coworking-in-building</t>
        </is>
      </c>
      <c r="AQ60" t="inlineStr">
        <is>
          <t>1008250031</t>
        </is>
      </c>
      <c r="AR60" t="n">
        <v>0</v>
      </c>
      <c r="AS60" t="inlineStr"/>
      <c r="AT60" t="inlineStr">
        <is>
          <t>S3</t>
        </is>
      </c>
      <c r="AU60" s="3" t="inlineStr">
        <is>
          <t>over-1,000 (1,001 to 4,999): over 500 company-wide (4,000; the count quoted in this row's notes)</t>
        </is>
      </c>
      <c r="AV60" t="inlineStr">
        <is>
          <t>over-1,000 (1,001 to 4,999)</t>
        </is>
      </c>
      <c r="AW60" t="inlineStr">
        <is>
          <t>4000</t>
        </is>
      </c>
      <c r="AX60" t="inlineStr">
        <is>
          <t>N</t>
        </is>
      </c>
    </row>
    <row r="61">
      <c r="A61" t="inlineStr">
        <is>
          <t>B-C-233</t>
        </is>
      </c>
      <c r="B61" t="inlineStr">
        <is>
          <t>Tiffany &amp; Co.</t>
        </is>
      </c>
      <c r="C61" s="2" t="inlineStr">
        <is>
          <t>https://www.tiffany.com/</t>
        </is>
      </c>
      <c r="D61" t="inlineStr">
        <is>
          <t>Luxury jewelry (consumer brand)</t>
        </is>
      </c>
      <c r="E61" t="inlineStr"/>
      <c r="F61" t="inlineStr">
        <is>
          <t>200 Fifth Avenue</t>
        </is>
      </c>
      <c r="G61" t="inlineStr">
        <is>
          <t>unknown</t>
        </is>
      </c>
      <c r="H61" t="inlineStr">
        <is>
          <t>10010</t>
        </is>
      </c>
      <c r="I61" t="n">
        <v>40.741986</v>
      </c>
      <c r="J61" t="n">
        <v>-73.98947699999999</v>
      </c>
      <c r="K61" t="inlineStr">
        <is>
          <t>Y</t>
        </is>
      </c>
      <c r="L61" t="inlineStr">
        <is>
          <t>over-500</t>
        </is>
      </c>
      <c r="M61" t="inlineStr">
        <is>
          <t>whole-company</t>
        </is>
      </c>
      <c r="N61" s="2" t="inlineStr">
        <is>
          <t>https://www.builtinnyc.com/company/tiffany-co/offices</t>
        </is>
      </c>
      <c r="O61" s="2" t="inlineStr">
        <is>
          <t>https://therealdeal.com/new-york/2025/04/03/bxps-200-fifth-avenue-lands-law-firm-tenant</t>
        </is>
      </c>
      <c r="P61" t="inlineStr">
        <is>
          <t>2025-04-03</t>
        </is>
      </c>
      <c r="Q61" s="2" t="inlineStr">
        <is>
          <t>https://www.builtinnyc.com/company/tiffany-co/offices</t>
        </is>
      </c>
      <c r="R61" t="inlineStr">
        <is>
          <t>high</t>
        </is>
      </c>
      <c r="S61" t="inlineStr">
        <is>
          <t>N</t>
        </is>
      </c>
      <c r="T61" t="inlineStr"/>
      <c r="U61" t="inlineStr"/>
      <c r="V61" s="3" t="inlineStr">
        <is>
          <t>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is>
      </c>
      <c r="W61" t="inlineStr">
        <is>
          <t>2026-10-23</t>
        </is>
      </c>
      <c r="X61" t="inlineStr">
        <is>
          <t>New York</t>
        </is>
      </c>
      <c r="Y61" t="inlineStr">
        <is>
          <t>Y</t>
        </is>
      </c>
      <c r="Z61" t="inlineStr">
        <is>
          <t>https://www.builtinnyc.com/company/tiffany-co/offices</t>
        </is>
      </c>
      <c r="AA61" t="inlineStr"/>
      <c r="AB61" t="inlineStr">
        <is>
          <t>single-source</t>
        </is>
      </c>
      <c r="AC61" t="inlineStr"/>
      <c r="AD61" t="inlineStr"/>
      <c r="AE61" t="inlineStr"/>
      <c r="AF61" t="inlineStr">
        <is>
          <t>unknown</t>
        </is>
      </c>
      <c r="AG61" t="inlineStr"/>
      <c r="AH61" t="inlineStr">
        <is>
          <t>unknown</t>
        </is>
      </c>
      <c r="AI61" t="inlineStr">
        <is>
          <t>near-miss-over-500</t>
        </is>
      </c>
      <c r="AJ61" t="inlineStr">
        <is>
          <t>occupied</t>
        </is>
      </c>
      <c r="AK61" t="inlineStr"/>
      <c r="AL61" t="inlineStr">
        <is>
          <t>2026-10-23</t>
        </is>
      </c>
      <c r="AM61" s="3" t="inlineStr"/>
      <c r="AN61" t="inlineStr">
        <is>
          <t>leasing-press</t>
        </is>
      </c>
      <c r="AO61" t="inlineStr">
        <is>
          <t>2026-10-23</t>
        </is>
      </c>
      <c r="AP61" t="inlineStr">
        <is>
          <t>no-coworking-in-building</t>
        </is>
      </c>
      <c r="AQ61" t="inlineStr">
        <is>
          <t>1008250031</t>
        </is>
      </c>
      <c r="AR61" t="n">
        <v>0</v>
      </c>
      <c r="AS61" t="inlineStr"/>
      <c r="AT61" t="inlineStr">
        <is>
          <t>S3</t>
        </is>
      </c>
      <c r="AU61" s="3" t="inlineStr">
        <is>
          <t>not-near (5,000 or more): over 500 company-wide (9,305; the count quoted in this row's notes)</t>
        </is>
      </c>
      <c r="AV61" t="inlineStr">
        <is>
          <t>not-near (5,000 or more)</t>
        </is>
      </c>
      <c r="AW61" t="inlineStr">
        <is>
          <t>9305</t>
        </is>
      </c>
      <c r="AX61" t="inlineStr">
        <is>
          <t>N</t>
        </is>
      </c>
    </row>
    <row r="62">
      <c r="A62" t="inlineStr">
        <is>
          <t>B-C-234</t>
        </is>
      </c>
      <c r="B62" t="inlineStr">
        <is>
          <t>Coinbase</t>
        </is>
      </c>
      <c r="C62" s="2" t="inlineStr">
        <is>
          <t>https://www.coinbase.com/</t>
        </is>
      </c>
      <c r="D62" t="inlineStr">
        <is>
          <t>Crypto exchange / fintech</t>
        </is>
      </c>
      <c r="E62" t="inlineStr"/>
      <c r="F62" t="inlineStr">
        <is>
          <t>1 Madison Avenue</t>
        </is>
      </c>
      <c r="G62" t="inlineStr">
        <is>
          <t>unknown</t>
        </is>
      </c>
      <c r="H62" t="inlineStr">
        <is>
          <t>10010</t>
        </is>
      </c>
      <c r="I62" t="n">
        <v>40.741141</v>
      </c>
      <c r="J62" t="n">
        <v>-73.987489</v>
      </c>
      <c r="K62" t="inlineStr">
        <is>
          <t>Y</t>
        </is>
      </c>
      <c r="L62" t="inlineStr">
        <is>
          <t>over-500</t>
        </is>
      </c>
      <c r="M62" t="inlineStr">
        <is>
          <t>whole-company</t>
        </is>
      </c>
      <c r="N62" s="2" t="inlineStr">
        <is>
          <t>https://en.wikipedia.org/wiki/Coinbase</t>
        </is>
      </c>
      <c r="O62" s="2" t="inlineStr">
        <is>
          <t>https://slgreen.com/sl-green-signs-new-64000-square-foot-lease-with-sigma-computing-at-one-madison-avenue/</t>
        </is>
      </c>
      <c r="P62" t="inlineStr">
        <is>
          <t>2025-07-16</t>
        </is>
      </c>
      <c r="Q62" t="inlineStr"/>
      <c r="R62" t="inlineStr">
        <is>
          <t>medium</t>
        </is>
      </c>
      <c r="S62" t="inlineStr">
        <is>
          <t>N</t>
        </is>
      </c>
      <c r="T62" t="inlineStr"/>
      <c r="U62" t="inlineStr"/>
      <c r="V62" s="3" t="inlineStr">
        <is>
          <t>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2" t="inlineStr">
        <is>
          <t>2026-10-23</t>
        </is>
      </c>
      <c r="X62" t="inlineStr">
        <is>
          <t>unknown</t>
        </is>
      </c>
      <c r="Y62" t="inlineStr">
        <is>
          <t>unknown</t>
        </is>
      </c>
      <c r="Z62" t="inlineStr"/>
      <c r="AA62" t="inlineStr"/>
      <c r="AB62" t="inlineStr">
        <is>
          <t>single-source</t>
        </is>
      </c>
      <c r="AC62" t="inlineStr"/>
      <c r="AD62" t="inlineStr"/>
      <c r="AE62" t="inlineStr"/>
      <c r="AF62" t="inlineStr">
        <is>
          <t>unknown</t>
        </is>
      </c>
      <c r="AG62" t="inlineStr"/>
      <c r="AH62" t="inlineStr">
        <is>
          <t>unknown</t>
        </is>
      </c>
      <c r="AI62" t="inlineStr">
        <is>
          <t>near-miss-over-500</t>
        </is>
      </c>
      <c r="AJ62" t="inlineStr">
        <is>
          <t>occupied</t>
        </is>
      </c>
      <c r="AK62" t="inlineStr"/>
      <c r="AL62" t="inlineStr">
        <is>
          <t>2026-10-23</t>
        </is>
      </c>
      <c r="AM62" s="3" t="inlineStr"/>
      <c r="AN62" t="inlineStr">
        <is>
          <t>press-release</t>
        </is>
      </c>
      <c r="AO62" t="inlineStr"/>
      <c r="AP62" t="inlineStr">
        <is>
          <t>no-coworking-in-building</t>
        </is>
      </c>
      <c r="AQ62" t="inlineStr">
        <is>
          <t>1008530002</t>
        </is>
      </c>
      <c r="AR62" t="n">
        <v>0</v>
      </c>
      <c r="AS62" t="inlineStr"/>
      <c r="AT62" t="inlineStr">
        <is>
          <t>S3</t>
        </is>
      </c>
      <c r="AU62" s="3" t="inlineStr">
        <is>
          <t>over-1,000 (1,001 to 4,999): over 500 company-wide (3,772; the count quoted in this row's notes)</t>
        </is>
      </c>
      <c r="AV62" t="inlineStr">
        <is>
          <t>over-1,000 (1,001 to 4,999)</t>
        </is>
      </c>
      <c r="AW62" t="inlineStr">
        <is>
          <t>3772</t>
        </is>
      </c>
      <c r="AX62" t="inlineStr">
        <is>
          <t>N</t>
        </is>
      </c>
    </row>
    <row r="63">
      <c r="A63" t="inlineStr">
        <is>
          <t>B-C-235</t>
        </is>
      </c>
      <c r="B63" t="inlineStr">
        <is>
          <t>Flutter Entertainment</t>
        </is>
      </c>
      <c r="C63" s="2" t="inlineStr">
        <is>
          <t>https://www.flutter.com/</t>
        </is>
      </c>
      <c r="D63" t="inlineStr">
        <is>
          <t>Sports betting / gaming (FanDuel parent)</t>
        </is>
      </c>
      <c r="E63" t="inlineStr"/>
      <c r="F63" t="inlineStr">
        <is>
          <t>1 Madison Avenue</t>
        </is>
      </c>
      <c r="G63" t="inlineStr">
        <is>
          <t>unknown</t>
        </is>
      </c>
      <c r="H63" t="inlineStr">
        <is>
          <t>10010</t>
        </is>
      </c>
      <c r="I63" t="n">
        <v>40.741141</v>
      </c>
      <c r="J63" t="n">
        <v>-73.987489</v>
      </c>
      <c r="K63" t="inlineStr">
        <is>
          <t>Y</t>
        </is>
      </c>
      <c r="L63" t="inlineStr">
        <is>
          <t>over-500</t>
        </is>
      </c>
      <c r="M63" t="inlineStr">
        <is>
          <t>whole-company</t>
        </is>
      </c>
      <c r="N63" s="2" t="inlineStr">
        <is>
          <t>https://en.wikipedia.org/wiki/Flutter_Entertainment</t>
        </is>
      </c>
      <c r="O63" s="2" t="inlineStr">
        <is>
          <t>https://slgreen.com/sl-green-signs-new-64000-square-foot-lease-with-sigma-computing-at-one-madison-avenue/</t>
        </is>
      </c>
      <c r="P63" t="inlineStr">
        <is>
          <t>2025-07-16</t>
        </is>
      </c>
      <c r="Q63" t="inlineStr"/>
      <c r="R63" t="inlineStr">
        <is>
          <t>medium</t>
        </is>
      </c>
      <c r="S63" t="inlineStr">
        <is>
          <t>N</t>
        </is>
      </c>
      <c r="T63" t="inlineStr"/>
      <c r="U63" t="inlineStr"/>
      <c r="V63" s="3" t="inlineStr">
        <is>
          <t>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3" t="inlineStr">
        <is>
          <t>2026-10-23</t>
        </is>
      </c>
      <c r="X63" t="inlineStr">
        <is>
          <t>unknown</t>
        </is>
      </c>
      <c r="Y63" t="inlineStr">
        <is>
          <t>unknown</t>
        </is>
      </c>
      <c r="Z63" t="inlineStr"/>
      <c r="AA63" t="inlineStr"/>
      <c r="AB63" t="inlineStr">
        <is>
          <t>single-source</t>
        </is>
      </c>
      <c r="AC63" t="inlineStr"/>
      <c r="AD63" t="inlineStr"/>
      <c r="AE63" t="inlineStr"/>
      <c r="AF63" t="inlineStr">
        <is>
          <t>unknown</t>
        </is>
      </c>
      <c r="AG63" t="inlineStr"/>
      <c r="AH63" t="inlineStr">
        <is>
          <t>unknown</t>
        </is>
      </c>
      <c r="AI63" t="inlineStr">
        <is>
          <t>near-miss-over-500</t>
        </is>
      </c>
      <c r="AJ63" t="inlineStr">
        <is>
          <t>occupied</t>
        </is>
      </c>
      <c r="AK63" t="inlineStr"/>
      <c r="AL63" t="inlineStr">
        <is>
          <t>2026-10-23</t>
        </is>
      </c>
      <c r="AM63" s="3" t="inlineStr"/>
      <c r="AN63" t="inlineStr">
        <is>
          <t>press-release</t>
        </is>
      </c>
      <c r="AO63" t="inlineStr"/>
      <c r="AP63" t="inlineStr">
        <is>
          <t>no-coworking-in-building</t>
        </is>
      </c>
      <c r="AQ63" t="inlineStr">
        <is>
          <t>1008530002</t>
        </is>
      </c>
      <c r="AR63" t="n">
        <v>0</v>
      </c>
      <c r="AS63" t="inlineStr"/>
      <c r="AT63" t="inlineStr">
        <is>
          <t>S3</t>
        </is>
      </c>
      <c r="AU63" s="3" t="inlineStr">
        <is>
          <t>not-near (5,000 or more): over 500 company-wide (27,345; the count quoted in this row's notes)</t>
        </is>
      </c>
      <c r="AV63" t="inlineStr">
        <is>
          <t>not-near (5,000 or more)</t>
        </is>
      </c>
      <c r="AW63" t="inlineStr">
        <is>
          <t>27345</t>
        </is>
      </c>
      <c r="AX63" t="inlineStr">
        <is>
          <t>N</t>
        </is>
      </c>
    </row>
    <row r="64">
      <c r="A64" t="inlineStr">
        <is>
          <t>B-C-236</t>
        </is>
      </c>
      <c r="B64" t="inlineStr">
        <is>
          <t>Franklin Templeton</t>
        </is>
      </c>
      <c r="C64" s="2" t="inlineStr">
        <is>
          <t>https://www.franklintempleton.com/</t>
        </is>
      </c>
      <c r="D64" t="inlineStr">
        <is>
          <t>Asset management</t>
        </is>
      </c>
      <c r="E64" t="inlineStr"/>
      <c r="F64" t="inlineStr">
        <is>
          <t>1 Madison Avenue</t>
        </is>
      </c>
      <c r="G64" t="inlineStr">
        <is>
          <t>unknown</t>
        </is>
      </c>
      <c r="H64" t="inlineStr">
        <is>
          <t>10010</t>
        </is>
      </c>
      <c r="I64" t="n">
        <v>40.741141</v>
      </c>
      <c r="J64" t="n">
        <v>-73.987489</v>
      </c>
      <c r="K64" t="inlineStr">
        <is>
          <t>Y</t>
        </is>
      </c>
      <c r="L64" t="inlineStr">
        <is>
          <t>over-500</t>
        </is>
      </c>
      <c r="M64" t="inlineStr">
        <is>
          <t>whole-company</t>
        </is>
      </c>
      <c r="N64" s="2" t="inlineStr">
        <is>
          <t>https://en.wikipedia.org/wiki/Franklin_Templeton</t>
        </is>
      </c>
      <c r="O64" s="2" t="inlineStr">
        <is>
          <t>https://slgreen.com/sl-green-signs-new-64000-square-foot-lease-with-sigma-computing-at-one-madison-avenue/</t>
        </is>
      </c>
      <c r="P64" t="inlineStr">
        <is>
          <t>2025-07-16</t>
        </is>
      </c>
      <c r="Q64" s="2" t="inlineStr">
        <is>
          <t>https://rebusinessonline.com/franklin-templeton-signs-347474-sf-office-lease-at-one-madison-avenue-in-manhattan/</t>
        </is>
      </c>
      <c r="R64" t="inlineStr">
        <is>
          <t>high</t>
        </is>
      </c>
      <c r="S64" t="inlineStr">
        <is>
          <t>N</t>
        </is>
      </c>
      <c r="T64" t="inlineStr"/>
      <c r="U64" t="inlineStr"/>
      <c r="V64" s="3" t="inlineStr">
        <is>
          <t>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4" t="inlineStr">
        <is>
          <t>2026-10-23</t>
        </is>
      </c>
      <c r="X64" t="inlineStr">
        <is>
          <t>unknown</t>
        </is>
      </c>
      <c r="Y64" t="inlineStr">
        <is>
          <t>unknown</t>
        </is>
      </c>
      <c r="Z64" t="inlineStr"/>
      <c r="AA64" t="inlineStr"/>
      <c r="AB64" t="inlineStr">
        <is>
          <t>single-source</t>
        </is>
      </c>
      <c r="AC64" t="inlineStr"/>
      <c r="AD64" t="inlineStr"/>
      <c r="AE64" t="inlineStr"/>
      <c r="AF64" t="inlineStr">
        <is>
          <t>unknown</t>
        </is>
      </c>
      <c r="AG64" t="inlineStr"/>
      <c r="AH64" t="inlineStr">
        <is>
          <t>unknown</t>
        </is>
      </c>
      <c r="AI64" t="inlineStr">
        <is>
          <t>near-miss-over-500</t>
        </is>
      </c>
      <c r="AJ64" t="inlineStr">
        <is>
          <t>occupied</t>
        </is>
      </c>
      <c r="AK64" t="inlineStr"/>
      <c r="AL64" t="inlineStr">
        <is>
          <t>2026-10-23</t>
        </is>
      </c>
      <c r="AM64" s="3" t="inlineStr"/>
      <c r="AN64" t="inlineStr">
        <is>
          <t>press-release</t>
        </is>
      </c>
      <c r="AO64" t="inlineStr">
        <is>
          <t>2022-10-03</t>
        </is>
      </c>
      <c r="AP64" t="inlineStr">
        <is>
          <t>no-coworking-in-building</t>
        </is>
      </c>
      <c r="AQ64" t="inlineStr">
        <is>
          <t>1008530002</t>
        </is>
      </c>
      <c r="AR64" t="n">
        <v>0</v>
      </c>
      <c r="AS64" t="inlineStr">
        <is>
          <t>347,474 sf</t>
        </is>
      </c>
      <c r="AT64" t="inlineStr">
        <is>
          <t>S3</t>
        </is>
      </c>
      <c r="AU64" s="3" t="inlineStr">
        <is>
          <t>not-near (5,000 or more): over 500 company-wide (9,800; the count quoted in this row's notes)</t>
        </is>
      </c>
      <c r="AV64" t="inlineStr">
        <is>
          <t>not-near (5,000 or more)</t>
        </is>
      </c>
      <c r="AW64" t="inlineStr">
        <is>
          <t>9800</t>
        </is>
      </c>
      <c r="AX64" t="inlineStr">
        <is>
          <t>N</t>
        </is>
      </c>
    </row>
    <row r="65">
      <c r="A65" t="inlineStr">
        <is>
          <t>B-C-102</t>
        </is>
      </c>
      <c r="B65" t="inlineStr">
        <is>
          <t>Harvey</t>
        </is>
      </c>
      <c r="C65" s="2" t="inlineStr">
        <is>
          <t>https://www.harvey.ai/</t>
        </is>
      </c>
      <c r="D65" t="inlineStr">
        <is>
          <t>Legal AI software</t>
        </is>
      </c>
      <c r="E65" t="inlineStr"/>
      <c r="F65" t="inlineStr">
        <is>
          <t>1 Madison Avenue</t>
        </is>
      </c>
      <c r="G65" t="inlineStr">
        <is>
          <t>6 plus expansion (185,326 sf total)</t>
        </is>
      </c>
      <c r="H65" t="inlineStr">
        <is>
          <t>10010</t>
        </is>
      </c>
      <c r="I65" t="n">
        <v>40.741141</v>
      </c>
      <c r="J65" t="n">
        <v>-73.987489</v>
      </c>
      <c r="K65" t="inlineStr">
        <is>
          <t>Y</t>
        </is>
      </c>
      <c r="L65" t="inlineStr">
        <is>
          <t>over-500</t>
        </is>
      </c>
      <c r="M65" t="inlineStr">
        <is>
          <t>whole-company</t>
        </is>
      </c>
      <c r="N65" s="2" t="inlineStr">
        <is>
          <t>https://www.reveliolabs.com/companies/harvey-ai/employees</t>
        </is>
      </c>
      <c r="O65" s="2" t="inlineStr">
        <is>
          <t>https://commercialobserver.com/2026/03/harvey-ai-expansion-lease-sl-green-one-madison-avenue/</t>
        </is>
      </c>
      <c r="P65" t="inlineStr">
        <is>
          <t>2026-03-09</t>
        </is>
      </c>
      <c r="Q65" s="2" t="inlineStr">
        <is>
          <t>https://flatironnomad.nyc/newsletter/april-23-2026-flatiron-nomad-economic-development-snapshot-q1-2026/</t>
        </is>
      </c>
      <c r="R65" t="inlineStr">
        <is>
          <t>high</t>
        </is>
      </c>
      <c r="S65" t="inlineStr">
        <is>
          <t>N</t>
        </is>
      </c>
      <c r="T65" t="inlineStr"/>
      <c r="U65" t="inlineStr"/>
      <c r="V65" s="3" t="inlineStr">
        <is>
          <t>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5" t="inlineStr">
        <is>
          <t>2026-10-23</t>
        </is>
      </c>
      <c r="X65" t="inlineStr">
        <is>
          <t>San Francisco</t>
        </is>
      </c>
      <c r="Y65" t="inlineStr">
        <is>
          <t>N</t>
        </is>
      </c>
      <c r="Z65" t="inlineStr">
        <is>
          <t>https://www.builtinnyc.com/company/harvey/offices</t>
        </is>
      </c>
      <c r="AA65" t="inlineStr">
        <is>
          <t>1130</t>
        </is>
      </c>
      <c r="AB65" t="inlineStr">
        <is>
          <t>over-500-second-source</t>
        </is>
      </c>
      <c r="AC65" t="inlineStr">
        <is>
          <t>373</t>
        </is>
      </c>
      <c r="AD65" t="inlineStr">
        <is>
          <t>https://www.builtinnyc.com/company/harvey/offices</t>
        </is>
      </c>
      <c r="AE65" t="inlineStr">
        <is>
          <t>2026-10-23</t>
        </is>
      </c>
      <c r="AF65" t="inlineStr">
        <is>
          <t>unknown</t>
        </is>
      </c>
      <c r="AG65" t="inlineStr"/>
      <c r="AH65" t="inlineStr">
        <is>
          <t>unknown</t>
        </is>
      </c>
      <c r="AI65" t="inlineStr">
        <is>
          <t>near-miss-over-500</t>
        </is>
      </c>
      <c r="AJ65" t="inlineStr">
        <is>
          <t>occupancy-unconfirmed</t>
        </is>
      </c>
      <c r="AK65" t="inlineStr"/>
      <c r="AL65" t="inlineStr">
        <is>
          <t>2026-08-31</t>
        </is>
      </c>
      <c r="AM65" s="3" t="inlineStr"/>
      <c r="AN65" t="inlineStr">
        <is>
          <t>leasing-press</t>
        </is>
      </c>
      <c r="AO65" t="inlineStr">
        <is>
          <t>2026-04-23</t>
        </is>
      </c>
      <c r="AP65" t="inlineStr">
        <is>
          <t>no-coworking-in-building</t>
        </is>
      </c>
      <c r="AQ65" t="inlineStr">
        <is>
          <t>1008530002</t>
        </is>
      </c>
      <c r="AR65" t="n">
        <v>0</v>
      </c>
      <c r="AS65" t="inlineStr">
        <is>
          <t>92,663 sf; 185,326 sf; 34,100 sf</t>
        </is>
      </c>
      <c r="AT65" t="inlineStr">
        <is>
          <t>S3</t>
        </is>
      </c>
      <c r="AU65" s="3" t="inlineStr">
        <is>
          <t>over-1,000 (1,001 to 4,999): over 500 company-wide (1,130; Revelio Labs page in headcount_source_url, as of March 2026, added at review round 2)</t>
        </is>
      </c>
      <c r="AV65" t="inlineStr">
        <is>
          <t>over-1,000 (1,001 to 4,999)</t>
        </is>
      </c>
      <c r="AW65" t="inlineStr">
        <is>
          <t>1130</t>
        </is>
      </c>
      <c r="AX65" t="inlineStr">
        <is>
          <t>N</t>
        </is>
      </c>
    </row>
    <row r="66">
      <c r="A66" t="inlineStr">
        <is>
          <t>B-C-237</t>
        </is>
      </c>
      <c r="B66" t="inlineStr">
        <is>
          <t>IBM</t>
        </is>
      </c>
      <c r="C66" s="2" t="inlineStr">
        <is>
          <t>https://www.ibm.com/</t>
        </is>
      </c>
      <c r="D66" t="inlineStr">
        <is>
          <t>Technology</t>
        </is>
      </c>
      <c r="E66" t="inlineStr"/>
      <c r="F66" t="inlineStr">
        <is>
          <t>1 Madison Avenue</t>
        </is>
      </c>
      <c r="G66" t="inlineStr">
        <is>
          <t>multiple (362,092 sf)</t>
        </is>
      </c>
      <c r="H66" t="inlineStr">
        <is>
          <t>10010</t>
        </is>
      </c>
      <c r="I66" t="n">
        <v>40.741141</v>
      </c>
      <c r="J66" t="n">
        <v>-73.987489</v>
      </c>
      <c r="K66" t="inlineStr">
        <is>
          <t>Y</t>
        </is>
      </c>
      <c r="L66" t="inlineStr">
        <is>
          <t>over-500</t>
        </is>
      </c>
      <c r="M66" t="inlineStr">
        <is>
          <t>whole-company</t>
        </is>
      </c>
      <c r="N66" s="2" t="inlineStr">
        <is>
          <t>https://en.wikipedia.org/wiki/IBM</t>
        </is>
      </c>
      <c r="O66" s="2" t="inlineStr">
        <is>
          <t>https://commercialobserver.com/2026/03/harvey-ai-expansion-lease-sl-green-one-madison-avenue/</t>
        </is>
      </c>
      <c r="P66" t="inlineStr">
        <is>
          <t>2026-03-09</t>
        </is>
      </c>
      <c r="Q66" s="2" t="inlineStr">
        <is>
          <t>https://slgreen.com/sl-green-signs-new-64000-square-foot-lease-with-sigma-computing-at-one-madison-avenue/</t>
        </is>
      </c>
      <c r="R66" t="inlineStr">
        <is>
          <t>high</t>
        </is>
      </c>
      <c r="S66" t="inlineStr">
        <is>
          <t>N</t>
        </is>
      </c>
      <c r="T66" t="inlineStr"/>
      <c r="U66" t="inlineStr"/>
      <c r="V66" s="3" t="inlineStr">
        <is>
          <t>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6" t="inlineStr">
        <is>
          <t>2026-10-23</t>
        </is>
      </c>
      <c r="X66" t="inlineStr">
        <is>
          <t>unknown</t>
        </is>
      </c>
      <c r="Y66" t="inlineStr">
        <is>
          <t>unknown</t>
        </is>
      </c>
      <c r="Z66" t="inlineStr"/>
      <c r="AA66" t="inlineStr"/>
      <c r="AB66" t="inlineStr">
        <is>
          <t>single-source</t>
        </is>
      </c>
      <c r="AC66" t="inlineStr"/>
      <c r="AD66" t="inlineStr"/>
      <c r="AE66" t="inlineStr"/>
      <c r="AF66" t="inlineStr">
        <is>
          <t>unknown</t>
        </is>
      </c>
      <c r="AG66" t="inlineStr"/>
      <c r="AH66" t="inlineStr">
        <is>
          <t>unknown</t>
        </is>
      </c>
      <c r="AI66" t="inlineStr">
        <is>
          <t>near-miss-over-500</t>
        </is>
      </c>
      <c r="AJ66" t="inlineStr">
        <is>
          <t>occupied</t>
        </is>
      </c>
      <c r="AK66" t="inlineStr"/>
      <c r="AL66" t="inlineStr">
        <is>
          <t>2026-10-23</t>
        </is>
      </c>
      <c r="AM66" s="3" t="inlineStr"/>
      <c r="AN66" t="inlineStr">
        <is>
          <t>leasing-press</t>
        </is>
      </c>
      <c r="AO66" t="inlineStr">
        <is>
          <t>2025-07-16</t>
        </is>
      </c>
      <c r="AP66" t="inlineStr">
        <is>
          <t>no-coworking-in-building</t>
        </is>
      </c>
      <c r="AQ66" t="inlineStr">
        <is>
          <t>1008530002</t>
        </is>
      </c>
      <c r="AR66" t="n">
        <v>0</v>
      </c>
      <c r="AS66" t="inlineStr">
        <is>
          <t>362,092 sf</t>
        </is>
      </c>
      <c r="AT66" t="inlineStr">
        <is>
          <t>S3</t>
        </is>
      </c>
      <c r="AU66" s="3" t="inlineStr">
        <is>
          <t>not-near (5,000 or more): over 500 company-wide (264,300; the count quoted in this row's notes)</t>
        </is>
      </c>
      <c r="AV66" t="inlineStr">
        <is>
          <t>not-near (5,000 or more)</t>
        </is>
      </c>
      <c r="AW66" t="inlineStr">
        <is>
          <t>264300</t>
        </is>
      </c>
      <c r="AX66" t="inlineStr">
        <is>
          <t>N</t>
        </is>
      </c>
    </row>
    <row r="67">
      <c r="A67" t="inlineStr">
        <is>
          <t>B-C-238</t>
        </is>
      </c>
      <c r="B67" t="inlineStr">
        <is>
          <t>Palo Alto Networks</t>
        </is>
      </c>
      <c r="C67" s="2" t="inlineStr">
        <is>
          <t>https://www.paloaltonetworks.com/</t>
        </is>
      </c>
      <c r="D67" t="inlineStr">
        <is>
          <t>Cybersecurity</t>
        </is>
      </c>
      <c r="E67" t="inlineStr"/>
      <c r="F67" t="inlineStr">
        <is>
          <t>1 Madison Avenue</t>
        </is>
      </c>
      <c r="G67" t="inlineStr">
        <is>
          <t>unknown</t>
        </is>
      </c>
      <c r="H67" t="inlineStr">
        <is>
          <t>10010</t>
        </is>
      </c>
      <c r="I67" t="n">
        <v>40.741141</v>
      </c>
      <c r="J67" t="n">
        <v>-73.987489</v>
      </c>
      <c r="K67" t="inlineStr">
        <is>
          <t>Y</t>
        </is>
      </c>
      <c r="L67" t="inlineStr">
        <is>
          <t>over-500</t>
        </is>
      </c>
      <c r="M67" t="inlineStr">
        <is>
          <t>whole-company</t>
        </is>
      </c>
      <c r="N67" s="2" t="inlineStr">
        <is>
          <t>https://en.wikipedia.org/wiki/Palo_Alto_Networks</t>
        </is>
      </c>
      <c r="O67" s="2" t="inlineStr">
        <is>
          <t>https://slgreen.com/sl-green-signs-new-64000-square-foot-lease-with-sigma-computing-at-one-madison-avenue/</t>
        </is>
      </c>
      <c r="P67" t="inlineStr">
        <is>
          <t>2025-07-16</t>
        </is>
      </c>
      <c r="Q67" t="inlineStr"/>
      <c r="R67" t="inlineStr">
        <is>
          <t>medium</t>
        </is>
      </c>
      <c r="S67" t="inlineStr">
        <is>
          <t>N</t>
        </is>
      </c>
      <c r="T67" t="inlineStr"/>
      <c r="U67" t="inlineStr"/>
      <c r="V67" s="3" t="inlineStr">
        <is>
          <t>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W67" t="inlineStr">
        <is>
          <t>2026-10-23</t>
        </is>
      </c>
      <c r="X67" t="inlineStr">
        <is>
          <t>unknown</t>
        </is>
      </c>
      <c r="Y67" t="inlineStr">
        <is>
          <t>unknown</t>
        </is>
      </c>
      <c r="Z67" t="inlineStr"/>
      <c r="AA67" t="inlineStr"/>
      <c r="AB67" t="inlineStr">
        <is>
          <t>single-source</t>
        </is>
      </c>
      <c r="AC67" t="inlineStr"/>
      <c r="AD67" t="inlineStr"/>
      <c r="AE67" t="inlineStr"/>
      <c r="AF67" t="inlineStr">
        <is>
          <t>unknown</t>
        </is>
      </c>
      <c r="AG67" t="inlineStr"/>
      <c r="AH67" t="inlineStr">
        <is>
          <t>unknown</t>
        </is>
      </c>
      <c r="AI67" t="inlineStr">
        <is>
          <t>near-miss-over-500</t>
        </is>
      </c>
      <c r="AJ67" t="inlineStr">
        <is>
          <t>occupied</t>
        </is>
      </c>
      <c r="AK67" t="inlineStr"/>
      <c r="AL67" t="inlineStr">
        <is>
          <t>2026-10-23</t>
        </is>
      </c>
      <c r="AM67" s="3" t="inlineStr"/>
      <c r="AN67" t="inlineStr">
        <is>
          <t>press-release</t>
        </is>
      </c>
      <c r="AO67" t="inlineStr"/>
      <c r="AP67" t="inlineStr">
        <is>
          <t>no-coworking-in-building</t>
        </is>
      </c>
      <c r="AQ67" t="inlineStr">
        <is>
          <t>1008530002</t>
        </is>
      </c>
      <c r="AR67" t="n">
        <v>0</v>
      </c>
      <c r="AS67" t="inlineStr"/>
      <c r="AT67" t="inlineStr">
        <is>
          <t>S3</t>
        </is>
      </c>
      <c r="AU67" s="3" t="inlineStr">
        <is>
          <t>not-near (5,000 or more): over 500 company-wide (16,068; the count quoted in this row's notes)</t>
        </is>
      </c>
      <c r="AV67" t="inlineStr">
        <is>
          <t>not-near (5,000 or more)</t>
        </is>
      </c>
      <c r="AW67" t="inlineStr">
        <is>
          <t>16068</t>
        </is>
      </c>
      <c r="AX67" t="inlineStr">
        <is>
          <t>N</t>
        </is>
      </c>
    </row>
    <row r="68">
      <c r="A68" t="inlineStr">
        <is>
          <t>B-C-239</t>
        </is>
      </c>
      <c r="B68" t="inlineStr">
        <is>
          <t>Amazon</t>
        </is>
      </c>
      <c r="C68" s="2" t="inlineStr">
        <is>
          <t>https://www.amazon.com/</t>
        </is>
      </c>
      <c r="D68" t="inlineStr">
        <is>
          <t>Technology / e-commerce</t>
        </is>
      </c>
      <c r="E68" t="inlineStr"/>
      <c r="F68" t="inlineStr">
        <is>
          <t>315 Park Avenue South</t>
        </is>
      </c>
      <c r="G68" t="inlineStr">
        <is>
          <t>unknown</t>
        </is>
      </c>
      <c r="H68" t="inlineStr">
        <is>
          <t>10010</t>
        </is>
      </c>
      <c r="I68" t="n">
        <v>40.740567</v>
      </c>
      <c r="J68" t="n">
        <v>-73.985832</v>
      </c>
      <c r="K68" t="inlineStr">
        <is>
          <t>Y</t>
        </is>
      </c>
      <c r="L68" t="inlineStr">
        <is>
          <t>over-500</t>
        </is>
      </c>
      <c r="M68" t="inlineStr">
        <is>
          <t>whole-company</t>
        </is>
      </c>
      <c r="N68" s="2" t="inlineStr">
        <is>
          <t>https://en.wikipedia.org/wiki/Amazon_(company)</t>
        </is>
      </c>
      <c r="O68" s="2" t="inlineStr">
        <is>
          <t>https://commercialobserver.com/2026/02/bluefish-lease-315-park-avenue-south/</t>
        </is>
      </c>
      <c r="P68" t="inlineStr">
        <is>
          <t>2026-02</t>
        </is>
      </c>
      <c r="Q68" t="inlineStr"/>
      <c r="R68" t="inlineStr">
        <is>
          <t>medium</t>
        </is>
      </c>
      <c r="S68" t="inlineStr">
        <is>
          <t>N</t>
        </is>
      </c>
      <c r="T68" t="inlineStr"/>
      <c r="U68" t="inlineStr"/>
      <c r="V68" s="3" t="inlineStr">
        <is>
          <t>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is>
      </c>
      <c r="W68" t="inlineStr">
        <is>
          <t>2026-10-23</t>
        </is>
      </c>
      <c r="X68" t="inlineStr">
        <is>
          <t>unknown</t>
        </is>
      </c>
      <c r="Y68" t="inlineStr">
        <is>
          <t>unknown</t>
        </is>
      </c>
      <c r="Z68" t="inlineStr"/>
      <c r="AA68" t="inlineStr"/>
      <c r="AB68" t="inlineStr">
        <is>
          <t>single-source</t>
        </is>
      </c>
      <c r="AC68" t="inlineStr"/>
      <c r="AD68" t="inlineStr"/>
      <c r="AE68" t="inlineStr"/>
      <c r="AF68" t="inlineStr">
        <is>
          <t>unknown</t>
        </is>
      </c>
      <c r="AG68" t="inlineStr"/>
      <c r="AH68" t="inlineStr">
        <is>
          <t>security desk</t>
        </is>
      </c>
      <c r="AI68" t="inlineStr">
        <is>
          <t>near-miss-over-500</t>
        </is>
      </c>
      <c r="AJ68" t="inlineStr">
        <is>
          <t>occupancy-unconfirmed</t>
        </is>
      </c>
      <c r="AK68" t="inlineStr"/>
      <c r="AL68" t="inlineStr">
        <is>
          <t>2026-10-24</t>
        </is>
      </c>
      <c r="AM68" s="3" t="inlineStr"/>
      <c r="AN68" t="inlineStr">
        <is>
          <t>leasing-press</t>
        </is>
      </c>
      <c r="AO68" t="inlineStr"/>
      <c r="AP68" t="inlineStr">
        <is>
          <t>no-coworking-in-building</t>
        </is>
      </c>
      <c r="AQ68" t="inlineStr">
        <is>
          <t>1008790081</t>
        </is>
      </c>
      <c r="AR68" t="n">
        <v>0</v>
      </c>
      <c r="AS68" t="inlineStr"/>
      <c r="AT68" t="inlineStr">
        <is>
          <t>S3</t>
        </is>
      </c>
      <c r="AU68" s="3" t="inlineStr">
        <is>
          <t>not-near (5,000 or more): over 500 company-wide (1,576,000; Wikipedia infobox, Amazon (company): 1,576,000 employees (2025), opened 2026-10-24)</t>
        </is>
      </c>
      <c r="AV68" t="inlineStr">
        <is>
          <t>not-near (5,000 or more)</t>
        </is>
      </c>
      <c r="AW68" t="inlineStr">
        <is>
          <t>1576000</t>
        </is>
      </c>
      <c r="AX68" t="inlineStr">
        <is>
          <t>N</t>
        </is>
      </c>
    </row>
    <row r="69">
      <c r="A69" t="inlineStr">
        <is>
          <t>B-C-240</t>
        </is>
      </c>
      <c r="B69" t="inlineStr">
        <is>
          <t>PitchBook</t>
        </is>
      </c>
      <c r="C69" s="2" t="inlineStr">
        <is>
          <t>https://pitchbook.com/</t>
        </is>
      </c>
      <c r="D69" t="inlineStr">
        <is>
          <t>Financial data / software</t>
        </is>
      </c>
      <c r="E69" t="inlineStr"/>
      <c r="F69" t="inlineStr">
        <is>
          <t>315 Park Avenue South</t>
        </is>
      </c>
      <c r="G69" t="inlineStr">
        <is>
          <t>unknown</t>
        </is>
      </c>
      <c r="H69" t="inlineStr">
        <is>
          <t>10010</t>
        </is>
      </c>
      <c r="I69" t="n">
        <v>40.740567</v>
      </c>
      <c r="J69" t="n">
        <v>-73.985832</v>
      </c>
      <c r="K69" t="inlineStr">
        <is>
          <t>Y</t>
        </is>
      </c>
      <c r="L69" t="inlineStr">
        <is>
          <t>over-500</t>
        </is>
      </c>
      <c r="M69" t="inlineStr">
        <is>
          <t>whole-company</t>
        </is>
      </c>
      <c r="N69" s="2" t="inlineStr">
        <is>
          <t>https://www.builtinnyc.com/company/pitchbook/offices</t>
        </is>
      </c>
      <c r="O69" s="2" t="inlineStr">
        <is>
          <t>https://commercialobserver.com/2026/02/bluefish-lease-315-park-avenue-south/</t>
        </is>
      </c>
      <c r="P69" t="inlineStr">
        <is>
          <t>2026-02</t>
        </is>
      </c>
      <c r="Q69" s="2" t="inlineStr">
        <is>
          <t>https://www.builtinnyc.com/company/pitchbook/offices</t>
        </is>
      </c>
      <c r="R69" t="inlineStr">
        <is>
          <t>high</t>
        </is>
      </c>
      <c r="S69" t="inlineStr">
        <is>
          <t>N</t>
        </is>
      </c>
      <c r="T69" t="inlineStr"/>
      <c r="U69" t="inlineStr"/>
      <c r="V69" s="3" t="inlineStr">
        <is>
          <t>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is>
      </c>
      <c r="W69" t="inlineStr">
        <is>
          <t>2026-10-23</t>
        </is>
      </c>
      <c r="X69" t="inlineStr">
        <is>
          <t>Seattle</t>
        </is>
      </c>
      <c r="Y69" t="inlineStr">
        <is>
          <t>N</t>
        </is>
      </c>
      <c r="Z69" t="inlineStr">
        <is>
          <t>https://www.builtinnyc.com/company/pitchbook/offices</t>
        </is>
      </c>
      <c r="AA69" t="inlineStr"/>
      <c r="AB69" t="inlineStr">
        <is>
          <t>single-source</t>
        </is>
      </c>
      <c r="AC69" t="inlineStr"/>
      <c r="AD69" t="inlineStr"/>
      <c r="AE69" t="inlineStr"/>
      <c r="AF69" t="inlineStr">
        <is>
          <t>unknown</t>
        </is>
      </c>
      <c r="AG69" t="inlineStr"/>
      <c r="AH69" t="inlineStr">
        <is>
          <t>security desk</t>
        </is>
      </c>
      <c r="AI69" t="inlineStr">
        <is>
          <t>near-miss-over-500</t>
        </is>
      </c>
      <c r="AJ69" t="inlineStr">
        <is>
          <t>occupied</t>
        </is>
      </c>
      <c r="AK69" t="inlineStr"/>
      <c r="AL69" t="inlineStr">
        <is>
          <t>2026-10-23</t>
        </is>
      </c>
      <c r="AM69" s="3" t="inlineStr"/>
      <c r="AN69" t="inlineStr">
        <is>
          <t>leasing-press</t>
        </is>
      </c>
      <c r="AO69" t="inlineStr">
        <is>
          <t>2026-10-23</t>
        </is>
      </c>
      <c r="AP69" t="inlineStr">
        <is>
          <t>no-coworking-in-building</t>
        </is>
      </c>
      <c r="AQ69" t="inlineStr">
        <is>
          <t>1008790081</t>
        </is>
      </c>
      <c r="AR69" t="n">
        <v>0</v>
      </c>
      <c r="AS69" t="inlineStr"/>
      <c r="AT69" t="inlineStr">
        <is>
          <t>S3</t>
        </is>
      </c>
      <c r="AU69" s="3" t="inlineStr">
        <is>
          <t>over-1,000 (1,001 to 4,999): over 500 company-wide (2,203; the count quoted in this row's notes)</t>
        </is>
      </c>
      <c r="AV69" t="inlineStr">
        <is>
          <t>over-1,000 (1,001 to 4,999)</t>
        </is>
      </c>
      <c r="AW69" t="inlineStr">
        <is>
          <t>2203</t>
        </is>
      </c>
      <c r="AX69" t="inlineStr">
        <is>
          <t>N</t>
        </is>
      </c>
    </row>
    <row r="70">
      <c r="A70" t="inlineStr">
        <is>
          <t>B-C-241</t>
        </is>
      </c>
      <c r="B70" t="inlineStr">
        <is>
          <t>United Talent Agency (UTA)</t>
        </is>
      </c>
      <c r="C70" s="2" t="inlineStr">
        <is>
          <t>https://www.unitedtalent.com/</t>
        </is>
      </c>
      <c r="D70" t="inlineStr">
        <is>
          <t>Talent agency / entertainment</t>
        </is>
      </c>
      <c r="E70" t="inlineStr"/>
      <c r="F70" t="inlineStr">
        <is>
          <t>27 West 24th Street</t>
        </is>
      </c>
      <c r="G70" t="inlineStr">
        <is>
          <t>unknown</t>
        </is>
      </c>
      <c r="H70" t="inlineStr">
        <is>
          <t>10010</t>
        </is>
      </c>
      <c r="I70" t="n">
        <v>40.743196</v>
      </c>
      <c r="J70" t="n">
        <v>-73.99084000000001</v>
      </c>
      <c r="K70" t="inlineStr">
        <is>
          <t>Y</t>
        </is>
      </c>
      <c r="L70" t="inlineStr">
        <is>
          <t>over-500</t>
        </is>
      </c>
      <c r="M70" t="inlineStr">
        <is>
          <t>whole-company</t>
        </is>
      </c>
      <c r="N70" s="2" t="inlineStr">
        <is>
          <t>https://en.wikipedia.org/wiki/United_Talent_Agency</t>
        </is>
      </c>
      <c r="O70" s="2" t="inlineStr">
        <is>
          <t>https://commercialobserver.com/2026/07/united-talent-agency-lease-esrt-empire-state-building/</t>
        </is>
      </c>
      <c r="P70" t="inlineStr">
        <is>
          <t>2026-07</t>
        </is>
      </c>
      <c r="Q70" t="inlineStr"/>
      <c r="R70" t="inlineStr">
        <is>
          <t>medium</t>
        </is>
      </c>
      <c r="S70" t="inlineStr">
        <is>
          <t>N</t>
        </is>
      </c>
      <c r="T70" t="inlineStr"/>
      <c r="U70" t="inlineStr"/>
      <c r="V70" s="3" t="inlineStr">
        <is>
          <t>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is>
      </c>
      <c r="W70" t="inlineStr">
        <is>
          <t>2026-10-23</t>
        </is>
      </c>
      <c r="X70" t="inlineStr">
        <is>
          <t>unknown</t>
        </is>
      </c>
      <c r="Y70" t="inlineStr">
        <is>
          <t>unknown</t>
        </is>
      </c>
      <c r="Z70" t="inlineStr"/>
      <c r="AA70" t="inlineStr"/>
      <c r="AB70" t="inlineStr">
        <is>
          <t>single-source</t>
        </is>
      </c>
      <c r="AC70" t="inlineStr"/>
      <c r="AD70" t="inlineStr"/>
      <c r="AE70" t="inlineStr"/>
      <c r="AF70" t="inlineStr">
        <is>
          <t>unknown</t>
        </is>
      </c>
      <c r="AG70" t="inlineStr"/>
      <c r="AH70" t="inlineStr">
        <is>
          <t>unknown</t>
        </is>
      </c>
      <c r="AI70" t="inlineStr">
        <is>
          <t>near-miss-over-500</t>
        </is>
      </c>
      <c r="AJ70" t="inlineStr">
        <is>
          <t>moving-out</t>
        </is>
      </c>
      <c r="AK70" t="inlineStr">
        <is>
          <t>unknown</t>
        </is>
      </c>
      <c r="AL70" t="inlineStr">
        <is>
          <t>2026-10-24</t>
        </is>
      </c>
      <c r="AM70" s="3" t="inlineStr"/>
      <c r="AN70" t="inlineStr">
        <is>
          <t>leasing-press</t>
        </is>
      </c>
      <c r="AO70" t="inlineStr"/>
      <c r="AP70" t="inlineStr">
        <is>
          <t>no-coworking-in-building</t>
        </is>
      </c>
      <c r="AQ70" t="inlineStr">
        <is>
          <t>1008260019</t>
        </is>
      </c>
      <c r="AR70" t="n">
        <v>0</v>
      </c>
      <c r="AS70" t="inlineStr"/>
      <c r="AT70" t="inlineStr">
        <is>
          <t>S3</t>
        </is>
      </c>
      <c r="AU70" s="3" t="inlineStr">
        <is>
          <t>over-1,000 (1,001 to 4,999): over 500 company-wide (2,200; the count quoted in this row's notes)</t>
        </is>
      </c>
      <c r="AV70" t="inlineStr">
        <is>
          <t>over-1,000 (1,001 to 4,999)</t>
        </is>
      </c>
      <c r="AW70" t="inlineStr">
        <is>
          <t>2200</t>
        </is>
      </c>
      <c r="AX70" t="inlineStr">
        <is>
          <t>N</t>
        </is>
      </c>
    </row>
    <row r="71">
      <c r="A71" t="inlineStr">
        <is>
          <t>B-C-103</t>
        </is>
      </c>
      <c r="B71" t="inlineStr">
        <is>
          <t>Clay</t>
        </is>
      </c>
      <c r="C71" s="2" t="inlineStr">
        <is>
          <t>https://www.clay.com/</t>
        </is>
      </c>
      <c r="D71" t="inlineStr">
        <is>
          <t>Software (AI sales / go-to-market)</t>
        </is>
      </c>
      <c r="E71" t="inlineStr">
        <is>
          <t>B-B-052</t>
        </is>
      </c>
      <c r="F71" t="inlineStr">
        <is>
          <t>11 Madison Avenue</t>
        </is>
      </c>
      <c r="G71" t="inlineStr">
        <is>
          <t>14, 16 and part of 15</t>
        </is>
      </c>
      <c r="H71" t="inlineStr">
        <is>
          <t>10010</t>
        </is>
      </c>
      <c r="I71" t="n">
        <v>40.741761</v>
      </c>
      <c r="J71" t="n">
        <v>-73.987033</v>
      </c>
      <c r="K71" t="inlineStr">
        <is>
          <t>Y</t>
        </is>
      </c>
      <c r="L71" t="inlineStr">
        <is>
          <t>over-500</t>
        </is>
      </c>
      <c r="M71" t="inlineStr">
        <is>
          <t>whole-company</t>
        </is>
      </c>
      <c r="N71" s="2" t="inlineStr">
        <is>
          <t>https://www.reveliolabs.com/companies/clay-labs/employees</t>
        </is>
      </c>
      <c r="O71" s="2" t="inlineStr">
        <is>
          <t>https://commercialobserver.com/2026/03/clay-ai-lease-sl-green-11-madison-avenue/</t>
        </is>
      </c>
      <c r="P71" t="inlineStr">
        <is>
          <t>2026-03-09</t>
        </is>
      </c>
      <c r="Q71" s="2" t="inlineStr">
        <is>
          <t>https://www.metro-manhattan.com/neighborhoods/midtown-south/flatiron/</t>
        </is>
      </c>
      <c r="R71" t="inlineStr">
        <is>
          <t>medium</t>
        </is>
      </c>
      <c r="S71" t="inlineStr">
        <is>
          <t>N</t>
        </is>
      </c>
      <c r="T71" t="inlineStr"/>
      <c r="U71" t="inlineStr"/>
      <c r="V71" s="3" t="inlineStr">
        <is>
          <t>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1" t="inlineStr">
        <is>
          <t>2026-10-23</t>
        </is>
      </c>
      <c r="X71" t="inlineStr">
        <is>
          <t>New York</t>
        </is>
      </c>
      <c r="Y71" t="inlineStr">
        <is>
          <t>Y</t>
        </is>
      </c>
      <c r="Z71" t="inlineStr">
        <is>
          <t>https://www.builtinnyc.com/company/clay/offices</t>
        </is>
      </c>
      <c r="AA71" t="inlineStr">
        <is>
          <t>710</t>
        </is>
      </c>
      <c r="AB71" t="inlineStr">
        <is>
          <t>over-500-second-source</t>
        </is>
      </c>
      <c r="AC71" t="inlineStr">
        <is>
          <t>93</t>
        </is>
      </c>
      <c r="AD71" t="inlineStr">
        <is>
          <t>https://www.builtinnyc.com/company/clay/offices</t>
        </is>
      </c>
      <c r="AE71" t="inlineStr">
        <is>
          <t>2026-10-23</t>
        </is>
      </c>
      <c r="AF71" t="inlineStr">
        <is>
          <t>unknown</t>
        </is>
      </c>
      <c r="AG71" t="inlineStr"/>
      <c r="AH71" t="inlineStr">
        <is>
          <t>loading dock</t>
        </is>
      </c>
      <c r="AI71" t="inlineStr">
        <is>
          <t>near-miss-over-500</t>
        </is>
      </c>
      <c r="AJ71" t="inlineStr">
        <is>
          <t>signed-not-occupied</t>
        </is>
      </c>
      <c r="AK71" t="inlineStr">
        <is>
          <t>unknown</t>
        </is>
      </c>
      <c r="AL71" t="inlineStr">
        <is>
          <t>2026-08-31</t>
        </is>
      </c>
      <c r="AM71" s="3" t="inlineStr"/>
      <c r="AN71" t="inlineStr">
        <is>
          <t>leasing-press</t>
        </is>
      </c>
      <c r="AO71" t="inlineStr">
        <is>
          <t>2026-06</t>
        </is>
      </c>
      <c r="AP71" t="inlineStr">
        <is>
          <t>no-coworking-in-building</t>
        </is>
      </c>
      <c r="AQ71" t="inlineStr">
        <is>
          <t>1008547501</t>
        </is>
      </c>
      <c r="AR71" t="n">
        <v>0</v>
      </c>
      <c r="AS71" t="inlineStr">
        <is>
          <t>163,095 sf; 202,875 sf</t>
        </is>
      </c>
      <c r="AT71" t="inlineStr">
        <is>
          <t>S3</t>
        </is>
      </c>
      <c r="AU71" s="3" t="inlineStr">
        <is>
          <t>just-over-500 (501 to 1,000): over 500 company-wide (710; Revelio Labs page in headcount_source_url, as of March 2026, added at review round 2)</t>
        </is>
      </c>
      <c r="AV71" t="inlineStr">
        <is>
          <t>just-over-500 (501 to 1,000)</t>
        </is>
      </c>
      <c r="AW71" t="inlineStr">
        <is>
          <t>710</t>
        </is>
      </c>
      <c r="AX71" t="inlineStr">
        <is>
          <t>N</t>
        </is>
      </c>
    </row>
    <row r="72">
      <c r="A72" t="inlineStr">
        <is>
          <t>B-C-242</t>
        </is>
      </c>
      <c r="B72" t="inlineStr">
        <is>
          <t>Legora</t>
        </is>
      </c>
      <c r="C72" s="2" t="inlineStr">
        <is>
          <t>https://legora.com/</t>
        </is>
      </c>
      <c r="D72" t="inlineStr">
        <is>
          <t>Legal AI software</t>
        </is>
      </c>
      <c r="E72" t="inlineStr">
        <is>
          <t>B-B-052</t>
        </is>
      </c>
      <c r="F72" t="inlineStr">
        <is>
          <t>11 Madison Avenue</t>
        </is>
      </c>
      <c r="G72" t="inlineStr">
        <is>
          <t>11</t>
        </is>
      </c>
      <c r="H72" t="inlineStr">
        <is>
          <t>10010</t>
        </is>
      </c>
      <c r="I72" t="n">
        <v>40.741761</v>
      </c>
      <c r="J72" t="n">
        <v>-73.987033</v>
      </c>
      <c r="K72" t="inlineStr">
        <is>
          <t>Y</t>
        </is>
      </c>
      <c r="L72" t="inlineStr">
        <is>
          <t>over-500</t>
        </is>
      </c>
      <c r="M72" t="inlineStr">
        <is>
          <t>whole-company</t>
        </is>
      </c>
      <c r="N72" s="2" t="inlineStr">
        <is>
          <t>https://www.builtinnyc.com/company/legora/offices</t>
        </is>
      </c>
      <c r="O72" s="2" t="inlineStr">
        <is>
          <t>https://commercialobserver.com/2026/07/ai-firm-legora-takes-98k-sl-greens-11-madison-avenue/</t>
        </is>
      </c>
      <c r="P72" t="inlineStr">
        <is>
          <t>2026-07-23</t>
        </is>
      </c>
      <c r="Q72" s="2" t="inlineStr">
        <is>
          <t>https://flatironnomad.nyc/2026/08/05/july-news-roundup-6/</t>
        </is>
      </c>
      <c r="R72" t="inlineStr">
        <is>
          <t>medium</t>
        </is>
      </c>
      <c r="S72" t="inlineStr">
        <is>
          <t>N</t>
        </is>
      </c>
      <c r="T72" t="inlineStr"/>
      <c r="U72" t="inlineStr"/>
      <c r="V72" s="3" t="inlineStr">
        <is>
          <t>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2" t="inlineStr">
        <is>
          <t>2026-10-23</t>
        </is>
      </c>
      <c r="X72" t="inlineStr">
        <is>
          <t>New York</t>
        </is>
      </c>
      <c r="Y72" t="inlineStr">
        <is>
          <t>Y</t>
        </is>
      </c>
      <c r="Z72" t="inlineStr">
        <is>
          <t>https://www.builtinnyc.com/company/legora/offices</t>
        </is>
      </c>
      <c r="AA72" t="inlineStr"/>
      <c r="AB72" t="inlineStr">
        <is>
          <t>single-source</t>
        </is>
      </c>
      <c r="AC72" t="inlineStr"/>
      <c r="AD72" t="inlineStr"/>
      <c r="AE72" t="inlineStr"/>
      <c r="AF72" t="inlineStr">
        <is>
          <t>unknown</t>
        </is>
      </c>
      <c r="AG72" t="inlineStr"/>
      <c r="AH72" t="inlineStr">
        <is>
          <t>loading dock</t>
        </is>
      </c>
      <c r="AI72" t="inlineStr">
        <is>
          <t>near-miss-over-500</t>
        </is>
      </c>
      <c r="AJ72" t="inlineStr">
        <is>
          <t>signed-not-occupied</t>
        </is>
      </c>
      <c r="AK72" t="inlineStr">
        <is>
          <t>unknown</t>
        </is>
      </c>
      <c r="AL72" t="inlineStr">
        <is>
          <t>2026-10-23</t>
        </is>
      </c>
      <c r="AM72" s="3" t="inlineStr"/>
      <c r="AN72" t="inlineStr">
        <is>
          <t>leasing-press</t>
        </is>
      </c>
      <c r="AO72" t="inlineStr">
        <is>
          <t>2026-08-05</t>
        </is>
      </c>
      <c r="AP72" t="inlineStr">
        <is>
          <t>no-coworking-in-building</t>
        </is>
      </c>
      <c r="AQ72" t="inlineStr">
        <is>
          <t>1008547501</t>
        </is>
      </c>
      <c r="AR72" t="n">
        <v>0</v>
      </c>
      <c r="AS72" t="inlineStr">
        <is>
          <t>98,420 sf</t>
        </is>
      </c>
      <c r="AT72" t="inlineStr">
        <is>
          <t>S3</t>
        </is>
      </c>
      <c r="AU72" s="3" t="inlineStr">
        <is>
          <t>over-1,000 (1,001 to 4,999): over 500 company-wide (1,100; the count quoted in this row's notes)</t>
        </is>
      </c>
      <c r="AV72" t="inlineStr">
        <is>
          <t>over-1,000 (1,001 to 4,999)</t>
        </is>
      </c>
      <c r="AW72" t="inlineStr">
        <is>
          <t>1100</t>
        </is>
      </c>
      <c r="AX72" t="inlineStr">
        <is>
          <t>N</t>
        </is>
      </c>
    </row>
    <row r="73">
      <c r="A73" t="inlineStr">
        <is>
          <t>B-C-243</t>
        </is>
      </c>
      <c r="B73" t="inlineStr">
        <is>
          <t>Pinterest</t>
        </is>
      </c>
      <c r="C73" s="2" t="inlineStr">
        <is>
          <t>https://www.pinterest.com/</t>
        </is>
      </c>
      <c r="D73" t="inlineStr">
        <is>
          <t>Social media / technology</t>
        </is>
      </c>
      <c r="E73" t="inlineStr">
        <is>
          <t>B-B-052</t>
        </is>
      </c>
      <c r="F73" t="inlineStr">
        <is>
          <t>11 Madison Avenue</t>
        </is>
      </c>
      <c r="G73" t="inlineStr">
        <is>
          <t>13</t>
        </is>
      </c>
      <c r="H73" t="inlineStr">
        <is>
          <t>10010</t>
        </is>
      </c>
      <c r="I73" t="n">
        <v>40.741761</v>
      </c>
      <c r="J73" t="n">
        <v>-73.987033</v>
      </c>
      <c r="K73" t="inlineStr">
        <is>
          <t>Y</t>
        </is>
      </c>
      <c r="L73" t="inlineStr">
        <is>
          <t>over-500</t>
        </is>
      </c>
      <c r="M73" t="inlineStr">
        <is>
          <t>whole-company</t>
        </is>
      </c>
      <c r="N73" s="2" t="inlineStr">
        <is>
          <t>https://en.wikipedia.org/wiki/Pinterest</t>
        </is>
      </c>
      <c r="O73" s="2" t="inlineStr">
        <is>
          <t>https://commercialobserver.com/2026/07/ai-firm-legora-takes-98k-sl-greens-11-madison-avenue/</t>
        </is>
      </c>
      <c r="P73" t="inlineStr">
        <is>
          <t>2026-07-23</t>
        </is>
      </c>
      <c r="Q73" s="2" t="inlineStr">
        <is>
          <t>https://slgreen.com/?p=12833</t>
        </is>
      </c>
      <c r="R73" t="inlineStr">
        <is>
          <t>high</t>
        </is>
      </c>
      <c r="S73" t="inlineStr">
        <is>
          <t>N</t>
        </is>
      </c>
      <c r="T73" t="inlineStr"/>
      <c r="U73" t="inlineStr"/>
      <c r="V73" s="3" t="inlineStr">
        <is>
          <t>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3" t="inlineStr">
        <is>
          <t>2026-10-23</t>
        </is>
      </c>
      <c r="X73" t="inlineStr">
        <is>
          <t>unknown</t>
        </is>
      </c>
      <c r="Y73" t="inlineStr">
        <is>
          <t>unknown</t>
        </is>
      </c>
      <c r="Z73" t="inlineStr"/>
      <c r="AA73" t="inlineStr"/>
      <c r="AB73" t="inlineStr">
        <is>
          <t>single-source</t>
        </is>
      </c>
      <c r="AC73" t="inlineStr"/>
      <c r="AD73" t="inlineStr"/>
      <c r="AE73" t="inlineStr"/>
      <c r="AF73" t="inlineStr">
        <is>
          <t>unknown</t>
        </is>
      </c>
      <c r="AG73" t="inlineStr"/>
      <c r="AH73" t="inlineStr">
        <is>
          <t>loading dock</t>
        </is>
      </c>
      <c r="AI73" t="inlineStr">
        <is>
          <t>near-miss-over-500</t>
        </is>
      </c>
      <c r="AJ73" t="inlineStr">
        <is>
          <t>signed-not-occupied</t>
        </is>
      </c>
      <c r="AK73" t="inlineStr">
        <is>
          <t>unknown</t>
        </is>
      </c>
      <c r="AL73" t="inlineStr">
        <is>
          <t>2026-10-23</t>
        </is>
      </c>
      <c r="AM73" s="3" t="inlineStr"/>
      <c r="AN73" t="inlineStr">
        <is>
          <t>leasing-press</t>
        </is>
      </c>
      <c r="AO73" t="inlineStr">
        <is>
          <t>2026-07-22</t>
        </is>
      </c>
      <c r="AP73" t="inlineStr">
        <is>
          <t>no-coworking-in-building</t>
        </is>
      </c>
      <c r="AQ73" t="inlineStr">
        <is>
          <t>1008547501</t>
        </is>
      </c>
      <c r="AR73" t="n">
        <v>0</v>
      </c>
      <c r="AS73" t="inlineStr">
        <is>
          <t>83,000 sf</t>
        </is>
      </c>
      <c r="AT73" t="inlineStr">
        <is>
          <t>S3</t>
        </is>
      </c>
      <c r="AU73" s="3" t="inlineStr">
        <is>
          <t>over-1,000 (1,001 to 4,999): over 500 company-wide (4,666; the count quoted in this row's notes)</t>
        </is>
      </c>
      <c r="AV73" t="inlineStr">
        <is>
          <t>over-1,000 (1,001 to 4,999)</t>
        </is>
      </c>
      <c r="AW73" t="inlineStr">
        <is>
          <t>4666</t>
        </is>
      </c>
      <c r="AX73" t="inlineStr">
        <is>
          <t>N</t>
        </is>
      </c>
    </row>
    <row r="74">
      <c r="A74" t="inlineStr">
        <is>
          <t>B-C-244</t>
        </is>
      </c>
      <c r="B74" t="inlineStr">
        <is>
          <t>Sony Music Entertainment</t>
        </is>
      </c>
      <c r="C74" s="2" t="inlineStr">
        <is>
          <t>https://www.sonymusic.com/</t>
        </is>
      </c>
      <c r="D74" t="inlineStr">
        <is>
          <t>Music / media</t>
        </is>
      </c>
      <c r="E74" t="inlineStr">
        <is>
          <t>B-B-052</t>
        </is>
      </c>
      <c r="F74" t="inlineStr">
        <is>
          <t>11 Madison Avenue</t>
        </is>
      </c>
      <c r="G74" t="inlineStr">
        <is>
          <t>unknown</t>
        </is>
      </c>
      <c r="H74" t="inlineStr">
        <is>
          <t>10010</t>
        </is>
      </c>
      <c r="I74" t="n">
        <v>40.741761</v>
      </c>
      <c r="J74" t="n">
        <v>-73.987033</v>
      </c>
      <c r="K74" t="inlineStr">
        <is>
          <t>Y</t>
        </is>
      </c>
      <c r="L74" t="inlineStr">
        <is>
          <t>over-500</t>
        </is>
      </c>
      <c r="M74" t="inlineStr">
        <is>
          <t>whole-company</t>
        </is>
      </c>
      <c r="N74" s="2" t="inlineStr">
        <is>
          <t>https://en.wikipedia.org/wiki/Sony_Music</t>
        </is>
      </c>
      <c r="O74" s="2" t="inlineStr">
        <is>
          <t>https://slgreen.com/?p=12833</t>
        </is>
      </c>
      <c r="P74" t="inlineStr">
        <is>
          <t>2026-07-22</t>
        </is>
      </c>
      <c r="Q74" s="2" t="inlineStr">
        <is>
          <t>https://en.wikipedia.org/wiki/Sony_Music</t>
        </is>
      </c>
      <c r="R74" t="inlineStr">
        <is>
          <t>high</t>
        </is>
      </c>
      <c r="S74" t="inlineStr">
        <is>
          <t>N</t>
        </is>
      </c>
      <c r="T74" t="inlineStr"/>
      <c r="U74" t="inlineStr"/>
      <c r="V74" s="3" t="inlineStr">
        <is>
          <t>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4" t="inlineStr">
        <is>
          <t>2026-10-23</t>
        </is>
      </c>
      <c r="X74" t="inlineStr">
        <is>
          <t>unknown</t>
        </is>
      </c>
      <c r="Y74" t="inlineStr">
        <is>
          <t>unknown</t>
        </is>
      </c>
      <c r="Z74" t="inlineStr"/>
      <c r="AA74" t="inlineStr"/>
      <c r="AB74" t="inlineStr">
        <is>
          <t>single-source</t>
        </is>
      </c>
      <c r="AC74" t="inlineStr"/>
      <c r="AD74" t="inlineStr"/>
      <c r="AE74" t="inlineStr"/>
      <c r="AF74" t="inlineStr">
        <is>
          <t>unknown</t>
        </is>
      </c>
      <c r="AG74" t="inlineStr"/>
      <c r="AH74" t="inlineStr">
        <is>
          <t>loading dock</t>
        </is>
      </c>
      <c r="AI74" t="inlineStr">
        <is>
          <t>near-miss-over-500</t>
        </is>
      </c>
      <c r="AJ74" t="inlineStr">
        <is>
          <t>occupied</t>
        </is>
      </c>
      <c r="AK74" t="inlineStr"/>
      <c r="AL74" t="inlineStr">
        <is>
          <t>2026-10-23</t>
        </is>
      </c>
      <c r="AM74" s="3" t="inlineStr"/>
      <c r="AN74" t="inlineStr">
        <is>
          <t>press-release</t>
        </is>
      </c>
      <c r="AO74" t="inlineStr">
        <is>
          <t>2026-10-23</t>
        </is>
      </c>
      <c r="AP74" t="inlineStr">
        <is>
          <t>no-coworking-in-building</t>
        </is>
      </c>
      <c r="AQ74" t="inlineStr">
        <is>
          <t>1008547501</t>
        </is>
      </c>
      <c r="AR74" t="n">
        <v>0</v>
      </c>
      <c r="AS74" t="inlineStr"/>
      <c r="AT74" t="inlineStr">
        <is>
          <t>S3</t>
        </is>
      </c>
      <c r="AU74" s="3" t="inlineStr">
        <is>
          <t>not-near (5,000 or more): over 500 company-wide (11,100; the count quoted in this row's notes)</t>
        </is>
      </c>
      <c r="AV74" t="inlineStr">
        <is>
          <t>not-near (5,000 or more)</t>
        </is>
      </c>
      <c r="AW74" t="inlineStr">
        <is>
          <t>11100</t>
        </is>
      </c>
      <c r="AX74" t="inlineStr">
        <is>
          <t>N</t>
        </is>
      </c>
    </row>
    <row r="75">
      <c r="A75" t="inlineStr">
        <is>
          <t>B-C-245</t>
        </is>
      </c>
      <c r="B75" t="inlineStr">
        <is>
          <t>Suntory Global Spirits (Jim Beam Brands)</t>
        </is>
      </c>
      <c r="C75" s="2" t="inlineStr">
        <is>
          <t>https://www.suntoryglobalspirits.com/</t>
        </is>
      </c>
      <c r="D75" t="inlineStr">
        <is>
          <t>Consumer brand (spirits)</t>
        </is>
      </c>
      <c r="E75" t="inlineStr">
        <is>
          <t>B-B-052</t>
        </is>
      </c>
      <c r="F75" t="inlineStr">
        <is>
          <t>11 Madison Avenue</t>
        </is>
      </c>
      <c r="G75" t="inlineStr">
        <is>
          <t>unknown</t>
        </is>
      </c>
      <c r="H75" t="inlineStr">
        <is>
          <t>10010</t>
        </is>
      </c>
      <c r="I75" t="n">
        <v>40.741761</v>
      </c>
      <c r="J75" t="n">
        <v>-73.987033</v>
      </c>
      <c r="K75" t="inlineStr">
        <is>
          <t>Y</t>
        </is>
      </c>
      <c r="L75" t="inlineStr">
        <is>
          <t>over-500</t>
        </is>
      </c>
      <c r="M75" t="inlineStr">
        <is>
          <t>whole-company</t>
        </is>
      </c>
      <c r="N75" s="2" t="inlineStr">
        <is>
          <t>https://en.wikipedia.org/wiki/Suntory_Global_Spirits</t>
        </is>
      </c>
      <c r="O75" s="2" t="inlineStr">
        <is>
          <t>https://slgreen.com/?p=12833</t>
        </is>
      </c>
      <c r="P75" t="inlineStr">
        <is>
          <t>2026-07-22</t>
        </is>
      </c>
      <c r="Q75" s="2" t="inlineStr">
        <is>
          <t>https://commercialobserver.com/2026/07/ai-firm-legora-takes-98k-sl-greens-11-madison-avenue/</t>
        </is>
      </c>
      <c r="R75" t="inlineStr">
        <is>
          <t>high</t>
        </is>
      </c>
      <c r="S75" t="inlineStr">
        <is>
          <t>N</t>
        </is>
      </c>
      <c r="T75" t="inlineStr"/>
      <c r="U75" t="inlineStr"/>
      <c r="V75" s="3" t="inlineStr">
        <is>
          <t>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5" t="inlineStr">
        <is>
          <t>2026-10-23</t>
        </is>
      </c>
      <c r="X75" t="inlineStr">
        <is>
          <t>unknown</t>
        </is>
      </c>
      <c r="Y75" t="inlineStr">
        <is>
          <t>unknown</t>
        </is>
      </c>
      <c r="Z75" t="inlineStr"/>
      <c r="AA75" t="inlineStr"/>
      <c r="AB75" t="inlineStr">
        <is>
          <t>single-source</t>
        </is>
      </c>
      <c r="AC75" t="inlineStr"/>
      <c r="AD75" t="inlineStr"/>
      <c r="AE75" t="inlineStr"/>
      <c r="AF75" t="inlineStr">
        <is>
          <t>unknown</t>
        </is>
      </c>
      <c r="AG75" t="inlineStr"/>
      <c r="AH75" t="inlineStr">
        <is>
          <t>loading dock</t>
        </is>
      </c>
      <c r="AI75" t="inlineStr">
        <is>
          <t>near-miss-over-500</t>
        </is>
      </c>
      <c r="AJ75" t="inlineStr">
        <is>
          <t>occupied</t>
        </is>
      </c>
      <c r="AK75" t="inlineStr"/>
      <c r="AL75" t="inlineStr">
        <is>
          <t>2026-10-23</t>
        </is>
      </c>
      <c r="AM75" s="3" t="inlineStr"/>
      <c r="AN75" t="inlineStr">
        <is>
          <t>press-release</t>
        </is>
      </c>
      <c r="AO75" t="inlineStr">
        <is>
          <t>2026-07-23</t>
        </is>
      </c>
      <c r="AP75" t="inlineStr">
        <is>
          <t>no-coworking-in-building</t>
        </is>
      </c>
      <c r="AQ75" t="inlineStr">
        <is>
          <t>1008547501</t>
        </is>
      </c>
      <c r="AR75" t="n">
        <v>0</v>
      </c>
      <c r="AS75" t="inlineStr">
        <is>
          <t>100,000 sf</t>
        </is>
      </c>
      <c r="AT75" t="inlineStr">
        <is>
          <t>S3</t>
        </is>
      </c>
      <c r="AU75" s="3" t="inlineStr">
        <is>
          <t>not-near (5,000 or more): over 500 company-wide (6,000; the count quoted in this row's notes)</t>
        </is>
      </c>
      <c r="AV75" t="inlineStr">
        <is>
          <t>not-near (5,000 or more)</t>
        </is>
      </c>
      <c r="AW75" t="inlineStr">
        <is>
          <t>6000</t>
        </is>
      </c>
      <c r="AX75" t="inlineStr">
        <is>
          <t>N</t>
        </is>
      </c>
    </row>
    <row r="76">
      <c r="A76" t="inlineStr">
        <is>
          <t>B-C-246</t>
        </is>
      </c>
      <c r="B76" t="inlineStr">
        <is>
          <t>Tempus AI</t>
        </is>
      </c>
      <c r="C76" s="2" t="inlineStr">
        <is>
          <t>https://www.tempus.com/</t>
        </is>
      </c>
      <c r="D76" t="inlineStr">
        <is>
          <t>Healthcare technology / AI</t>
        </is>
      </c>
      <c r="E76" t="inlineStr">
        <is>
          <t>B-B-052</t>
        </is>
      </c>
      <c r="F76" t="inlineStr">
        <is>
          <t>11 Madison Avenue</t>
        </is>
      </c>
      <c r="G76" t="inlineStr">
        <is>
          <t>unknown</t>
        </is>
      </c>
      <c r="H76" t="inlineStr">
        <is>
          <t>10010</t>
        </is>
      </c>
      <c r="I76" t="n">
        <v>40.741761</v>
      </c>
      <c r="J76" t="n">
        <v>-73.987033</v>
      </c>
      <c r="K76" t="inlineStr">
        <is>
          <t>Y</t>
        </is>
      </c>
      <c r="L76" t="inlineStr">
        <is>
          <t>over-500</t>
        </is>
      </c>
      <c r="M76" t="inlineStr">
        <is>
          <t>whole-company</t>
        </is>
      </c>
      <c r="N76" s="2" t="inlineStr">
        <is>
          <t>https://en.wikipedia.org/wiki/Tempus_AI</t>
        </is>
      </c>
      <c r="O76" s="2" t="inlineStr">
        <is>
          <t>https://commercialobserver.com/2026/03/clay-ai-lease-sl-green-11-madison-avenue/</t>
        </is>
      </c>
      <c r="P76" t="inlineStr">
        <is>
          <t>2026-03-09</t>
        </is>
      </c>
      <c r="Q76" s="2" t="inlineStr">
        <is>
          <t>https://commercialobserver.com/2026/07/ai-firm-legora-takes-98k-sl-greens-11-madison-avenue/</t>
        </is>
      </c>
      <c r="R76" t="inlineStr">
        <is>
          <t>medium</t>
        </is>
      </c>
      <c r="S76" t="inlineStr">
        <is>
          <t>N</t>
        </is>
      </c>
      <c r="T76" t="inlineStr"/>
      <c r="U76" t="inlineStr"/>
      <c r="V76" s="3" t="inlineStr">
        <is>
          <t>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6" t="inlineStr">
        <is>
          <t>2026-10-23</t>
        </is>
      </c>
      <c r="X76" t="inlineStr">
        <is>
          <t>unknown</t>
        </is>
      </c>
      <c r="Y76" t="inlineStr">
        <is>
          <t>unknown</t>
        </is>
      </c>
      <c r="Z76" t="inlineStr"/>
      <c r="AA76" t="inlineStr"/>
      <c r="AB76" t="inlineStr">
        <is>
          <t>single-source</t>
        </is>
      </c>
      <c r="AC76" t="inlineStr"/>
      <c r="AD76" t="inlineStr"/>
      <c r="AE76" t="inlineStr"/>
      <c r="AF76" t="inlineStr">
        <is>
          <t>unknown</t>
        </is>
      </c>
      <c r="AG76" t="inlineStr"/>
      <c r="AH76" t="inlineStr">
        <is>
          <t>loading dock</t>
        </is>
      </c>
      <c r="AI76" t="inlineStr">
        <is>
          <t>near-miss-over-500</t>
        </is>
      </c>
      <c r="AJ76" t="inlineStr">
        <is>
          <t>occupancy-unconfirmed</t>
        </is>
      </c>
      <c r="AK76" t="inlineStr"/>
      <c r="AL76" t="inlineStr">
        <is>
          <t>2026-10-23</t>
        </is>
      </c>
      <c r="AM76" s="3" t="inlineStr"/>
      <c r="AN76" t="inlineStr">
        <is>
          <t>leasing-press</t>
        </is>
      </c>
      <c r="AO76" t="inlineStr">
        <is>
          <t>2026-07-23</t>
        </is>
      </c>
      <c r="AP76" t="inlineStr">
        <is>
          <t>no-coworking-in-building</t>
        </is>
      </c>
      <c r="AQ76" t="inlineStr">
        <is>
          <t>1008547501</t>
        </is>
      </c>
      <c r="AR76" t="n">
        <v>0</v>
      </c>
      <c r="AS76" t="inlineStr">
        <is>
          <t>39,565 sf</t>
        </is>
      </c>
      <c r="AT76" t="inlineStr">
        <is>
          <t>S3</t>
        </is>
      </c>
      <c r="AU76" s="3" t="inlineStr">
        <is>
          <t>over-1,000 (1,001 to 4,999): over 500 company-wide (2,300; the count quoted in this row's notes)</t>
        </is>
      </c>
      <c r="AV76" t="inlineStr">
        <is>
          <t>over-1,000 (1,001 to 4,999)</t>
        </is>
      </c>
      <c r="AW76" t="inlineStr">
        <is>
          <t>2300</t>
        </is>
      </c>
      <c r="AX76" t="inlineStr">
        <is>
          <t>N</t>
        </is>
      </c>
    </row>
    <row r="77">
      <c r="A77" t="inlineStr">
        <is>
          <t>B-C-247</t>
        </is>
      </c>
      <c r="B77" t="inlineStr">
        <is>
          <t>UBS</t>
        </is>
      </c>
      <c r="C77" s="2" t="inlineStr">
        <is>
          <t>https://www.ubs.com/</t>
        </is>
      </c>
      <c r="D77" t="inlineStr">
        <is>
          <t>Banking / financial services</t>
        </is>
      </c>
      <c r="E77" t="inlineStr">
        <is>
          <t>B-B-052</t>
        </is>
      </c>
      <c r="F77" t="inlineStr">
        <is>
          <t>11 Madison Avenue</t>
        </is>
      </c>
      <c r="G77" t="inlineStr">
        <is>
          <t>unknown</t>
        </is>
      </c>
      <c r="H77" t="inlineStr">
        <is>
          <t>10010</t>
        </is>
      </c>
      <c r="I77" t="n">
        <v>40.741761</v>
      </c>
      <c r="J77" t="n">
        <v>-73.987033</v>
      </c>
      <c r="K77" t="inlineStr">
        <is>
          <t>Y</t>
        </is>
      </c>
      <c r="L77" t="inlineStr">
        <is>
          <t>over-500</t>
        </is>
      </c>
      <c r="M77" t="inlineStr">
        <is>
          <t>whole-company</t>
        </is>
      </c>
      <c r="N77" s="2" t="inlineStr">
        <is>
          <t>https://en.wikipedia.org/wiki/UBS</t>
        </is>
      </c>
      <c r="O77" s="2" t="inlineStr">
        <is>
          <t>https://slgreen.com/?p=12833</t>
        </is>
      </c>
      <c r="P77" t="inlineStr">
        <is>
          <t>2026-07-22</t>
        </is>
      </c>
      <c r="Q77" s="2" t="inlineStr">
        <is>
          <t>https://commercialobserver.com/2026/07/ai-firm-legora-takes-98k-sl-greens-11-madison-avenue/</t>
        </is>
      </c>
      <c r="R77" t="inlineStr">
        <is>
          <t>high</t>
        </is>
      </c>
      <c r="S77" t="inlineStr">
        <is>
          <t>N</t>
        </is>
      </c>
      <c r="T77" t="inlineStr"/>
      <c r="U77" t="inlineStr"/>
      <c r="V77" s="3" t="inlineStr">
        <is>
          <t>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7" t="inlineStr">
        <is>
          <t>2026-10-23</t>
        </is>
      </c>
      <c r="X77" t="inlineStr">
        <is>
          <t>unknown</t>
        </is>
      </c>
      <c r="Y77" t="inlineStr">
        <is>
          <t>unknown</t>
        </is>
      </c>
      <c r="Z77" t="inlineStr"/>
      <c r="AA77" t="inlineStr"/>
      <c r="AB77" t="inlineStr">
        <is>
          <t>single-source</t>
        </is>
      </c>
      <c r="AC77" t="inlineStr"/>
      <c r="AD77" t="inlineStr"/>
      <c r="AE77" t="inlineStr"/>
      <c r="AF77" t="inlineStr">
        <is>
          <t>unknown</t>
        </is>
      </c>
      <c r="AG77" t="inlineStr"/>
      <c r="AH77" t="inlineStr">
        <is>
          <t>loading dock</t>
        </is>
      </c>
      <c r="AI77" t="inlineStr">
        <is>
          <t>near-miss-over-500</t>
        </is>
      </c>
      <c r="AJ77" t="inlineStr">
        <is>
          <t>occupied</t>
        </is>
      </c>
      <c r="AK77" t="inlineStr"/>
      <c r="AL77" t="inlineStr">
        <is>
          <t>2026-10-23</t>
        </is>
      </c>
      <c r="AM77" s="3" t="inlineStr"/>
      <c r="AN77" t="inlineStr">
        <is>
          <t>press-release</t>
        </is>
      </c>
      <c r="AO77" t="inlineStr">
        <is>
          <t>2026-07-23</t>
        </is>
      </c>
      <c r="AP77" t="inlineStr">
        <is>
          <t>no-coworking-in-building</t>
        </is>
      </c>
      <c r="AQ77" t="inlineStr">
        <is>
          <t>1008547501</t>
        </is>
      </c>
      <c r="AR77" t="n">
        <v>0</v>
      </c>
      <c r="AS77" t="inlineStr"/>
      <c r="AT77" t="inlineStr">
        <is>
          <t>S3</t>
        </is>
      </c>
      <c r="AU77" s="3" t="inlineStr">
        <is>
          <t>not-near (5,000 or more): over 500 company-wide (105,236; the count quoted in this row's notes)</t>
        </is>
      </c>
      <c r="AV77" t="inlineStr">
        <is>
          <t>not-near (5,000 or more)</t>
        </is>
      </c>
      <c r="AW77" t="inlineStr">
        <is>
          <t>105236</t>
        </is>
      </c>
      <c r="AX77" t="inlineStr">
        <is>
          <t>N</t>
        </is>
      </c>
    </row>
    <row r="78">
      <c r="A78" t="inlineStr">
        <is>
          <t>B-C-248</t>
        </is>
      </c>
      <c r="B78" t="inlineStr">
        <is>
          <t>WME</t>
        </is>
      </c>
      <c r="C78" s="2" t="inlineStr">
        <is>
          <t>https://www.wmeagency.com/</t>
        </is>
      </c>
      <c r="D78" t="inlineStr">
        <is>
          <t>Talent agency / entertainment</t>
        </is>
      </c>
      <c r="E78" t="inlineStr">
        <is>
          <t>B-B-052</t>
        </is>
      </c>
      <c r="F78" t="inlineStr">
        <is>
          <t>11 Madison Avenue</t>
        </is>
      </c>
      <c r="G78" t="inlineStr">
        <is>
          <t>unknown</t>
        </is>
      </c>
      <c r="H78" t="inlineStr">
        <is>
          <t>10010</t>
        </is>
      </c>
      <c r="I78" t="n">
        <v>40.741761</v>
      </c>
      <c r="J78" t="n">
        <v>-73.987033</v>
      </c>
      <c r="K78" t="inlineStr">
        <is>
          <t>Y</t>
        </is>
      </c>
      <c r="L78" t="inlineStr">
        <is>
          <t>over-500</t>
        </is>
      </c>
      <c r="M78" t="inlineStr">
        <is>
          <t>whole-company</t>
        </is>
      </c>
      <c r="N78" s="2" t="inlineStr">
        <is>
          <t>https://en.wikipedia.org/wiki/William_Morris_Endeavor</t>
        </is>
      </c>
      <c r="O78" s="2" t="inlineStr">
        <is>
          <t>https://slgreen.com/?p=12833</t>
        </is>
      </c>
      <c r="P78" t="inlineStr">
        <is>
          <t>2026-07-22</t>
        </is>
      </c>
      <c r="Q78" s="2" t="inlineStr">
        <is>
          <t>https://commercialobserver.com/2026/07/ai-firm-legora-takes-98k-sl-greens-11-madison-avenue/</t>
        </is>
      </c>
      <c r="R78" t="inlineStr">
        <is>
          <t>high</t>
        </is>
      </c>
      <c r="S78" t="inlineStr">
        <is>
          <t>N</t>
        </is>
      </c>
      <c r="T78" t="inlineStr"/>
      <c r="U78" t="inlineStr"/>
      <c r="V78" s="3" t="inlineStr">
        <is>
          <t>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W78" t="inlineStr">
        <is>
          <t>2026-10-23</t>
        </is>
      </c>
      <c r="X78" t="inlineStr">
        <is>
          <t>unknown</t>
        </is>
      </c>
      <c r="Y78" t="inlineStr">
        <is>
          <t>unknown</t>
        </is>
      </c>
      <c r="Z78" t="inlineStr"/>
      <c r="AA78" t="inlineStr"/>
      <c r="AB78" t="inlineStr">
        <is>
          <t>single-source</t>
        </is>
      </c>
      <c r="AC78" t="inlineStr"/>
      <c r="AD78" t="inlineStr"/>
      <c r="AE78" t="inlineStr"/>
      <c r="AF78" t="inlineStr">
        <is>
          <t>unknown</t>
        </is>
      </c>
      <c r="AG78" t="inlineStr"/>
      <c r="AH78" t="inlineStr">
        <is>
          <t>loading dock</t>
        </is>
      </c>
      <c r="AI78" t="inlineStr">
        <is>
          <t>near-miss-over-500</t>
        </is>
      </c>
      <c r="AJ78" t="inlineStr">
        <is>
          <t>occupied</t>
        </is>
      </c>
      <c r="AK78" t="inlineStr"/>
      <c r="AL78" t="inlineStr">
        <is>
          <t>2026-10-23</t>
        </is>
      </c>
      <c r="AM78" s="3" t="inlineStr"/>
      <c r="AN78" t="inlineStr">
        <is>
          <t>press-release</t>
        </is>
      </c>
      <c r="AO78" t="inlineStr">
        <is>
          <t>2026-07-23</t>
        </is>
      </c>
      <c r="AP78" t="inlineStr">
        <is>
          <t>no-coworking-in-building</t>
        </is>
      </c>
      <c r="AQ78" t="inlineStr">
        <is>
          <t>1008547501</t>
        </is>
      </c>
      <c r="AR78" t="n">
        <v>0</v>
      </c>
      <c r="AS78" t="inlineStr"/>
      <c r="AT78" t="inlineStr">
        <is>
          <t>S3</t>
        </is>
      </c>
      <c r="AU78" s="3" t="inlineStr">
        <is>
          <t>not-near (5,000 or more): over 500 company-wide (10,000; the count quoted in this row's notes)</t>
        </is>
      </c>
      <c r="AV78" t="inlineStr">
        <is>
          <t>not-near (5,000 or more)</t>
        </is>
      </c>
      <c r="AW78" t="inlineStr">
        <is>
          <t>10000</t>
        </is>
      </c>
      <c r="AX78" t="inlineStr">
        <is>
          <t>N</t>
        </is>
      </c>
    </row>
    <row r="79">
      <c r="A79" t="inlineStr">
        <is>
          <t>B-C-249</t>
        </is>
      </c>
      <c r="B79" t="inlineStr">
        <is>
          <t>Persona</t>
        </is>
      </c>
      <c r="C79" s="2" t="inlineStr">
        <is>
          <t>https://withpersona.com/</t>
        </is>
      </c>
      <c r="D79" t="inlineStr">
        <is>
          <t>Software (identity verification)</t>
        </is>
      </c>
      <c r="E79" t="inlineStr"/>
      <c r="F79" t="inlineStr">
        <is>
          <t>41 West 25th Street</t>
        </is>
      </c>
      <c r="G79" t="inlineStr">
        <is>
          <t>2</t>
        </is>
      </c>
      <c r="H79" t="inlineStr">
        <is>
          <t>10010</t>
        </is>
      </c>
      <c r="I79" t="n">
        <v>40.743977</v>
      </c>
      <c r="J79" t="n">
        <v>-73.99079</v>
      </c>
      <c r="K79" t="inlineStr">
        <is>
          <t>Y</t>
        </is>
      </c>
      <c r="L79" t="inlineStr">
        <is>
          <t>over-500</t>
        </is>
      </c>
      <c r="M79" t="inlineStr">
        <is>
          <t>whole-company</t>
        </is>
      </c>
      <c r="N79" s="2" t="inlineStr">
        <is>
          <t>https://www.builtinnyc.com/company/persona/offices</t>
        </is>
      </c>
      <c r="O79" s="2" t="inlineStr">
        <is>
          <t>https://www.builtinnyc.com/company/persona/offices</t>
        </is>
      </c>
      <c r="P79" t="inlineStr">
        <is>
          <t>2026-10-24</t>
        </is>
      </c>
      <c r="Q79" t="inlineStr"/>
      <c r="R79" t="inlineStr">
        <is>
          <t>low</t>
        </is>
      </c>
      <c r="S79" t="inlineStr">
        <is>
          <t>N</t>
        </is>
      </c>
      <c r="T79" t="inlineStr"/>
      <c r="U79" t="inlineStr"/>
      <c r="V79" s="3" t="inlineStr">
        <is>
          <t>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is>
      </c>
      <c r="W79" t="inlineStr">
        <is>
          <t>2026-10-23</t>
        </is>
      </c>
      <c r="X79" t="inlineStr">
        <is>
          <t>San Francisco</t>
        </is>
      </c>
      <c r="Y79" t="inlineStr">
        <is>
          <t>N</t>
        </is>
      </c>
      <c r="Z79" t="inlineStr">
        <is>
          <t>https://www.builtinnyc.com/company/persona/offices</t>
        </is>
      </c>
      <c r="AA79" t="inlineStr"/>
      <c r="AB79" t="inlineStr">
        <is>
          <t>single-source</t>
        </is>
      </c>
      <c r="AC79" t="inlineStr"/>
      <c r="AD79" t="inlineStr"/>
      <c r="AE79" t="inlineStr"/>
      <c r="AF79" t="inlineStr">
        <is>
          <t>unknown</t>
        </is>
      </c>
      <c r="AG79" t="inlineStr"/>
      <c r="AH79" t="inlineStr">
        <is>
          <t>unknown</t>
        </is>
      </c>
      <c r="AI79" t="inlineStr">
        <is>
          <t>near-miss-over-500</t>
        </is>
      </c>
      <c r="AJ79" t="inlineStr">
        <is>
          <t>occupancy-unconfirmed</t>
        </is>
      </c>
      <c r="AK79" t="inlineStr"/>
      <c r="AL79" t="inlineStr">
        <is>
          <t>2026-10-24</t>
        </is>
      </c>
      <c r="AM79" s="3" t="inlineStr"/>
      <c r="AN79" t="inlineStr">
        <is>
          <t>builtin</t>
        </is>
      </c>
      <c r="AO79" t="inlineStr"/>
      <c r="AP79" t="inlineStr">
        <is>
          <t>no-coworking-in-building</t>
        </is>
      </c>
      <c r="AQ79" t="inlineStr">
        <is>
          <t>1008270012</t>
        </is>
      </c>
      <c r="AR79" t="n">
        <v>0</v>
      </c>
      <c r="AS79" t="inlineStr"/>
      <c r="AT79" t="inlineStr">
        <is>
          <t>S3</t>
        </is>
      </c>
      <c r="AU79" s="3" t="inlineStr">
        <is>
          <t>just-over-500 (501 to 1,000): over 500 company-wide (600; the count quoted in this row's notes)</t>
        </is>
      </c>
      <c r="AV79" t="inlineStr">
        <is>
          <t>just-over-500 (501 to 1,000)</t>
        </is>
      </c>
      <c r="AW79" t="inlineStr">
        <is>
          <t>600</t>
        </is>
      </c>
      <c r="AX79" t="inlineStr">
        <is>
          <t>N</t>
        </is>
      </c>
    </row>
    <row r="80">
      <c r="A80" t="inlineStr">
        <is>
          <t>B-C-250</t>
        </is>
      </c>
      <c r="B80" t="inlineStr">
        <is>
          <t>Mphasis</t>
        </is>
      </c>
      <c r="C80" s="2" t="inlineStr">
        <is>
          <t>https://www.mphasis.com</t>
        </is>
      </c>
      <c r="D80" t="inlineStr">
        <is>
          <t>IT services</t>
        </is>
      </c>
      <c r="E80" t="inlineStr">
        <is>
          <t>B-B-057</t>
        </is>
      </c>
      <c r="F80" t="inlineStr">
        <is>
          <t>41 Madison Avenue</t>
        </is>
      </c>
      <c r="G80" t="inlineStr">
        <is>
          <t>35-36</t>
        </is>
      </c>
      <c r="H80" t="inlineStr">
        <is>
          <t>10010</t>
        </is>
      </c>
      <c r="I80" t="n">
        <v>40.742477</v>
      </c>
      <c r="J80" t="n">
        <v>-73.986608</v>
      </c>
      <c r="K80" t="inlineStr">
        <is>
          <t>Y</t>
        </is>
      </c>
      <c r="L80" t="inlineStr">
        <is>
          <t>over-500</t>
        </is>
      </c>
      <c r="M80" t="inlineStr">
        <is>
          <t>whole-company</t>
        </is>
      </c>
      <c r="N80" s="2" t="inlineStr">
        <is>
          <t>https://www.builtinnyc.com/company/mphasis/offices</t>
        </is>
      </c>
      <c r="O80" s="2" t="inlineStr">
        <is>
          <t>https://commercialobserver.com/2026/10/mphasis-lease-expansion-rudin-41-madison-avenue/</t>
        </is>
      </c>
      <c r="P80" t="inlineStr">
        <is>
          <t>2026-10-22</t>
        </is>
      </c>
      <c r="Q80" t="inlineStr"/>
      <c r="R80" t="inlineStr">
        <is>
          <t>medium</t>
        </is>
      </c>
      <c r="S80" t="inlineStr">
        <is>
          <t>N</t>
        </is>
      </c>
      <c r="T80" t="inlineStr"/>
      <c r="U80" t="inlineStr"/>
      <c r="V80" s="3" t="inlineStr">
        <is>
          <t>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is>
      </c>
      <c r="W80" t="inlineStr">
        <is>
          <t>2026-10-23</t>
        </is>
      </c>
      <c r="X80" t="inlineStr">
        <is>
          <t>unknown</t>
        </is>
      </c>
      <c r="Y80" t="inlineStr">
        <is>
          <t>unknown</t>
        </is>
      </c>
      <c r="Z80" t="inlineStr">
        <is>
          <t>https://www.builtinnyc.com/company/mphasis/offices</t>
        </is>
      </c>
      <c r="AA80" t="inlineStr"/>
      <c r="AB80" t="inlineStr">
        <is>
          <t>single-source</t>
        </is>
      </c>
      <c r="AC80" t="inlineStr"/>
      <c r="AD80" t="inlineStr"/>
      <c r="AE80" t="inlineStr"/>
      <c r="AF80" t="inlineStr">
        <is>
          <t>unknown</t>
        </is>
      </c>
      <c r="AG80" t="inlineStr"/>
      <c r="AH80" t="inlineStr">
        <is>
          <t>security desk</t>
        </is>
      </c>
      <c r="AI80" t="inlineStr">
        <is>
          <t>near-miss-over-500</t>
        </is>
      </c>
      <c r="AJ80" t="inlineStr">
        <is>
          <t>occupied</t>
        </is>
      </c>
      <c r="AK80" t="inlineStr"/>
      <c r="AL80" t="inlineStr">
        <is>
          <t>2026-10-23</t>
        </is>
      </c>
      <c r="AM80" s="3" t="inlineStr"/>
      <c r="AN80" t="inlineStr">
        <is>
          <t>leasing-press</t>
        </is>
      </c>
      <c r="AO80" t="inlineStr"/>
      <c r="AP80" t="inlineStr">
        <is>
          <t>different-floor</t>
        </is>
      </c>
      <c r="AQ80" t="inlineStr">
        <is>
          <t>1008550037</t>
        </is>
      </c>
      <c r="AR80" t="n">
        <v>0</v>
      </c>
      <c r="AS80" t="inlineStr">
        <is>
          <t>27,709 sf</t>
        </is>
      </c>
      <c r="AT80" t="inlineStr">
        <is>
          <t>S4</t>
        </is>
      </c>
      <c r="AU80" s="3" t="inlineStr">
        <is>
          <t>not-near (5,000 or more): over 500 company-wide (37,500; the count quoted in this row's notes)</t>
        </is>
      </c>
      <c r="AV80" t="inlineStr">
        <is>
          <t>not-near (5,000 or more)</t>
        </is>
      </c>
      <c r="AW80" t="inlineStr">
        <is>
          <t>37500</t>
        </is>
      </c>
      <c r="AX80" t="inlineStr">
        <is>
          <t>N</t>
        </is>
      </c>
    </row>
    <row r="81">
      <c r="A81" t="inlineStr">
        <is>
          <t>B-C-251</t>
        </is>
      </c>
      <c r="B81" t="inlineStr">
        <is>
          <t>SharkNinja</t>
        </is>
      </c>
      <c r="C81" s="2" t="inlineStr">
        <is>
          <t>https://www.sharkninja.com</t>
        </is>
      </c>
      <c r="D81" t="inlineStr">
        <is>
          <t>consumer products (home appliances)</t>
        </is>
      </c>
      <c r="E81" t="inlineStr">
        <is>
          <t>B-B-057</t>
        </is>
      </c>
      <c r="F81" t="inlineStr">
        <is>
          <t>41 Madison Avenue</t>
        </is>
      </c>
      <c r="G81" t="inlineStr">
        <is>
          <t>unknown</t>
        </is>
      </c>
      <c r="H81" t="inlineStr">
        <is>
          <t>10010</t>
        </is>
      </c>
      <c r="I81" t="n">
        <v>40.742477</v>
      </c>
      <c r="J81" t="n">
        <v>-73.986608</v>
      </c>
      <c r="K81" t="inlineStr">
        <is>
          <t>Y</t>
        </is>
      </c>
      <c r="L81" t="inlineStr">
        <is>
          <t>over-500</t>
        </is>
      </c>
      <c r="M81" t="inlineStr">
        <is>
          <t>whole-company</t>
        </is>
      </c>
      <c r="N81" s="2" t="inlineStr">
        <is>
          <t>https://www.builtinnyc.com/company/sharkninja/offices</t>
        </is>
      </c>
      <c r="O81" s="2" t="inlineStr">
        <is>
          <t>https://www.builtinnyc.com/articles/sharkninja-opens-nyc-office-20251105</t>
        </is>
      </c>
      <c r="P81" t="inlineStr">
        <is>
          <t>2025-11-05</t>
        </is>
      </c>
      <c r="Q81" s="2" t="inlineStr">
        <is>
          <t>https://commercialobserver.com/2025/01/sharkninja-rudin-41-madison-avenue/</t>
        </is>
      </c>
      <c r="R81" t="inlineStr">
        <is>
          <t>high</t>
        </is>
      </c>
      <c r="S81" t="inlineStr">
        <is>
          <t>N</t>
        </is>
      </c>
      <c r="T81" t="inlineStr"/>
      <c r="U81" t="inlineStr"/>
      <c r="V81" s="3" t="inlineStr">
        <is>
          <t>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is>
      </c>
      <c r="W81" t="inlineStr">
        <is>
          <t>2026-10-23</t>
        </is>
      </c>
      <c r="X81" t="inlineStr">
        <is>
          <t>Needham</t>
        </is>
      </c>
      <c r="Y81" t="inlineStr">
        <is>
          <t>N</t>
        </is>
      </c>
      <c r="Z81" t="inlineStr">
        <is>
          <t>https://www.builtinnyc.com/company/sharkninja/offices</t>
        </is>
      </c>
      <c r="AA81" t="inlineStr"/>
      <c r="AB81" t="inlineStr">
        <is>
          <t>single-source</t>
        </is>
      </c>
      <c r="AC81" t="inlineStr"/>
      <c r="AD81" t="inlineStr"/>
      <c r="AE81" t="inlineStr"/>
      <c r="AF81" t="inlineStr">
        <is>
          <t>unknown</t>
        </is>
      </c>
      <c r="AG81" t="inlineStr"/>
      <c r="AH81" t="inlineStr">
        <is>
          <t>security desk</t>
        </is>
      </c>
      <c r="AI81" t="inlineStr">
        <is>
          <t>near-miss-over-500</t>
        </is>
      </c>
      <c r="AJ81" t="inlineStr">
        <is>
          <t>occupied</t>
        </is>
      </c>
      <c r="AK81" t="inlineStr"/>
      <c r="AL81" t="inlineStr">
        <is>
          <t>2026-10-23</t>
        </is>
      </c>
      <c r="AM81" s="3" t="inlineStr"/>
      <c r="AN81" t="inlineStr">
        <is>
          <t>builtin</t>
        </is>
      </c>
      <c r="AO81" t="inlineStr">
        <is>
          <t>2025-01-30</t>
        </is>
      </c>
      <c r="AP81" t="inlineStr">
        <is>
          <t>direct-lease-documented</t>
        </is>
      </c>
      <c r="AQ81" t="inlineStr">
        <is>
          <t>1008550037</t>
        </is>
      </c>
      <c r="AR81" t="n">
        <v>0</v>
      </c>
      <c r="AS81" t="inlineStr">
        <is>
          <t>14,296 sf</t>
        </is>
      </c>
      <c r="AT81" t="inlineStr">
        <is>
          <t>S4</t>
        </is>
      </c>
      <c r="AU81" s="3" t="inlineStr">
        <is>
          <t>over-1,000 (1,001 to 4,999): over 500 company-wide (4,000; the count quoted in this row's notes); the NYC office alone may fit the 40-250 band, founder to confirm</t>
        </is>
      </c>
      <c r="AV81" t="inlineStr">
        <is>
          <t>over-1,000 (1,001 to 4,999)</t>
        </is>
      </c>
      <c r="AW81" t="inlineStr">
        <is>
          <t>4000</t>
        </is>
      </c>
      <c r="AX81" t="inlineStr">
        <is>
          <t>Y</t>
        </is>
      </c>
    </row>
    <row r="82">
      <c r="A82" t="inlineStr">
        <is>
          <t>B-C-252</t>
        </is>
      </c>
      <c r="B82" t="inlineStr">
        <is>
          <t>Marriott International (Luxury Group NYC office)</t>
        </is>
      </c>
      <c r="C82" s="2" t="inlineStr">
        <is>
          <t>https://www.marriott.com/</t>
        </is>
      </c>
      <c r="D82" t="inlineStr">
        <is>
          <t>Hospitality (corporate office)</t>
        </is>
      </c>
      <c r="E82" t="inlineStr">
        <is>
          <t>B-B-059</t>
        </is>
      </c>
      <c r="F82" t="inlineStr">
        <is>
          <t>360 Park Avenue South</t>
        </is>
      </c>
      <c r="G82" t="inlineStr">
        <is>
          <t>14</t>
        </is>
      </c>
      <c r="H82" t="inlineStr">
        <is>
          <t>10010</t>
        </is>
      </c>
      <c r="I82" t="n">
        <v>40.741968</v>
      </c>
      <c r="J82" t="n">
        <v>-73.985327</v>
      </c>
      <c r="K82" t="inlineStr">
        <is>
          <t>Y</t>
        </is>
      </c>
      <c r="L82" t="inlineStr">
        <is>
          <t>over-500</t>
        </is>
      </c>
      <c r="M82" t="inlineStr">
        <is>
          <t>whole-company</t>
        </is>
      </c>
      <c r="N82" s="2" t="inlineStr">
        <is>
          <t>https://en.wikipedia.org/wiki/Marriott_International</t>
        </is>
      </c>
      <c r="O82" s="2" t="inlineStr">
        <is>
          <t>https://www.connectcre.com/stories/bxp-secures-230k-sf-of-leases-at-360-park-ave-south/</t>
        </is>
      </c>
      <c r="P82" t="inlineStr">
        <is>
          <t>2026-03-16</t>
        </is>
      </c>
      <c r="Q82" s="2" t="inlineStr">
        <is>
          <t>https://commercialobserver.com/2026/09/rogo-technologies-360-park-avenue-south-lease-expansion/</t>
        </is>
      </c>
      <c r="R82" t="inlineStr">
        <is>
          <t>high</t>
        </is>
      </c>
      <c r="S82" t="inlineStr">
        <is>
          <t>N</t>
        </is>
      </c>
      <c r="T82" t="inlineStr"/>
      <c r="U82" t="inlineStr"/>
      <c r="V82" s="3" t="inlineStr">
        <is>
          <t>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is>
      </c>
      <c r="W82" t="inlineStr">
        <is>
          <t>2026-10-23</t>
        </is>
      </c>
      <c r="X82" t="inlineStr">
        <is>
          <t>unknown</t>
        </is>
      </c>
      <c r="Y82" t="inlineStr">
        <is>
          <t>unknown</t>
        </is>
      </c>
      <c r="Z82" t="inlineStr"/>
      <c r="AA82" t="inlineStr"/>
      <c r="AB82" t="inlineStr">
        <is>
          <t>single-source</t>
        </is>
      </c>
      <c r="AC82" t="inlineStr"/>
      <c r="AD82" t="inlineStr"/>
      <c r="AE82" t="inlineStr"/>
      <c r="AF82" t="inlineStr">
        <is>
          <t>unknown</t>
        </is>
      </c>
      <c r="AG82" t="inlineStr"/>
      <c r="AH82" t="inlineStr">
        <is>
          <t>unknown</t>
        </is>
      </c>
      <c r="AI82" t="inlineStr">
        <is>
          <t>near-miss-over-500</t>
        </is>
      </c>
      <c r="AJ82" t="inlineStr">
        <is>
          <t>occupancy-unconfirmed</t>
        </is>
      </c>
      <c r="AK82" t="inlineStr"/>
      <c r="AL82" t="inlineStr">
        <is>
          <t>2026-10-23</t>
        </is>
      </c>
      <c r="AM82" s="3" t="inlineStr"/>
      <c r="AN82" t="inlineStr">
        <is>
          <t>leasing-press</t>
        </is>
      </c>
      <c r="AO82" t="inlineStr">
        <is>
          <t>2026-09-22</t>
        </is>
      </c>
      <c r="AP82" t="inlineStr">
        <is>
          <t>no-coworking-in-building</t>
        </is>
      </c>
      <c r="AQ82" t="inlineStr">
        <is>
          <t>1008550024</t>
        </is>
      </c>
      <c r="AR82" t="n">
        <v>0</v>
      </c>
      <c r="AS82" t="inlineStr">
        <is>
          <t>23,000 sf</t>
        </is>
      </c>
      <c r="AT82" t="inlineStr">
        <is>
          <t>S3</t>
        </is>
      </c>
      <c r="AU82" s="3" t="inlineStr">
        <is>
          <t>not-near (5,000 or more): over 500 company-wide (418,000; the count quoted in this row's notes); the NYC office alone may fit the 40-250 band, founder to confirm</t>
        </is>
      </c>
      <c r="AV82" t="inlineStr">
        <is>
          <t>not-near (5,000 or more)</t>
        </is>
      </c>
      <c r="AW82" t="inlineStr">
        <is>
          <t>418000</t>
        </is>
      </c>
      <c r="AX82" t="inlineStr">
        <is>
          <t>Y</t>
        </is>
      </c>
    </row>
    <row r="83">
      <c r="A83" t="inlineStr">
        <is>
          <t>B-C-253</t>
        </is>
      </c>
      <c r="B83" t="inlineStr">
        <is>
          <t>Optiver</t>
        </is>
      </c>
      <c r="C83" s="2" t="inlineStr">
        <is>
          <t>https://optiver.com</t>
        </is>
      </c>
      <c r="D83" t="inlineStr">
        <is>
          <t>proprietary trading</t>
        </is>
      </c>
      <c r="E83" t="inlineStr">
        <is>
          <t>B-B-059</t>
        </is>
      </c>
      <c r="F83" t="inlineStr">
        <is>
          <t>360 Park Avenue South</t>
        </is>
      </c>
      <c r="G83" t="inlineStr">
        <is>
          <t>12 (Suite 1200)</t>
        </is>
      </c>
      <c r="H83" t="inlineStr">
        <is>
          <t>10010</t>
        </is>
      </c>
      <c r="I83" t="n">
        <v>40.741968</v>
      </c>
      <c r="J83" t="n">
        <v>-73.985327</v>
      </c>
      <c r="K83" t="inlineStr">
        <is>
          <t>Y</t>
        </is>
      </c>
      <c r="L83" t="inlineStr">
        <is>
          <t>over-500</t>
        </is>
      </c>
      <c r="M83" t="inlineStr">
        <is>
          <t>whole-company</t>
        </is>
      </c>
      <c r="N83" s="2" t="inlineStr">
        <is>
          <t>https://www.builtinnyc.com/company/optiver/offices</t>
        </is>
      </c>
      <c r="O83" s="2" t="inlineStr">
        <is>
          <t>https://commercialobserver.com/2025/05/optiver-lease-360-park-avenue-south/</t>
        </is>
      </c>
      <c r="P83" t="inlineStr">
        <is>
          <t>2025-05-20</t>
        </is>
      </c>
      <c r="Q83" s="2" t="inlineStr">
        <is>
          <t>https://www.builtinnyc.com/company/optiver/offices</t>
        </is>
      </c>
      <c r="R83" t="inlineStr">
        <is>
          <t>high</t>
        </is>
      </c>
      <c r="S83" t="inlineStr">
        <is>
          <t>N</t>
        </is>
      </c>
      <c r="T83" t="inlineStr"/>
      <c r="U83" t="inlineStr"/>
      <c r="V83" s="3" t="inlineStr">
        <is>
          <t>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is>
      </c>
      <c r="W83" t="inlineStr">
        <is>
          <t>2026-10-23</t>
        </is>
      </c>
      <c r="X83" t="inlineStr">
        <is>
          <t>unknown</t>
        </is>
      </c>
      <c r="Y83" t="inlineStr">
        <is>
          <t>unknown</t>
        </is>
      </c>
      <c r="Z83" t="inlineStr">
        <is>
          <t>https://www.builtinnyc.com/company/optiver/offices</t>
        </is>
      </c>
      <c r="AA83" t="inlineStr"/>
      <c r="AB83" t="inlineStr">
        <is>
          <t>single-source</t>
        </is>
      </c>
      <c r="AC83" t="inlineStr"/>
      <c r="AD83" t="inlineStr"/>
      <c r="AE83" t="inlineStr"/>
      <c r="AF83" t="inlineStr">
        <is>
          <t>unknown</t>
        </is>
      </c>
      <c r="AG83" t="inlineStr"/>
      <c r="AH83" t="inlineStr">
        <is>
          <t>unknown</t>
        </is>
      </c>
      <c r="AI83" t="inlineStr">
        <is>
          <t>near-miss-over-500</t>
        </is>
      </c>
      <c r="AJ83" t="inlineStr">
        <is>
          <t>occupied</t>
        </is>
      </c>
      <c r="AK83" t="inlineStr"/>
      <c r="AL83" t="inlineStr">
        <is>
          <t>2026-10-23</t>
        </is>
      </c>
      <c r="AM83" s="3" t="inlineStr"/>
      <c r="AN83" t="inlineStr">
        <is>
          <t>leasing-press</t>
        </is>
      </c>
      <c r="AO83" t="inlineStr">
        <is>
          <t>2026-10-23</t>
        </is>
      </c>
      <c r="AP83" t="inlineStr">
        <is>
          <t>no-coworking-in-building</t>
        </is>
      </c>
      <c r="AQ83" t="inlineStr">
        <is>
          <t>1008550024</t>
        </is>
      </c>
      <c r="AR83" t="n">
        <v>0</v>
      </c>
      <c r="AS83" t="inlineStr">
        <is>
          <t>23,038 sf</t>
        </is>
      </c>
      <c r="AT83" t="inlineStr">
        <is>
          <t>S4</t>
        </is>
      </c>
      <c r="AU83" s="3" t="inlineStr">
        <is>
          <t>over-1,000 (1,001 to 4,999): over 500 company-wide (1,600; the count quoted in this row's notes)</t>
        </is>
      </c>
      <c r="AV83" t="inlineStr">
        <is>
          <t>over-1,000 (1,001 to 4,999)</t>
        </is>
      </c>
      <c r="AW83" t="inlineStr">
        <is>
          <t>1600</t>
        </is>
      </c>
      <c r="AX83" t="inlineStr">
        <is>
          <t>N</t>
        </is>
      </c>
    </row>
    <row r="84">
      <c r="A84" t="inlineStr">
        <is>
          <t>B-C-254</t>
        </is>
      </c>
      <c r="B84" t="inlineStr">
        <is>
          <t>Superhuman (formerly Grammarly)</t>
        </is>
      </c>
      <c r="C84" s="2" t="inlineStr">
        <is>
          <t>https://www.grammarly.com/</t>
        </is>
      </c>
      <c r="D84" t="inlineStr">
        <is>
          <t>Software (AI writing assistant)</t>
        </is>
      </c>
      <c r="E84" t="inlineStr">
        <is>
          <t>B-B-059</t>
        </is>
      </c>
      <c r="F84" t="inlineStr">
        <is>
          <t>360 Park Avenue South</t>
        </is>
      </c>
      <c r="G84" t="inlineStr">
        <is>
          <t>one full floor (23,038 sf)</t>
        </is>
      </c>
      <c r="H84" t="inlineStr">
        <is>
          <t>10010</t>
        </is>
      </c>
      <c r="I84" t="n">
        <v>40.741968</v>
      </c>
      <c r="J84" t="n">
        <v>-73.985327</v>
      </c>
      <c r="K84" t="inlineStr">
        <is>
          <t>Y</t>
        </is>
      </c>
      <c r="L84" t="inlineStr">
        <is>
          <t>over-500</t>
        </is>
      </c>
      <c r="M84" t="inlineStr">
        <is>
          <t>whole-company</t>
        </is>
      </c>
      <c r="N84" s="2" t="inlineStr">
        <is>
          <t>https://www.builtinnyc.com/company/superhuman-1/offices</t>
        </is>
      </c>
      <c r="O84" s="2" t="inlineStr">
        <is>
          <t>https://commercialobserver.com/2025/09/grammarly-bxps-360-park-avenue-south/</t>
        </is>
      </c>
      <c r="P84" t="inlineStr">
        <is>
          <t>2025-09-02</t>
        </is>
      </c>
      <c r="Q84" s="2" t="inlineStr">
        <is>
          <t>https://commercialobserver.com/2026/01/betches-coming-360-park-avenue-south/</t>
        </is>
      </c>
      <c r="R84" t="inlineStr">
        <is>
          <t>medium</t>
        </is>
      </c>
      <c r="S84" t="inlineStr">
        <is>
          <t>N</t>
        </is>
      </c>
      <c r="T84" t="inlineStr"/>
      <c r="U84" t="inlineStr"/>
      <c r="V84" s="3" t="inlineStr">
        <is>
          <t>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is>
      </c>
      <c r="W84" t="inlineStr">
        <is>
          <t>2026-10-23</t>
        </is>
      </c>
      <c r="X84" t="inlineStr">
        <is>
          <t>San Francisco</t>
        </is>
      </c>
      <c r="Y84" t="inlineStr">
        <is>
          <t>N</t>
        </is>
      </c>
      <c r="Z84" t="inlineStr">
        <is>
          <t>https://www.builtinnyc.com/company/superhuman-1/offices</t>
        </is>
      </c>
      <c r="AA84" t="inlineStr"/>
      <c r="AB84" t="inlineStr">
        <is>
          <t>single-source</t>
        </is>
      </c>
      <c r="AC84" t="inlineStr"/>
      <c r="AD84" t="inlineStr"/>
      <c r="AE84" t="inlineStr"/>
      <c r="AF84" t="inlineStr">
        <is>
          <t>unknown</t>
        </is>
      </c>
      <c r="AG84" t="inlineStr"/>
      <c r="AH84" t="inlineStr">
        <is>
          <t>unknown</t>
        </is>
      </c>
      <c r="AI84" t="inlineStr">
        <is>
          <t>near-miss-over-500</t>
        </is>
      </c>
      <c r="AJ84" t="inlineStr">
        <is>
          <t>occupancy-unconfirmed</t>
        </is>
      </c>
      <c r="AK84" t="inlineStr"/>
      <c r="AL84" t="inlineStr">
        <is>
          <t>2026-10-23</t>
        </is>
      </c>
      <c r="AM84" s="3" t="inlineStr"/>
      <c r="AN84" t="inlineStr">
        <is>
          <t>leasing-press</t>
        </is>
      </c>
      <c r="AO84" t="inlineStr">
        <is>
          <t>2026-01-22</t>
        </is>
      </c>
      <c r="AP84" t="inlineStr">
        <is>
          <t>no-coworking-in-building</t>
        </is>
      </c>
      <c r="AQ84" t="inlineStr">
        <is>
          <t>1008550024</t>
        </is>
      </c>
      <c r="AR84" t="n">
        <v>0</v>
      </c>
      <c r="AS84" t="inlineStr">
        <is>
          <t>23,038 sf</t>
        </is>
      </c>
      <c r="AT84" t="inlineStr">
        <is>
          <t>S3;S4</t>
        </is>
      </c>
      <c r="AU84" s="3" t="inlineStr">
        <is>
          <t>over-1,000 (1,001 to 4,999): over 500 company-wide (1,500; the count quoted in this row's notes)</t>
        </is>
      </c>
      <c r="AV84" t="inlineStr">
        <is>
          <t>over-1,000 (1,001 to 4,999)</t>
        </is>
      </c>
      <c r="AW84" t="inlineStr">
        <is>
          <t>1500</t>
        </is>
      </c>
      <c r="AX84" t="inlineStr">
        <is>
          <t>N</t>
        </is>
      </c>
    </row>
    <row r="85">
      <c r="A85" t="inlineStr">
        <is>
          <t>B-C-255</t>
        </is>
      </c>
      <c r="B85" t="inlineStr">
        <is>
          <t>Vercel</t>
        </is>
      </c>
      <c r="C85" s="2" t="inlineStr">
        <is>
          <t>https://vercel.com/</t>
        </is>
      </c>
      <c r="D85" t="inlineStr">
        <is>
          <t>Software (web development platform)</t>
        </is>
      </c>
      <c r="E85" t="inlineStr">
        <is>
          <t>B-B-059</t>
        </is>
      </c>
      <c r="F85" t="inlineStr">
        <is>
          <t>360 Park Avenue South</t>
        </is>
      </c>
      <c r="G85" t="inlineStr">
        <is>
          <t>9 plus expansion (46,076 sf)</t>
        </is>
      </c>
      <c r="H85" t="inlineStr">
        <is>
          <t>10010</t>
        </is>
      </c>
      <c r="I85" t="n">
        <v>40.741968</v>
      </c>
      <c r="J85" t="n">
        <v>-73.985327</v>
      </c>
      <c r="K85" t="inlineStr">
        <is>
          <t>Y</t>
        </is>
      </c>
      <c r="L85" t="inlineStr">
        <is>
          <t>over-500</t>
        </is>
      </c>
      <c r="M85" t="inlineStr">
        <is>
          <t>whole-company</t>
        </is>
      </c>
      <c r="N85" s="2" t="inlineStr">
        <is>
          <t>https://en.wikipedia.org/wiki/Vercel</t>
        </is>
      </c>
      <c r="O85" s="2" t="inlineStr">
        <is>
          <t>https://www.connectcre.com/stories/bxp-secures-230k-sf-of-leases-at-360-park-ave-south/</t>
        </is>
      </c>
      <c r="P85" t="inlineStr">
        <is>
          <t>2026-03-16</t>
        </is>
      </c>
      <c r="Q85" s="2" t="inlineStr">
        <is>
          <t>https://commercialobserver.com/2026/09/rogo-technologies-360-park-avenue-south-lease-expansion/</t>
        </is>
      </c>
      <c r="R85" t="inlineStr">
        <is>
          <t>high</t>
        </is>
      </c>
      <c r="S85" t="inlineStr">
        <is>
          <t>N</t>
        </is>
      </c>
      <c r="T85" t="inlineStr"/>
      <c r="U85" t="inlineStr"/>
      <c r="V85" s="3" t="inlineStr">
        <is>
          <t>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is>
      </c>
      <c r="W85" t="inlineStr">
        <is>
          <t>2026-10-23</t>
        </is>
      </c>
      <c r="X85" t="inlineStr">
        <is>
          <t>unknown</t>
        </is>
      </c>
      <c r="Y85" t="inlineStr">
        <is>
          <t>unknown</t>
        </is>
      </c>
      <c r="Z85" t="inlineStr"/>
      <c r="AA85" t="inlineStr"/>
      <c r="AB85" t="inlineStr">
        <is>
          <t>single-source</t>
        </is>
      </c>
      <c r="AC85" t="inlineStr"/>
      <c r="AD85" t="inlineStr"/>
      <c r="AE85" t="inlineStr"/>
      <c r="AF85" t="inlineStr">
        <is>
          <t>unknown</t>
        </is>
      </c>
      <c r="AG85" t="inlineStr"/>
      <c r="AH85" t="inlineStr">
        <is>
          <t>unknown</t>
        </is>
      </c>
      <c r="AI85" t="inlineStr">
        <is>
          <t>near-miss-over-500</t>
        </is>
      </c>
      <c r="AJ85" t="inlineStr">
        <is>
          <t>occupancy-unconfirmed</t>
        </is>
      </c>
      <c r="AK85" t="inlineStr"/>
      <c r="AL85" t="inlineStr">
        <is>
          <t>2026-10-23</t>
        </is>
      </c>
      <c r="AM85" s="3" t="inlineStr"/>
      <c r="AN85" t="inlineStr">
        <is>
          <t>leasing-press</t>
        </is>
      </c>
      <c r="AO85" t="inlineStr">
        <is>
          <t>2026-09-22</t>
        </is>
      </c>
      <c r="AP85" t="inlineStr">
        <is>
          <t>no-coworking-in-building</t>
        </is>
      </c>
      <c r="AQ85" t="inlineStr">
        <is>
          <t>1008550024</t>
        </is>
      </c>
      <c r="AR85" t="n">
        <v>0</v>
      </c>
      <c r="AS85" t="inlineStr">
        <is>
          <t>23,000 sf; 46,076 sf</t>
        </is>
      </c>
      <c r="AT85" t="inlineStr">
        <is>
          <t>S3</t>
        </is>
      </c>
      <c r="AU85" s="3" t="inlineStr">
        <is>
          <t>just-over-500 (501 to 1,000): over 500 company-wide (550; the count quoted in this row's notes)</t>
        </is>
      </c>
      <c r="AV85" t="inlineStr">
        <is>
          <t>just-over-500 (501 to 1,000)</t>
        </is>
      </c>
      <c r="AW85" t="inlineStr">
        <is>
          <t>550</t>
        </is>
      </c>
      <c r="AX85" t="inlineStr">
        <is>
          <t>N</t>
        </is>
      </c>
    </row>
    <row r="86">
      <c r="A86" t="inlineStr">
        <is>
          <t>B-C-256</t>
        </is>
      </c>
      <c r="B86" t="inlineStr">
        <is>
          <t>Ziff Davis</t>
        </is>
      </c>
      <c r="C86" s="2" t="inlineStr">
        <is>
          <t>https://www.ziffdavis.com</t>
        </is>
      </c>
      <c r="D86" t="inlineStr">
        <is>
          <t>digital media</t>
        </is>
      </c>
      <c r="E86" t="inlineStr">
        <is>
          <t>B-B-059</t>
        </is>
      </c>
      <c r="F86" t="inlineStr">
        <is>
          <t>360 Park Avenue South</t>
        </is>
      </c>
      <c r="G86" t="inlineStr">
        <is>
          <t>unknown</t>
        </is>
      </c>
      <c r="H86" t="inlineStr">
        <is>
          <t>10010</t>
        </is>
      </c>
      <c r="I86" t="n">
        <v>40.741968</v>
      </c>
      <c r="J86" t="n">
        <v>-73.985327</v>
      </c>
      <c r="K86" t="inlineStr">
        <is>
          <t>Y</t>
        </is>
      </c>
      <c r="L86" t="inlineStr">
        <is>
          <t>over-500</t>
        </is>
      </c>
      <c r="M86" t="inlineStr">
        <is>
          <t>whole-company</t>
        </is>
      </c>
      <c r="N86" s="2" t="inlineStr">
        <is>
          <t>https://www.builtinnyc.com/company/ziff-davis/offices</t>
        </is>
      </c>
      <c r="O86" s="2" t="inlineStr">
        <is>
          <t>https://commercialobserver.com/2025/05/optiver-lease-360-park-avenue-south/</t>
        </is>
      </c>
      <c r="P86" t="inlineStr">
        <is>
          <t>2025-05-20</t>
        </is>
      </c>
      <c r="Q86" s="2" t="inlineStr">
        <is>
          <t>https://www.ziffdavis.com/</t>
        </is>
      </c>
      <c r="R86" t="inlineStr">
        <is>
          <t>high</t>
        </is>
      </c>
      <c r="S86" t="inlineStr">
        <is>
          <t>N</t>
        </is>
      </c>
      <c r="T86" t="inlineStr"/>
      <c r="U86" t="inlineStr"/>
      <c r="V86" s="3" t="inlineStr">
        <is>
          <t>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is>
      </c>
      <c r="W86" t="inlineStr">
        <is>
          <t>2026-10-23</t>
        </is>
      </c>
      <c r="X86" t="inlineStr">
        <is>
          <t>New York</t>
        </is>
      </c>
      <c r="Y86" t="inlineStr">
        <is>
          <t>Y</t>
        </is>
      </c>
      <c r="Z86" t="inlineStr">
        <is>
          <t>https://www.builtinnyc.com/company/ziff-davis/offices</t>
        </is>
      </c>
      <c r="AA86" t="inlineStr"/>
      <c r="AB86" t="inlineStr">
        <is>
          <t>single-source</t>
        </is>
      </c>
      <c r="AC86" t="inlineStr"/>
      <c r="AD86" t="inlineStr"/>
      <c r="AE86" t="inlineStr"/>
      <c r="AF86" t="inlineStr">
        <is>
          <t>unknown</t>
        </is>
      </c>
      <c r="AG86" t="inlineStr"/>
      <c r="AH86" t="inlineStr">
        <is>
          <t>unknown</t>
        </is>
      </c>
      <c r="AI86" t="inlineStr">
        <is>
          <t>near-miss-over-500</t>
        </is>
      </c>
      <c r="AJ86" t="inlineStr">
        <is>
          <t>occupied</t>
        </is>
      </c>
      <c r="AK86" t="inlineStr"/>
      <c r="AL86" t="inlineStr">
        <is>
          <t>2026-10-23</t>
        </is>
      </c>
      <c r="AM86" s="3" t="inlineStr"/>
      <c r="AN86" t="inlineStr">
        <is>
          <t>leasing-press</t>
        </is>
      </c>
      <c r="AO86" t="inlineStr">
        <is>
          <t>2026-10-24</t>
        </is>
      </c>
      <c r="AP86" t="inlineStr">
        <is>
          <t>no-coworking-in-building</t>
        </is>
      </c>
      <c r="AQ86" t="inlineStr">
        <is>
          <t>1008550024</t>
        </is>
      </c>
      <c r="AR86" t="n">
        <v>0</v>
      </c>
      <c r="AS86" t="inlineStr"/>
      <c r="AT86" t="inlineStr">
        <is>
          <t>S4</t>
        </is>
      </c>
      <c r="AU86" s="3" t="inlineStr">
        <is>
          <t>over-1,000 (1,001 to 4,999): over 500 company-wide (2,138; the count quoted in this row's notes)</t>
        </is>
      </c>
      <c r="AV86" t="inlineStr">
        <is>
          <t>over-1,000 (1,001 to 4,999)</t>
        </is>
      </c>
      <c r="AW86" t="inlineStr">
        <is>
          <t>2138</t>
        </is>
      </c>
      <c r="AX86" t="inlineStr">
        <is>
          <t>N</t>
        </is>
      </c>
    </row>
    <row r="87">
      <c r="A87" t="inlineStr">
        <is>
          <t>B-C-258</t>
        </is>
      </c>
      <c r="B87" t="inlineStr">
        <is>
          <t>Jump Trading</t>
        </is>
      </c>
      <c r="C87" s="2" t="inlineStr">
        <is>
          <t>https://www.jumptrading.com</t>
        </is>
      </c>
      <c r="D87" t="inlineStr">
        <is>
          <t>proprietary trading</t>
        </is>
      </c>
      <c r="E87" t="inlineStr">
        <is>
          <t>B-B-065</t>
        </is>
      </c>
      <c r="F87" t="inlineStr">
        <is>
          <t>11 East 26th Street</t>
        </is>
      </c>
      <c r="G87" t="inlineStr">
        <is>
          <t>unknown</t>
        </is>
      </c>
      <c r="H87" t="inlineStr">
        <is>
          <t>10010</t>
        </is>
      </c>
      <c r="I87" t="n">
        <v>40.743309</v>
      </c>
      <c r="J87" t="n">
        <v>-73.987329</v>
      </c>
      <c r="K87" t="inlineStr">
        <is>
          <t>Y</t>
        </is>
      </c>
      <c r="L87" t="inlineStr">
        <is>
          <t>over-500</t>
        </is>
      </c>
      <c r="M87" t="inlineStr">
        <is>
          <t>whole-company</t>
        </is>
      </c>
      <c r="N87" s="2" t="inlineStr">
        <is>
          <t>https://en.wikipedia.org/wiki/Jump_Trading</t>
        </is>
      </c>
      <c r="O87" s="2" t="inlineStr">
        <is>
          <t>https://commercialobserver.com/2025/10/lutron-electronics-office-lease-11-east-26th-street/</t>
        </is>
      </c>
      <c r="P87" t="inlineStr">
        <is>
          <t>2025-10-22</t>
        </is>
      </c>
      <c r="Q87" s="2" t="inlineStr">
        <is>
          <t>https://commercialobserver.com/2025/03/reckoner-capital-management-lease-11-east-26th-street/</t>
        </is>
      </c>
      <c r="R87" t="inlineStr">
        <is>
          <t>medium</t>
        </is>
      </c>
      <c r="S87" t="inlineStr">
        <is>
          <t>N</t>
        </is>
      </c>
      <c r="T87" t="inlineStr"/>
      <c r="U87" t="inlineStr"/>
      <c r="V87" s="3" t="inlineStr">
        <is>
          <t>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7" t="inlineStr">
        <is>
          <t>2026-10-23</t>
        </is>
      </c>
      <c r="X87" t="inlineStr">
        <is>
          <t>unknown</t>
        </is>
      </c>
      <c r="Y87" t="inlineStr">
        <is>
          <t>unknown</t>
        </is>
      </c>
      <c r="Z87" t="inlineStr"/>
      <c r="AA87" t="inlineStr"/>
      <c r="AB87" t="inlineStr">
        <is>
          <t>single-source</t>
        </is>
      </c>
      <c r="AC87" t="inlineStr"/>
      <c r="AD87" t="inlineStr"/>
      <c r="AE87" t="inlineStr"/>
      <c r="AF87" t="inlineStr">
        <is>
          <t>unknown</t>
        </is>
      </c>
      <c r="AG87" t="inlineStr"/>
      <c r="AH87" t="inlineStr">
        <is>
          <t>unknown</t>
        </is>
      </c>
      <c r="AI87" t="inlineStr">
        <is>
          <t>near-miss-over-500</t>
        </is>
      </c>
      <c r="AJ87" t="inlineStr">
        <is>
          <t>occupied</t>
        </is>
      </c>
      <c r="AK87" t="inlineStr"/>
      <c r="AL87" t="inlineStr">
        <is>
          <t>2026-10-24</t>
        </is>
      </c>
      <c r="AM87" s="3" t="inlineStr"/>
      <c r="AN87" t="inlineStr">
        <is>
          <t>leasing-press</t>
        </is>
      </c>
      <c r="AO87" t="inlineStr">
        <is>
          <t>2025-03-12</t>
        </is>
      </c>
      <c r="AP87" t="inlineStr">
        <is>
          <t>no-coworking-in-building</t>
        </is>
      </c>
      <c r="AQ87" t="inlineStr">
        <is>
          <t>1008560009</t>
        </is>
      </c>
      <c r="AR87" t="n">
        <v>0</v>
      </c>
      <c r="AS87" t="inlineStr"/>
      <c r="AT87" t="inlineStr">
        <is>
          <t>S4</t>
        </is>
      </c>
      <c r="AU87" s="3" t="inlineStr">
        <is>
          <t>over-1,000 (1,001 to 4,999): over 500 company-wide (2,000; the count quoted in this row's notes)</t>
        </is>
      </c>
      <c r="AV87" t="inlineStr">
        <is>
          <t>over-1,000 (1,001 to 4,999)</t>
        </is>
      </c>
      <c r="AW87" t="inlineStr">
        <is>
          <t>2000</t>
        </is>
      </c>
      <c r="AX87" t="inlineStr">
        <is>
          <t>N</t>
        </is>
      </c>
    </row>
    <row r="88">
      <c r="A88" t="inlineStr">
        <is>
          <t>B-C-259</t>
        </is>
      </c>
      <c r="B88" t="inlineStr">
        <is>
          <t>Lutron Electronics</t>
        </is>
      </c>
      <c r="C88" s="2" t="inlineStr">
        <is>
          <t>https://www.lutron.com</t>
        </is>
      </c>
      <c r="D88" t="inlineStr">
        <is>
          <t>lighting controls manufacturer</t>
        </is>
      </c>
      <c r="E88" t="inlineStr">
        <is>
          <t>B-B-065</t>
        </is>
      </c>
      <c r="F88" t="inlineStr">
        <is>
          <t>11 East 26th Street</t>
        </is>
      </c>
      <c r="G88" t="inlineStr">
        <is>
          <t>21</t>
        </is>
      </c>
      <c r="H88" t="inlineStr">
        <is>
          <t>10010</t>
        </is>
      </c>
      <c r="I88" t="n">
        <v>40.743309</v>
      </c>
      <c r="J88" t="n">
        <v>-73.987329</v>
      </c>
      <c r="K88" t="inlineStr">
        <is>
          <t>Y</t>
        </is>
      </c>
      <c r="L88" t="inlineStr">
        <is>
          <t>over-500</t>
        </is>
      </c>
      <c r="M88" t="inlineStr">
        <is>
          <t>whole-company</t>
        </is>
      </c>
      <c r="N88" s="2" t="inlineStr">
        <is>
          <t>https://www.builtinnyc.com/company/lutron-electronics/offices</t>
        </is>
      </c>
      <c r="O88" s="2" t="inlineStr">
        <is>
          <t>https://commercialobserver.com/2025/10/lutron-electronics-office-lease-11-east-26th-street/</t>
        </is>
      </c>
      <c r="P88" t="inlineStr">
        <is>
          <t>2025-10-22</t>
        </is>
      </c>
      <c r="Q88" t="inlineStr"/>
      <c r="R88" t="inlineStr">
        <is>
          <t>medium</t>
        </is>
      </c>
      <c r="S88" t="inlineStr">
        <is>
          <t>N</t>
        </is>
      </c>
      <c r="T88" t="inlineStr"/>
      <c r="U88" t="inlineStr"/>
      <c r="V88" s="3" t="inlineStr">
        <is>
          <t>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8" t="inlineStr">
        <is>
          <t>2026-10-23</t>
        </is>
      </c>
      <c r="X88" t="inlineStr">
        <is>
          <t>Coopersburg</t>
        </is>
      </c>
      <c r="Y88" t="inlineStr">
        <is>
          <t>N</t>
        </is>
      </c>
      <c r="Z88" t="inlineStr">
        <is>
          <t>https://www.builtinnyc.com/company/lutron-electronics/offices</t>
        </is>
      </c>
      <c r="AA88" t="inlineStr"/>
      <c r="AB88" t="inlineStr">
        <is>
          <t>single-source</t>
        </is>
      </c>
      <c r="AC88" t="inlineStr"/>
      <c r="AD88" t="inlineStr"/>
      <c r="AE88" t="inlineStr"/>
      <c r="AF88" t="inlineStr">
        <is>
          <t>unknown</t>
        </is>
      </c>
      <c r="AG88" t="inlineStr"/>
      <c r="AH88" t="inlineStr">
        <is>
          <t>unknown</t>
        </is>
      </c>
      <c r="AI88" t="inlineStr">
        <is>
          <t>near-miss-over-500</t>
        </is>
      </c>
      <c r="AJ88" t="inlineStr">
        <is>
          <t>occupancy-unconfirmed</t>
        </is>
      </c>
      <c r="AK88" t="inlineStr"/>
      <c r="AL88" t="inlineStr">
        <is>
          <t>2026-10-23</t>
        </is>
      </c>
      <c r="AM88" s="3" t="inlineStr"/>
      <c r="AN88" t="inlineStr">
        <is>
          <t>leasing-press</t>
        </is>
      </c>
      <c r="AO88" t="inlineStr"/>
      <c r="AP88" t="inlineStr">
        <is>
          <t>no-coworking-in-building</t>
        </is>
      </c>
      <c r="AQ88" t="inlineStr">
        <is>
          <t>1008560009</t>
        </is>
      </c>
      <c r="AR88" t="n">
        <v>0</v>
      </c>
      <c r="AS88" t="inlineStr">
        <is>
          <t>12,074 sf</t>
        </is>
      </c>
      <c r="AT88" t="inlineStr">
        <is>
          <t>S4</t>
        </is>
      </c>
      <c r="AU88" s="3" t="inlineStr">
        <is>
          <t>over-1,000 (1,001 to 4,999): over 500 company-wide (2,063; the count quoted in this row's notes)</t>
        </is>
      </c>
      <c r="AV88" t="inlineStr">
        <is>
          <t>over-1,000 (1,001 to 4,999)</t>
        </is>
      </c>
      <c r="AW88" t="inlineStr">
        <is>
          <t>2063</t>
        </is>
      </c>
      <c r="AX88" t="inlineStr">
        <is>
          <t>N</t>
        </is>
      </c>
    </row>
    <row r="89">
      <c r="A89" t="inlineStr">
        <is>
          <t>B-C-135</t>
        </is>
      </c>
      <c r="B89" t="inlineStr">
        <is>
          <t>Sierra</t>
        </is>
      </c>
      <c r="C89" s="2" t="inlineStr">
        <is>
          <t>https://sierra.ai</t>
        </is>
      </c>
      <c r="D89" t="inlineStr">
        <is>
          <t>software (AI customer agents)</t>
        </is>
      </c>
      <c r="E89" t="inlineStr">
        <is>
          <t>B-B-065</t>
        </is>
      </c>
      <c r="F89" t="inlineStr">
        <is>
          <t>11 East 26th Street</t>
        </is>
      </c>
      <c r="G89" t="inlineStr">
        <is>
          <t>unknown</t>
        </is>
      </c>
      <c r="H89" t="inlineStr">
        <is>
          <t>10010</t>
        </is>
      </c>
      <c r="I89" t="n">
        <v>40.743309</v>
      </c>
      <c r="J89" t="n">
        <v>-73.987329</v>
      </c>
      <c r="K89" t="inlineStr">
        <is>
          <t>Y</t>
        </is>
      </c>
      <c r="L89" t="inlineStr">
        <is>
          <t>over-500</t>
        </is>
      </c>
      <c r="M89" t="inlineStr">
        <is>
          <t>whole-company</t>
        </is>
      </c>
      <c r="N89" s="2" t="inlineStr">
        <is>
          <t>https://www.reveliolabs.com/companies/sierra/employees</t>
        </is>
      </c>
      <c r="O89" s="2" t="inlineStr">
        <is>
          <t>https://commercialobserver.com/2026/05/sierra-lease-rockrose-11-east-26th-street/</t>
        </is>
      </c>
      <c r="P89" t="inlineStr">
        <is>
          <t>2026-05-01</t>
        </is>
      </c>
      <c r="Q89" s="2" t="inlineStr">
        <is>
          <t>https://commercialobserver.com/2026/09/vestal-point-capital-lease-rockrose-development-11-east-26th-street/</t>
        </is>
      </c>
      <c r="R89" t="inlineStr">
        <is>
          <t>medium</t>
        </is>
      </c>
      <c r="S89" t="inlineStr">
        <is>
          <t>N</t>
        </is>
      </c>
      <c r="T89" t="inlineStr"/>
      <c r="U89" t="inlineStr"/>
      <c r="V89" s="3" t="inlineStr">
        <is>
          <t>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W89" t="inlineStr">
        <is>
          <t>2026-10-23</t>
        </is>
      </c>
      <c r="X89" t="inlineStr">
        <is>
          <t>San Francisco</t>
        </is>
      </c>
      <c r="Y89" t="inlineStr">
        <is>
          <t>N</t>
        </is>
      </c>
      <c r="Z89" t="inlineStr">
        <is>
          <t>https://www.reveliolabs.com/companies/sierra/employees</t>
        </is>
      </c>
      <c r="AA89" t="inlineStr">
        <is>
          <t>756</t>
        </is>
      </c>
      <c r="AB89" t="inlineStr">
        <is>
          <t>over-500-second-source</t>
        </is>
      </c>
      <c r="AC89" t="inlineStr">
        <is>
          <t>162</t>
        </is>
      </c>
      <c r="AD89" t="inlineStr">
        <is>
          <t>https://www.builtinnyc.com/company/sierra/offices</t>
        </is>
      </c>
      <c r="AE89" t="inlineStr">
        <is>
          <t>2026-10-23</t>
        </is>
      </c>
      <c r="AF89" t="inlineStr">
        <is>
          <t>unknown</t>
        </is>
      </c>
      <c r="AG89" t="inlineStr"/>
      <c r="AH89" t="inlineStr">
        <is>
          <t>unknown</t>
        </is>
      </c>
      <c r="AI89" t="inlineStr">
        <is>
          <t>near-miss-over-500</t>
        </is>
      </c>
      <c r="AJ89" t="inlineStr">
        <is>
          <t>signed-not-occupied</t>
        </is>
      </c>
      <c r="AK89" t="inlineStr">
        <is>
          <t>unknown</t>
        </is>
      </c>
      <c r="AL89" t="inlineStr">
        <is>
          <t>2026-08-31</t>
        </is>
      </c>
      <c r="AM89" s="3" t="inlineStr"/>
      <c r="AN89" t="inlineStr">
        <is>
          <t>leasing-press</t>
        </is>
      </c>
      <c r="AO89" t="inlineStr">
        <is>
          <t>2026-09-02</t>
        </is>
      </c>
      <c r="AP89" t="inlineStr">
        <is>
          <t>no-coworking-in-building</t>
        </is>
      </c>
      <c r="AQ89" t="inlineStr">
        <is>
          <t>1008560009</t>
        </is>
      </c>
      <c r="AR89" t="n">
        <v>0</v>
      </c>
      <c r="AS89" t="inlineStr">
        <is>
          <t>94,145 sf; 14,563 sf; 94,000 sf</t>
        </is>
      </c>
      <c r="AT89" t="inlineStr">
        <is>
          <t>S4</t>
        </is>
      </c>
      <c r="AU89" s="3" t="inlineStr">
        <is>
          <t>just-over-500 (501 to 1,000): over 500 company-wide (756; Revelio Labs page in headcount_source_url, as of March 2026, added at review round 2)</t>
        </is>
      </c>
      <c r="AV89" t="inlineStr">
        <is>
          <t>just-over-500 (501 to 1,000)</t>
        </is>
      </c>
      <c r="AW89" t="inlineStr">
        <is>
          <t>756</t>
        </is>
      </c>
      <c r="AX89" t="inlineStr">
        <is>
          <t>N</t>
        </is>
      </c>
    </row>
    <row r="90">
      <c r="A90" t="inlineStr">
        <is>
          <t>B-C-257</t>
        </is>
      </c>
      <c r="B90" t="inlineStr">
        <is>
          <t>Kohler Co. (NYC office)</t>
        </is>
      </c>
      <c r="C90" s="2" t="inlineStr">
        <is>
          <t>https://www.kohler.com</t>
        </is>
      </c>
      <c r="D90" t="inlineStr">
        <is>
          <t>kitchen and bath manufacturer (office)</t>
        </is>
      </c>
      <c r="E90" t="inlineStr">
        <is>
          <t>B-B-063</t>
        </is>
      </c>
      <c r="F90" t="inlineStr">
        <is>
          <t>1140 Broadway</t>
        </is>
      </c>
      <c r="G90" t="inlineStr">
        <is>
          <t>8</t>
        </is>
      </c>
      <c r="H90" t="inlineStr">
        <is>
          <t>10001</t>
        </is>
      </c>
      <c r="I90" t="n">
        <v>40.743939</v>
      </c>
      <c r="J90" t="n">
        <v>-73.988677</v>
      </c>
      <c r="K90" t="inlineStr">
        <is>
          <t>Y</t>
        </is>
      </c>
      <c r="L90" t="inlineStr">
        <is>
          <t>over-500</t>
        </is>
      </c>
      <c r="M90" t="inlineStr">
        <is>
          <t>whole-company</t>
        </is>
      </c>
      <c r="N90" s="2" t="inlineStr">
        <is>
          <t>https://en.wikipedia.org/wiki/Kohler_Co.</t>
        </is>
      </c>
      <c r="O90" s="2" t="inlineStr">
        <is>
          <t>https://commercialobserver.com/2023/04/kohler-lease-1140-broadway/</t>
        </is>
      </c>
      <c r="P90" t="inlineStr">
        <is>
          <t>2023-04-04</t>
        </is>
      </c>
      <c r="Q90" t="inlineStr"/>
      <c r="R90" t="inlineStr">
        <is>
          <t>low</t>
        </is>
      </c>
      <c r="S90" t="inlineStr">
        <is>
          <t>N</t>
        </is>
      </c>
      <c r="T90" t="inlineStr"/>
      <c r="U90" t="inlineStr"/>
      <c r="V90" s="3" t="inlineStr">
        <is>
          <t>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t>
        </is>
      </c>
      <c r="W90" t="inlineStr">
        <is>
          <t>2026-10-23</t>
        </is>
      </c>
      <c r="X90" t="inlineStr">
        <is>
          <t>unknown</t>
        </is>
      </c>
      <c r="Y90" t="inlineStr">
        <is>
          <t>unknown</t>
        </is>
      </c>
      <c r="Z90" t="inlineStr"/>
      <c r="AA90" t="inlineStr"/>
      <c r="AB90" t="inlineStr">
        <is>
          <t>single-source</t>
        </is>
      </c>
      <c r="AC90" t="inlineStr"/>
      <c r="AD90" t="inlineStr"/>
      <c r="AE90" t="inlineStr"/>
      <c r="AF90" t="inlineStr">
        <is>
          <t>unknown</t>
        </is>
      </c>
      <c r="AG90" t="inlineStr"/>
      <c r="AH90" t="inlineStr">
        <is>
          <t>security desk</t>
        </is>
      </c>
      <c r="AI90" t="inlineStr">
        <is>
          <t>near-miss-over-500</t>
        </is>
      </c>
      <c r="AJ90" t="inlineStr">
        <is>
          <t>occupancy-unconfirmed</t>
        </is>
      </c>
      <c r="AK90" t="inlineStr"/>
      <c r="AL90" t="inlineStr">
        <is>
          <t>2019</t>
        </is>
      </c>
      <c r="AM90" s="3" t="inlineStr"/>
      <c r="AN90" t="inlineStr">
        <is>
          <t>leasing-press</t>
        </is>
      </c>
      <c r="AO90" t="inlineStr"/>
      <c r="AP90" t="inlineStr">
        <is>
          <t>no-coworking-in-building</t>
        </is>
      </c>
      <c r="AQ90" t="inlineStr">
        <is>
          <t>1008280033</t>
        </is>
      </c>
      <c r="AR90" t="n">
        <v>0</v>
      </c>
      <c r="AS90" t="inlineStr">
        <is>
          <t>4,713 sf</t>
        </is>
      </c>
      <c r="AT90" t="inlineStr">
        <is>
          <t>S4</t>
        </is>
      </c>
      <c r="AU90" s="3" t="inlineStr">
        <is>
          <t>not-near (5,000 or more): over 500 company-wide (40,000; the count quoted in this row's notes)</t>
        </is>
      </c>
      <c r="AV90" t="inlineStr">
        <is>
          <t>not-near (5,000 or more)</t>
        </is>
      </c>
      <c r="AW90" t="inlineStr">
        <is>
          <t>40000</t>
        </is>
      </c>
      <c r="AX90" t="inlineStr">
        <is>
          <t>N</t>
        </is>
      </c>
    </row>
    <row r="91">
      <c r="A91" t="inlineStr">
        <is>
          <t>B-C-260</t>
        </is>
      </c>
      <c r="B91" t="inlineStr">
        <is>
          <t>Grimshaw (New York studio)</t>
        </is>
      </c>
      <c r="C91" s="2" t="inlineStr">
        <is>
          <t>https://grimshaw.global</t>
        </is>
      </c>
      <c r="D91" t="inlineStr">
        <is>
          <t>architecture</t>
        </is>
      </c>
      <c r="E91" t="inlineStr">
        <is>
          <t>B-B-066</t>
        </is>
      </c>
      <c r="F91" t="inlineStr">
        <is>
          <t>60 Madison Avenue</t>
        </is>
      </c>
      <c r="G91" t="inlineStr">
        <is>
          <t>4</t>
        </is>
      </c>
      <c r="H91" t="inlineStr">
        <is>
          <t>10010</t>
        </is>
      </c>
      <c r="I91" t="n">
        <v>40.743288</v>
      </c>
      <c r="J91" t="n">
        <v>-73.986627</v>
      </c>
      <c r="K91" t="inlineStr">
        <is>
          <t>Y</t>
        </is>
      </c>
      <c r="L91" t="inlineStr">
        <is>
          <t>over-500</t>
        </is>
      </c>
      <c r="M91" t="inlineStr">
        <is>
          <t>whole-company</t>
        </is>
      </c>
      <c r="N91" s="2" t="inlineStr">
        <is>
          <t>https://en.wikipedia.org/wiki/Grimshaw_Architects</t>
        </is>
      </c>
      <c r="O91" s="2" t="inlineStr">
        <is>
          <t>https://grimshaw.global/contact/</t>
        </is>
      </c>
      <c r="P91" t="inlineStr">
        <is>
          <t>2026-10-23</t>
        </is>
      </c>
      <c r="Q91" s="2" t="inlineStr">
        <is>
          <t>https://commercialobserver.com/2022/12/grimshaw-architects-takes-19k-sf-offices-by-madison-square-park/</t>
        </is>
      </c>
      <c r="R91" t="inlineStr">
        <is>
          <t>high</t>
        </is>
      </c>
      <c r="S91" t="inlineStr">
        <is>
          <t>N</t>
        </is>
      </c>
      <c r="T91" t="inlineStr"/>
      <c r="U91" t="inlineStr"/>
      <c r="V91" s="3" t="inlineStr">
        <is>
          <t>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is>
      </c>
      <c r="W91" t="inlineStr">
        <is>
          <t>2026-10-23</t>
        </is>
      </c>
      <c r="X91" t="inlineStr">
        <is>
          <t>unknown</t>
        </is>
      </c>
      <c r="Y91" t="inlineStr">
        <is>
          <t>unknown</t>
        </is>
      </c>
      <c r="Z91" t="inlineStr"/>
      <c r="AA91" t="inlineStr"/>
      <c r="AB91" t="inlineStr">
        <is>
          <t>single-source</t>
        </is>
      </c>
      <c r="AC91" t="inlineStr"/>
      <c r="AD91" t="inlineStr"/>
      <c r="AE91" t="inlineStr"/>
      <c r="AF91" t="inlineStr">
        <is>
          <t>unknown</t>
        </is>
      </c>
      <c r="AG91" t="inlineStr"/>
      <c r="AH91" t="inlineStr">
        <is>
          <t>unknown</t>
        </is>
      </c>
      <c r="AI91" t="inlineStr">
        <is>
          <t>near-miss-over-500</t>
        </is>
      </c>
      <c r="AJ91" t="inlineStr">
        <is>
          <t>occupied</t>
        </is>
      </c>
      <c r="AK91" t="inlineStr"/>
      <c r="AL91" t="inlineStr">
        <is>
          <t>2026-10-24</t>
        </is>
      </c>
      <c r="AM91" s="3" t="inlineStr"/>
      <c r="AN91" t="inlineStr">
        <is>
          <t>company-site</t>
        </is>
      </c>
      <c r="AO91" t="inlineStr">
        <is>
          <t>2022-12-01</t>
        </is>
      </c>
      <c r="AP91" t="inlineStr">
        <is>
          <t>no-coworking-in-building</t>
        </is>
      </c>
      <c r="AQ91" t="inlineStr">
        <is>
          <t>1008560058</t>
        </is>
      </c>
      <c r="AR91" t="n">
        <v>0</v>
      </c>
      <c r="AS91" t="inlineStr">
        <is>
          <t>18,800 sf</t>
        </is>
      </c>
      <c r="AT91" t="inlineStr">
        <is>
          <t>S4</t>
        </is>
      </c>
      <c r="AU91" s="3" t="inlineStr">
        <is>
          <t>just-over-500 (501 to 1,000): over 500 company-wide (600; the count quoted in this row's notes)</t>
        </is>
      </c>
      <c r="AV91" t="inlineStr">
        <is>
          <t>just-over-500 (501 to 1,000)</t>
        </is>
      </c>
      <c r="AW91" t="inlineStr">
        <is>
          <t>600</t>
        </is>
      </c>
      <c r="AX91" t="inlineStr">
        <is>
          <t>N</t>
        </is>
      </c>
    </row>
    <row r="92">
      <c r="A92" t="inlineStr">
        <is>
          <t>B-C-261</t>
        </is>
      </c>
      <c r="B92" t="inlineStr">
        <is>
          <t>Spring Health</t>
        </is>
      </c>
      <c r="C92" s="2" t="inlineStr">
        <is>
          <t>https://www.springhealth.com</t>
        </is>
      </c>
      <c r="D92" t="inlineStr">
        <is>
          <t>healthtech (mental health benefits)</t>
        </is>
      </c>
      <c r="E92" t="inlineStr">
        <is>
          <t>B-B-066</t>
        </is>
      </c>
      <c r="F92" t="inlineStr">
        <is>
          <t>60 Madison Avenue</t>
        </is>
      </c>
      <c r="G92" t="inlineStr">
        <is>
          <t>2-3</t>
        </is>
      </c>
      <c r="H92" t="inlineStr">
        <is>
          <t>10010</t>
        </is>
      </c>
      <c r="I92" t="n">
        <v>40.743288</v>
      </c>
      <c r="J92" t="n">
        <v>-73.986627</v>
      </c>
      <c r="K92" t="inlineStr">
        <is>
          <t>Y</t>
        </is>
      </c>
      <c r="L92" t="inlineStr">
        <is>
          <t>over-500</t>
        </is>
      </c>
      <c r="M92" t="inlineStr">
        <is>
          <t>whole-company</t>
        </is>
      </c>
      <c r="N92" s="2" t="inlineStr">
        <is>
          <t>https://www.builtinnyc.com/company/spring-health/offices</t>
        </is>
      </c>
      <c r="O92" s="2" t="inlineStr">
        <is>
          <t>https://www.builtinnyc.com/company/spring-health/offices</t>
        </is>
      </c>
      <c r="P92" t="inlineStr">
        <is>
          <t>2026-10-23</t>
        </is>
      </c>
      <c r="Q92" s="2" t="inlineStr">
        <is>
          <t>https://commercialobserver.com/2022/08/spring-health-takes-30k-sf-60-madison-office-vacated-by-knotel/</t>
        </is>
      </c>
      <c r="R92" t="inlineStr">
        <is>
          <t>low</t>
        </is>
      </c>
      <c r="S92" t="inlineStr">
        <is>
          <t>N</t>
        </is>
      </c>
      <c r="T92" t="inlineStr"/>
      <c r="U92" t="inlineStr"/>
      <c r="V92" s="3" t="inlineStr">
        <is>
          <t>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t>
        </is>
      </c>
      <c r="W92" t="inlineStr">
        <is>
          <t>2026-10-23</t>
        </is>
      </c>
      <c r="X92" t="inlineStr">
        <is>
          <t>New York</t>
        </is>
      </c>
      <c r="Y92" t="inlineStr">
        <is>
          <t>Y</t>
        </is>
      </c>
      <c r="Z92" t="inlineStr">
        <is>
          <t>https://www.builtinnyc.com/company/spring-health/offices</t>
        </is>
      </c>
      <c r="AA92" t="inlineStr"/>
      <c r="AB92" t="inlineStr">
        <is>
          <t>single-source</t>
        </is>
      </c>
      <c r="AC92" t="inlineStr"/>
      <c r="AD92" t="inlineStr"/>
      <c r="AE92" t="inlineStr"/>
      <c r="AF92" t="inlineStr">
        <is>
          <t>unknown</t>
        </is>
      </c>
      <c r="AG92" t="inlineStr"/>
      <c r="AH92" t="inlineStr">
        <is>
          <t>unknown</t>
        </is>
      </c>
      <c r="AI92" t="inlineStr">
        <is>
          <t>near-miss-over-500</t>
        </is>
      </c>
      <c r="AJ92" t="inlineStr">
        <is>
          <t>occupied</t>
        </is>
      </c>
      <c r="AK92" t="inlineStr"/>
      <c r="AL92" t="inlineStr">
        <is>
          <t>2026-10-23</t>
        </is>
      </c>
      <c r="AM92" s="3" t="inlineStr"/>
      <c r="AN92" t="inlineStr">
        <is>
          <t>builtin</t>
        </is>
      </c>
      <c r="AO92" t="inlineStr">
        <is>
          <t>2022-08-04</t>
        </is>
      </c>
      <c r="AP92" t="inlineStr">
        <is>
          <t>no-coworking-in-building</t>
        </is>
      </c>
      <c r="AQ92" t="inlineStr">
        <is>
          <t>1008560058</t>
        </is>
      </c>
      <c r="AR92" t="n">
        <v>0</v>
      </c>
      <c r="AS92" t="inlineStr">
        <is>
          <t>30,000 sf</t>
        </is>
      </c>
      <c r="AT92" t="inlineStr">
        <is>
          <t>S4</t>
        </is>
      </c>
      <c r="AU92" s="3" t="inlineStr">
        <is>
          <t>over-1,000 (1,001 to 4,999): over 500 company-wide (1,300; the count quoted in this row's notes)</t>
        </is>
      </c>
      <c r="AV92" t="inlineStr">
        <is>
          <t>over-1,000 (1,001 to 4,999)</t>
        </is>
      </c>
      <c r="AW92" t="inlineStr">
        <is>
          <t>1300</t>
        </is>
      </c>
      <c r="AX92" t="inlineStr">
        <is>
          <t>N</t>
        </is>
      </c>
    </row>
    <row r="93">
      <c r="A93" t="inlineStr">
        <is>
          <t>B-C-153</t>
        </is>
      </c>
      <c r="B93" t="inlineStr">
        <is>
          <t>Seedtag</t>
        </is>
      </c>
      <c r="C93" s="2" t="inlineStr">
        <is>
          <t>https://www.seedtag.com</t>
        </is>
      </c>
      <c r="D93" t="inlineStr">
        <is>
          <t>adtech (contextual advertising)</t>
        </is>
      </c>
      <c r="E93" t="inlineStr">
        <is>
          <t>B-B-070</t>
        </is>
      </c>
      <c r="F93" t="inlineStr">
        <is>
          <t>15 West 27th Street</t>
        </is>
      </c>
      <c r="G93" t="inlineStr">
        <is>
          <t>3</t>
        </is>
      </c>
      <c r="H93" t="inlineStr">
        <is>
          <t>10001</t>
        </is>
      </c>
      <c r="I93" t="n">
        <v>40.744515</v>
      </c>
      <c r="J93" t="n">
        <v>-73.988255</v>
      </c>
      <c r="K93" t="inlineStr">
        <is>
          <t>Y</t>
        </is>
      </c>
      <c r="L93" t="inlineStr">
        <is>
          <t>over-500</t>
        </is>
      </c>
      <c r="M93" t="inlineStr">
        <is>
          <t>whole-company</t>
        </is>
      </c>
      <c r="N93" s="2" t="inlineStr">
        <is>
          <t>https://www.reveliolabs.com/companies/seedtag-advertising/employees</t>
        </is>
      </c>
      <c r="O93" s="2" t="inlineStr">
        <is>
          <t>https://www.seedtag.com/contact</t>
        </is>
      </c>
      <c r="P93" t="inlineStr">
        <is>
          <t>2026-10-23</t>
        </is>
      </c>
      <c r="Q93" s="2" t="inlineStr">
        <is>
          <t>https://commercialobserver.com/2023/03/kaufman-organization-seedtag-advertising-15-west-27th-street/</t>
        </is>
      </c>
      <c r="R93" t="inlineStr">
        <is>
          <t>high</t>
        </is>
      </c>
      <c r="S93" t="inlineStr">
        <is>
          <t>N</t>
        </is>
      </c>
      <c r="T93" t="inlineStr"/>
      <c r="U93" t="inlineStr"/>
      <c r="V93" s="3" t="inlineStr">
        <is>
          <t>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is>
      </c>
      <c r="W93" t="inlineStr">
        <is>
          <t>2026-10-23</t>
        </is>
      </c>
      <c r="X93" t="inlineStr">
        <is>
          <t>Madrid</t>
        </is>
      </c>
      <c r="Y93" t="inlineStr">
        <is>
          <t>N</t>
        </is>
      </c>
      <c r="Z93" t="inlineStr">
        <is>
          <t>https://www.reveliolabs.com/companies/seedtag-advertising/employees</t>
        </is>
      </c>
      <c r="AA93" t="inlineStr">
        <is>
          <t>819</t>
        </is>
      </c>
      <c r="AB93" t="inlineStr">
        <is>
          <t>over-500-second-source</t>
        </is>
      </c>
      <c r="AC93" t="inlineStr">
        <is>
          <t>446</t>
        </is>
      </c>
      <c r="AD93" t="inlineStr">
        <is>
          <t>https://www.builtinnyc.com/company/seedtag/offices</t>
        </is>
      </c>
      <c r="AE93" t="inlineStr">
        <is>
          <t>2026-10-23</t>
        </is>
      </c>
      <c r="AF93" t="inlineStr">
        <is>
          <t>unknown</t>
        </is>
      </c>
      <c r="AG93" t="inlineStr"/>
      <c r="AH93" t="inlineStr">
        <is>
          <t>unknown</t>
        </is>
      </c>
      <c r="AI93" t="inlineStr">
        <is>
          <t>near-miss-over-500</t>
        </is>
      </c>
      <c r="AJ93" t="inlineStr">
        <is>
          <t>occupied</t>
        </is>
      </c>
      <c r="AK93" t="inlineStr"/>
      <c r="AL93" t="inlineStr">
        <is>
          <t>2026-08-31</t>
        </is>
      </c>
      <c r="AM93" s="3" t="inlineStr"/>
      <c r="AN93" t="inlineStr">
        <is>
          <t>company-site</t>
        </is>
      </c>
      <c r="AO93" t="inlineStr">
        <is>
          <t>2023-03-28</t>
        </is>
      </c>
      <c r="AP93" t="inlineStr">
        <is>
          <t>no-coworking-in-building</t>
        </is>
      </c>
      <c r="AQ93" t="inlineStr">
        <is>
          <t>1008290032</t>
        </is>
      </c>
      <c r="AR93" t="n">
        <v>0</v>
      </c>
      <c r="AS93" t="inlineStr">
        <is>
          <t>5,909 sf</t>
        </is>
      </c>
      <c r="AT93" t="inlineStr">
        <is>
          <t>S4</t>
        </is>
      </c>
      <c r="AU93" s="3" t="inlineStr">
        <is>
          <t>just-over-500 (501 to 1,000): over 500 company-wide (819; Revelio Labs page in headcount_source_url, as of March 2026, added at review round 2); the NYC office alone may fit the 40-250 band, founder to confirm</t>
        </is>
      </c>
      <c r="AV93" t="inlineStr">
        <is>
          <t>just-over-500 (501 to 1,000)</t>
        </is>
      </c>
      <c r="AW93" t="inlineStr">
        <is>
          <t>819</t>
        </is>
      </c>
      <c r="AX93" t="inlineStr">
        <is>
          <t>Y</t>
        </is>
      </c>
    </row>
    <row r="94">
      <c r="A94" t="inlineStr">
        <is>
          <t>B-C-262</t>
        </is>
      </c>
      <c r="B94" t="inlineStr">
        <is>
          <t>Criteo</t>
        </is>
      </c>
      <c r="C94" s="2" t="inlineStr">
        <is>
          <t>https://www.criteo.com</t>
        </is>
      </c>
      <c r="D94" t="inlineStr">
        <is>
          <t>adtech (commerce media)</t>
        </is>
      </c>
      <c r="E94" t="inlineStr">
        <is>
          <t>B-B-073</t>
        </is>
      </c>
      <c r="F94" t="inlineStr">
        <is>
          <t>387 Park Avenue South</t>
        </is>
      </c>
      <c r="G94" t="inlineStr">
        <is>
          <t>top floor and penthouse</t>
        </is>
      </c>
      <c r="H94" t="inlineStr">
        <is>
          <t>10016</t>
        </is>
      </c>
      <c r="I94" t="n">
        <v>40.742833</v>
      </c>
      <c r="J94" t="n">
        <v>-73.984174</v>
      </c>
      <c r="K94" t="inlineStr">
        <is>
          <t>Y</t>
        </is>
      </c>
      <c r="L94" t="inlineStr">
        <is>
          <t>over-500</t>
        </is>
      </c>
      <c r="M94" t="inlineStr">
        <is>
          <t>whole-company</t>
        </is>
      </c>
      <c r="N94" s="2" t="inlineStr">
        <is>
          <t>https://www.builtinnyc.com/company/criteo/offices</t>
        </is>
      </c>
      <c r="O94" s="2" t="inlineStr">
        <is>
          <t>https://commercialobserver.com/2024/11/criteo-lease-387-park-avenue-south/</t>
        </is>
      </c>
      <c r="P94" t="inlineStr">
        <is>
          <t>2024-11-19</t>
        </is>
      </c>
      <c r="Q94" s="2" t="inlineStr">
        <is>
          <t>https://www.builtinnyc.com/company/criteo/offices</t>
        </is>
      </c>
      <c r="R94" t="inlineStr">
        <is>
          <t>high</t>
        </is>
      </c>
      <c r="S94" t="inlineStr">
        <is>
          <t>N</t>
        </is>
      </c>
      <c r="T94" t="inlineStr"/>
      <c r="U94" t="inlineStr"/>
      <c r="V94" s="3" t="inlineStr">
        <is>
          <t>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is>
      </c>
      <c r="W94" t="inlineStr">
        <is>
          <t>2026-10-23</t>
        </is>
      </c>
      <c r="X94" t="inlineStr">
        <is>
          <t>unknown</t>
        </is>
      </c>
      <c r="Y94" t="inlineStr">
        <is>
          <t>unknown</t>
        </is>
      </c>
      <c r="Z94" t="inlineStr">
        <is>
          <t>https://www.builtinnyc.com/company/criteo/offices</t>
        </is>
      </c>
      <c r="AA94" t="inlineStr"/>
      <c r="AB94" t="inlineStr">
        <is>
          <t>single-source</t>
        </is>
      </c>
      <c r="AC94" t="inlineStr"/>
      <c r="AD94" t="inlineStr"/>
      <c r="AE94" t="inlineStr"/>
      <c r="AF94" t="inlineStr">
        <is>
          <t>unknown</t>
        </is>
      </c>
      <c r="AG94" t="inlineStr"/>
      <c r="AH94" t="inlineStr">
        <is>
          <t>unknown</t>
        </is>
      </c>
      <c r="AI94" t="inlineStr">
        <is>
          <t>near-miss-over-500</t>
        </is>
      </c>
      <c r="AJ94" t="inlineStr">
        <is>
          <t>occupied</t>
        </is>
      </c>
      <c r="AK94" t="inlineStr"/>
      <c r="AL94" t="inlineStr">
        <is>
          <t>2026-10-23</t>
        </is>
      </c>
      <c r="AM94" s="3" t="inlineStr"/>
      <c r="AN94" t="inlineStr">
        <is>
          <t>leasing-press</t>
        </is>
      </c>
      <c r="AO94" t="inlineStr">
        <is>
          <t>2026-10-23</t>
        </is>
      </c>
      <c r="AP94" t="inlineStr">
        <is>
          <t>direct-lease-documented</t>
        </is>
      </c>
      <c r="AQ94" t="inlineStr">
        <is>
          <t>1008830001</t>
        </is>
      </c>
      <c r="AR94" t="n">
        <v>0</v>
      </c>
      <c r="AS94" t="inlineStr">
        <is>
          <t>21,000 sf</t>
        </is>
      </c>
      <c r="AT94" t="inlineStr">
        <is>
          <t>S4</t>
        </is>
      </c>
      <c r="AU94" s="3" t="inlineStr">
        <is>
          <t>over-1,000 (1,001 to 4,999): over 500 company-wide (2,868; the count quoted in this row's notes)</t>
        </is>
      </c>
      <c r="AV94" t="inlineStr">
        <is>
          <t>over-1,000 (1,001 to 4,999)</t>
        </is>
      </c>
      <c r="AW94" t="inlineStr">
        <is>
          <t>2868</t>
        </is>
      </c>
      <c r="AX94" t="inlineStr">
        <is>
          <t>N</t>
        </is>
      </c>
    </row>
    <row r="95">
      <c r="A95" t="inlineStr">
        <is>
          <t>B-C-263</t>
        </is>
      </c>
      <c r="B95" t="inlineStr">
        <is>
          <t>PMG Worldwide</t>
        </is>
      </c>
      <c r="C95" s="2" t="inlineStr">
        <is>
          <t>https://www.pmg.com</t>
        </is>
      </c>
      <c r="D95" t="inlineStr">
        <is>
          <t>marketing agency</t>
        </is>
      </c>
      <c r="E95" t="inlineStr">
        <is>
          <t>B-B-073</t>
        </is>
      </c>
      <c r="F95" t="inlineStr">
        <is>
          <t>387 Park Avenue South</t>
        </is>
      </c>
      <c r="G95" t="inlineStr">
        <is>
          <t>2-3</t>
        </is>
      </c>
      <c r="H95" t="inlineStr">
        <is>
          <t>10016</t>
        </is>
      </c>
      <c r="I95" t="n">
        <v>40.742833</v>
      </c>
      <c r="J95" t="n">
        <v>-73.984174</v>
      </c>
      <c r="K95" t="inlineStr">
        <is>
          <t>Y</t>
        </is>
      </c>
      <c r="L95" t="inlineStr">
        <is>
          <t>over-500</t>
        </is>
      </c>
      <c r="M95" t="inlineStr">
        <is>
          <t>whole-company</t>
        </is>
      </c>
      <c r="N95" s="2" t="inlineStr">
        <is>
          <t>https://www.builtinnyc.com/company/pmg/offices</t>
        </is>
      </c>
      <c r="O95" s="2" t="inlineStr">
        <is>
          <t>https://commercialobserver.com/2026/08/hanover-park-lease-tf-cornerstone-387-park-avenue-south/</t>
        </is>
      </c>
      <c r="P95" t="inlineStr">
        <is>
          <t>2026-08-12</t>
        </is>
      </c>
      <c r="Q95" s="2" t="inlineStr">
        <is>
          <t>https://www.builtinnyc.com/company/pmg/offices</t>
        </is>
      </c>
      <c r="R95" t="inlineStr">
        <is>
          <t>high</t>
        </is>
      </c>
      <c r="S95" t="inlineStr">
        <is>
          <t>N</t>
        </is>
      </c>
      <c r="T95" t="inlineStr"/>
      <c r="U95" t="inlineStr"/>
      <c r="V95" s="3" t="inlineStr">
        <is>
          <t>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is>
      </c>
      <c r="W95" t="inlineStr">
        <is>
          <t>2026-10-23</t>
        </is>
      </c>
      <c r="X95" t="inlineStr">
        <is>
          <t>Dallas</t>
        </is>
      </c>
      <c r="Y95" t="inlineStr">
        <is>
          <t>N</t>
        </is>
      </c>
      <c r="Z95" t="inlineStr">
        <is>
          <t>https://www.builtinnyc.com/company/pmg/offices</t>
        </is>
      </c>
      <c r="AA95" t="inlineStr"/>
      <c r="AB95" t="inlineStr">
        <is>
          <t>single-source</t>
        </is>
      </c>
      <c r="AC95" t="inlineStr"/>
      <c r="AD95" t="inlineStr"/>
      <c r="AE95" t="inlineStr"/>
      <c r="AF95" t="inlineStr">
        <is>
          <t>unknown</t>
        </is>
      </c>
      <c r="AG95" t="inlineStr"/>
      <c r="AH95" t="inlineStr">
        <is>
          <t>unknown</t>
        </is>
      </c>
      <c r="AI95" t="inlineStr">
        <is>
          <t>near-miss-over-500</t>
        </is>
      </c>
      <c r="AJ95" t="inlineStr">
        <is>
          <t>occupied</t>
        </is>
      </c>
      <c r="AK95" t="inlineStr"/>
      <c r="AL95" t="inlineStr">
        <is>
          <t>2026-10-23</t>
        </is>
      </c>
      <c r="AM95" s="3" t="inlineStr"/>
      <c r="AN95" t="inlineStr">
        <is>
          <t>leasing-press</t>
        </is>
      </c>
      <c r="AO95" t="inlineStr">
        <is>
          <t>2026-10-23</t>
        </is>
      </c>
      <c r="AP95" t="inlineStr">
        <is>
          <t>different-floor</t>
        </is>
      </c>
      <c r="AQ95" t="inlineStr">
        <is>
          <t>1008830001</t>
        </is>
      </c>
      <c r="AR95" t="n">
        <v>0</v>
      </c>
      <c r="AS95" t="inlineStr">
        <is>
          <t>38,744 sf</t>
        </is>
      </c>
      <c r="AT95" t="inlineStr">
        <is>
          <t>S4</t>
        </is>
      </c>
      <c r="AU95" s="3" t="inlineStr">
        <is>
          <t>just-over-500 (501 to 1,000): over 500 company-wide (1,000; the count quoted in this row's notes)</t>
        </is>
      </c>
      <c r="AV95" t="inlineStr">
        <is>
          <t>just-over-500 (501 to 1,000)</t>
        </is>
      </c>
      <c r="AW95" t="inlineStr">
        <is>
          <t>1000</t>
        </is>
      </c>
      <c r="AX95" t="inlineStr">
        <is>
          <t>N</t>
        </is>
      </c>
    </row>
    <row r="96">
      <c r="A96" t="inlineStr">
        <is>
          <t>B-C-158</t>
        </is>
      </c>
      <c r="B96" t="inlineStr">
        <is>
          <t>Sigma Computing</t>
        </is>
      </c>
      <c r="C96" s="2" t="inlineStr">
        <is>
          <t>https://www.sigmacomputing.com</t>
        </is>
      </c>
      <c r="D96" t="inlineStr">
        <is>
          <t>software (cloud analytics)</t>
        </is>
      </c>
      <c r="E96" t="inlineStr">
        <is>
          <t>B-B-072</t>
        </is>
      </c>
      <c r="F96" t="inlineStr">
        <is>
          <t>386 Park Avenue South</t>
        </is>
      </c>
      <c r="G96" t="inlineStr">
        <is>
          <t>5-6</t>
        </is>
      </c>
      <c r="H96" t="inlineStr">
        <is>
          <t>10016</t>
        </is>
      </c>
      <c r="I96" t="n">
        <v>40.743003</v>
      </c>
      <c r="J96" t="n">
        <v>-73.98456899999999</v>
      </c>
      <c r="K96" t="inlineStr">
        <is>
          <t>Y</t>
        </is>
      </c>
      <c r="L96" t="inlineStr">
        <is>
          <t>over-500</t>
        </is>
      </c>
      <c r="M96" t="inlineStr">
        <is>
          <t>whole-company</t>
        </is>
      </c>
      <c r="N96" s="2" t="inlineStr">
        <is>
          <t>https://www.reveliolabs.com/companies/sigma-computing/employees</t>
        </is>
      </c>
      <c r="O96" s="2" t="inlineStr">
        <is>
          <t>https://commercialobserver.com/2026/02/primary-ventures-sigma-computing-leases-386-park-avenue-south/</t>
        </is>
      </c>
      <c r="P96" t="inlineStr">
        <is>
          <t>2026-02-27</t>
        </is>
      </c>
      <c r="Q96" t="inlineStr"/>
      <c r="R96" t="inlineStr">
        <is>
          <t>medium</t>
        </is>
      </c>
      <c r="S96" t="inlineStr">
        <is>
          <t>N</t>
        </is>
      </c>
      <c r="T96" t="inlineStr"/>
      <c r="U96" t="inlineStr"/>
      <c r="V96" s="3" t="inlineStr">
        <is>
          <t>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t>
        </is>
      </c>
      <c r="W96" t="inlineStr">
        <is>
          <t>2026-10-23</t>
        </is>
      </c>
      <c r="X96" t="inlineStr">
        <is>
          <t>San Francisco</t>
        </is>
      </c>
      <c r="Y96" t="inlineStr">
        <is>
          <t>N</t>
        </is>
      </c>
      <c r="Z96" t="inlineStr">
        <is>
          <t>https://www.builtinnyc.com/company/sigma-computing/offices</t>
        </is>
      </c>
      <c r="AA96" t="inlineStr">
        <is>
          <t>964</t>
        </is>
      </c>
      <c r="AB96" t="inlineStr">
        <is>
          <t>over-500-second-source</t>
        </is>
      </c>
      <c r="AC96" t="inlineStr">
        <is>
          <t>329</t>
        </is>
      </c>
      <c r="AD96" t="inlineStr">
        <is>
          <t>https://www.builtinnyc.com/company/sigma-computing</t>
        </is>
      </c>
      <c r="AE96" t="inlineStr">
        <is>
          <t>2026-10-23</t>
        </is>
      </c>
      <c r="AF96" t="inlineStr">
        <is>
          <t>unknown</t>
        </is>
      </c>
      <c r="AG96" t="inlineStr"/>
      <c r="AH96" t="inlineStr">
        <is>
          <t>unknown</t>
        </is>
      </c>
      <c r="AI96" t="inlineStr">
        <is>
          <t>near-miss-over-500</t>
        </is>
      </c>
      <c r="AJ96" t="inlineStr">
        <is>
          <t>signed-not-occupied</t>
        </is>
      </c>
      <c r="AK96" t="inlineStr">
        <is>
          <t>unknown</t>
        </is>
      </c>
      <c r="AL96" t="inlineStr">
        <is>
          <t>2026-08-31</t>
        </is>
      </c>
      <c r="AM96" s="3" t="inlineStr"/>
      <c r="AN96" t="inlineStr">
        <is>
          <t>leasing-press</t>
        </is>
      </c>
      <c r="AO96" t="inlineStr"/>
      <c r="AP96" t="inlineStr">
        <is>
          <t>different-floor</t>
        </is>
      </c>
      <c r="AQ96" t="inlineStr">
        <is>
          <t>1008570038</t>
        </is>
      </c>
      <c r="AR96" t="n">
        <v>0</v>
      </c>
      <c r="AS96" t="inlineStr">
        <is>
          <t>26,252 sf</t>
        </is>
      </c>
      <c r="AT96" t="inlineStr">
        <is>
          <t>S4</t>
        </is>
      </c>
      <c r="AU96" s="3" t="inlineStr">
        <is>
          <t>just-over-500 (501 to 1,000): over 500 company-wide (964; Revelio Labs page in headcount_source_url, as of March 2026, added at review round 2); the NYC office alone may fit the 40-250 band, founder to confirm</t>
        </is>
      </c>
      <c r="AV96" t="inlineStr">
        <is>
          <t>just-over-500 (501 to 1,000)</t>
        </is>
      </c>
      <c r="AW96" t="inlineStr">
        <is>
          <t>964</t>
        </is>
      </c>
      <c r="AX96" t="inlineStr">
        <is>
          <t>Y</t>
        </is>
      </c>
    </row>
    <row r="97">
      <c r="A97" t="inlineStr">
        <is>
          <t>B-C-264</t>
        </is>
      </c>
      <c r="B97" t="inlineStr">
        <is>
          <t>American Eagle Outfitters (NYC headquarters offices)</t>
        </is>
      </c>
      <c r="C97" s="2" t="inlineStr">
        <is>
          <t>https://www.ae.com</t>
        </is>
      </c>
      <c r="D97" t="inlineStr">
        <is>
          <t>apparel retailer (corporate offices)</t>
        </is>
      </c>
      <c r="E97" t="inlineStr"/>
      <c r="F97" t="inlineStr">
        <is>
          <t>63 Madison Avenue</t>
        </is>
      </c>
      <c r="G97" t="inlineStr">
        <is>
          <t>multiple</t>
        </is>
      </c>
      <c r="H97" t="inlineStr">
        <is>
          <t>10016</t>
        </is>
      </c>
      <c r="I97" t="n">
        <v>40.743639</v>
      </c>
      <c r="J97" t="n">
        <v>-73.98576</v>
      </c>
      <c r="K97" t="inlineStr">
        <is>
          <t>Y</t>
        </is>
      </c>
      <c r="L97" t="inlineStr">
        <is>
          <t>over-500</t>
        </is>
      </c>
      <c r="M97" t="inlineStr">
        <is>
          <t>whole-company</t>
        </is>
      </c>
      <c r="N97" s="2" t="inlineStr">
        <is>
          <t>https://www.builtinnyc.com/company/american-eagle-outfitters/offices</t>
        </is>
      </c>
      <c r="O97" s="2" t="inlineStr">
        <is>
          <t>https://commercialobserver.com/2025/08/american-eagle-outfitters-expansion-63-madison-avenue/</t>
        </is>
      </c>
      <c r="P97" t="inlineStr">
        <is>
          <t>2025-08-25</t>
        </is>
      </c>
      <c r="Q97" t="inlineStr"/>
      <c r="R97" t="inlineStr">
        <is>
          <t>medium</t>
        </is>
      </c>
      <c r="S97" t="inlineStr">
        <is>
          <t>N</t>
        </is>
      </c>
      <c r="T97" t="inlineStr"/>
      <c r="U97" t="inlineStr"/>
      <c r="V97" s="3" t="inlineStr">
        <is>
          <t>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is>
      </c>
      <c r="W97" t="inlineStr">
        <is>
          <t>2026-10-23</t>
        </is>
      </c>
      <c r="X97" t="inlineStr">
        <is>
          <t>Pittsburgh</t>
        </is>
      </c>
      <c r="Y97" t="inlineStr">
        <is>
          <t>N</t>
        </is>
      </c>
      <c r="Z97" t="inlineStr">
        <is>
          <t>https://www.builtinnyc.com/company/american-eagle-outfitters/offices</t>
        </is>
      </c>
      <c r="AA97" t="inlineStr"/>
      <c r="AB97" t="inlineStr">
        <is>
          <t>single-source</t>
        </is>
      </c>
      <c r="AC97" t="inlineStr"/>
      <c r="AD97" t="inlineStr"/>
      <c r="AE97" t="inlineStr"/>
      <c r="AF97" t="inlineStr">
        <is>
          <t>unknown</t>
        </is>
      </c>
      <c r="AG97" t="inlineStr"/>
      <c r="AH97" t="inlineStr">
        <is>
          <t>security desk</t>
        </is>
      </c>
      <c r="AI97" t="inlineStr">
        <is>
          <t>near-miss-over-500</t>
        </is>
      </c>
      <c r="AJ97" t="inlineStr">
        <is>
          <t>occupied</t>
        </is>
      </c>
      <c r="AK97" t="inlineStr"/>
      <c r="AL97" t="inlineStr">
        <is>
          <t>2026-10-23</t>
        </is>
      </c>
      <c r="AM97" s="3" t="inlineStr"/>
      <c r="AN97" t="inlineStr">
        <is>
          <t>leasing-press</t>
        </is>
      </c>
      <c r="AO97" t="inlineStr"/>
      <c r="AP97" t="inlineStr">
        <is>
          <t>no-coworking-in-building</t>
        </is>
      </c>
      <c r="AQ97" t="inlineStr">
        <is>
          <t>1008570024</t>
        </is>
      </c>
      <c r="AR97" t="n">
        <v>0</v>
      </c>
      <c r="AS97" t="inlineStr">
        <is>
          <t>392,185 sf</t>
        </is>
      </c>
      <c r="AT97" t="inlineStr">
        <is>
          <t>S4</t>
        </is>
      </c>
      <c r="AU97" s="3" t="inlineStr">
        <is>
          <t>not-near (5,000 or more): over 500 company-wide (17,000; the count quoted in this row's notes)</t>
        </is>
      </c>
      <c r="AV97" t="inlineStr">
        <is>
          <t>not-near (5,000 or more)</t>
        </is>
      </c>
      <c r="AW97" t="inlineStr">
        <is>
          <t>17000</t>
        </is>
      </c>
      <c r="AX97" t="inlineStr">
        <is>
          <t>N</t>
        </is>
      </c>
    </row>
    <row r="98">
      <c r="A98" t="inlineStr">
        <is>
          <t>B-C-265</t>
        </is>
      </c>
      <c r="B98" t="inlineStr">
        <is>
          <t>Prosek Partners</t>
        </is>
      </c>
      <c r="C98" s="2" t="inlineStr">
        <is>
          <t>https://www.prosek.com</t>
        </is>
      </c>
      <c r="D98" t="inlineStr">
        <is>
          <t>communications and marketing agency</t>
        </is>
      </c>
      <c r="E98" t="inlineStr"/>
      <c r="F98" t="inlineStr">
        <is>
          <t>28 East 28th Street</t>
        </is>
      </c>
      <c r="G98" t="inlineStr">
        <is>
          <t>15</t>
        </is>
      </c>
      <c r="H98" t="inlineStr">
        <is>
          <t>10016</t>
        </is>
      </c>
      <c r="I98" t="n">
        <v>40.743594</v>
      </c>
      <c r="J98" t="n">
        <v>-73.98525100000001</v>
      </c>
      <c r="K98" t="inlineStr">
        <is>
          <t>Y</t>
        </is>
      </c>
      <c r="L98" t="inlineStr">
        <is>
          <t>over-500</t>
        </is>
      </c>
      <c r="M98" t="inlineStr">
        <is>
          <t>whole-company</t>
        </is>
      </c>
      <c r="N98" s="2" t="inlineStr">
        <is>
          <t>https://www.builtinnyc.com/company/prosek-partners/offices</t>
        </is>
      </c>
      <c r="O98" s="2" t="inlineStr">
        <is>
          <t>https://www.prosek.com/contact-us/</t>
        </is>
      </c>
      <c r="P98" t="inlineStr">
        <is>
          <t>2026-10-23</t>
        </is>
      </c>
      <c r="Q98" s="2" t="inlineStr">
        <is>
          <t>https://commercialobserver.com/2022/06/communication-firm-prosek-partners-leases-34k-sf-at-28-east-28th-street/</t>
        </is>
      </c>
      <c r="R98" t="inlineStr">
        <is>
          <t>high</t>
        </is>
      </c>
      <c r="S98" t="inlineStr">
        <is>
          <t>N</t>
        </is>
      </c>
      <c r="T98" t="inlineStr"/>
      <c r="U98" t="inlineStr"/>
      <c r="V98" s="3" t="inlineStr">
        <is>
          <t>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is>
      </c>
      <c r="W98" t="inlineStr">
        <is>
          <t>2026-10-23</t>
        </is>
      </c>
      <c r="X98" t="inlineStr">
        <is>
          <t>New York</t>
        </is>
      </c>
      <c r="Y98" t="inlineStr">
        <is>
          <t>Y</t>
        </is>
      </c>
      <c r="Z98" t="inlineStr">
        <is>
          <t>https://www.builtinnyc.com/company/prosek-partners/offices</t>
        </is>
      </c>
      <c r="AA98" t="inlineStr"/>
      <c r="AB98" t="inlineStr">
        <is>
          <t>single-source</t>
        </is>
      </c>
      <c r="AC98" t="inlineStr"/>
      <c r="AD98" t="inlineStr"/>
      <c r="AE98" t="inlineStr"/>
      <c r="AF98" t="inlineStr">
        <is>
          <t>unknown</t>
        </is>
      </c>
      <c r="AG98" t="inlineStr"/>
      <c r="AH98" t="inlineStr">
        <is>
          <t>security desk</t>
        </is>
      </c>
      <c r="AI98" t="inlineStr">
        <is>
          <t>near-miss-over-500</t>
        </is>
      </c>
      <c r="AJ98" t="inlineStr">
        <is>
          <t>occupied</t>
        </is>
      </c>
      <c r="AK98" t="inlineStr"/>
      <c r="AL98" t="inlineStr">
        <is>
          <t>2026-10-23</t>
        </is>
      </c>
      <c r="AM98" s="3" t="inlineStr"/>
      <c r="AN98" t="inlineStr">
        <is>
          <t>company-site</t>
        </is>
      </c>
      <c r="AO98" t="inlineStr">
        <is>
          <t>2022-06-14</t>
        </is>
      </c>
      <c r="AP98" t="inlineStr">
        <is>
          <t>no-coworking-in-building</t>
        </is>
      </c>
      <c r="AQ98" t="inlineStr">
        <is>
          <t>1008570024</t>
        </is>
      </c>
      <c r="AR98" t="n">
        <v>0</v>
      </c>
      <c r="AS98" t="inlineStr">
        <is>
          <t>34,000 sf</t>
        </is>
      </c>
      <c r="AT98" t="inlineStr">
        <is>
          <t>S4</t>
        </is>
      </c>
      <c r="AU98" s="3" t="inlineStr">
        <is>
          <t>just-over-500 (501 to 1,000): over 500 company-wide (549; the count quoted in this row's notes)</t>
        </is>
      </c>
      <c r="AV98" t="inlineStr">
        <is>
          <t>just-over-500 (501 to 1,000)</t>
        </is>
      </c>
      <c r="AW98" t="inlineStr">
        <is>
          <t>549</t>
        </is>
      </c>
      <c r="AX98" t="inlineStr">
        <is>
          <t>N</t>
        </is>
      </c>
    </row>
    <row r="99">
      <c r="A99" t="inlineStr">
        <is>
          <t>B-C-266</t>
        </is>
      </c>
      <c r="B99" t="inlineStr">
        <is>
          <t>Lockton Re</t>
        </is>
      </c>
      <c r="C99" s="2" t="inlineStr">
        <is>
          <t>https://global.lockton.com/re/en</t>
        </is>
      </c>
      <c r="D99" t="inlineStr">
        <is>
          <t>reinsurance brokerage</t>
        </is>
      </c>
      <c r="E99" t="inlineStr">
        <is>
          <t>B-B-077</t>
        </is>
      </c>
      <c r="F99" t="inlineStr">
        <is>
          <t>261 Fifth Avenue</t>
        </is>
      </c>
      <c r="G99" t="inlineStr">
        <is>
          <t>10</t>
        </is>
      </c>
      <c r="H99" t="inlineStr">
        <is>
          <t>10016</t>
        </is>
      </c>
      <c r="I99" t="n">
        <v>40.745027</v>
      </c>
      <c r="J99" t="n">
        <v>-73.986825</v>
      </c>
      <c r="K99" t="inlineStr">
        <is>
          <t>Y</t>
        </is>
      </c>
      <c r="L99" t="inlineStr">
        <is>
          <t>over-500</t>
        </is>
      </c>
      <c r="M99" t="inlineStr">
        <is>
          <t>whole-company</t>
        </is>
      </c>
      <c r="N99" s="2" t="inlineStr">
        <is>
          <t>https://en.wikipedia.org/wiki/Lockton_Companies</t>
        </is>
      </c>
      <c r="O99" s="2" t="inlineStr">
        <is>
          <t>https://commercialobserver.com/2023/07/lockton-re-relocating-to-19k-sf-at-261-fifth-avenue/</t>
        </is>
      </c>
      <c r="P99" t="inlineStr">
        <is>
          <t>2023-07</t>
        </is>
      </c>
      <c r="Q99" s="2" t="inlineStr">
        <is>
          <t>https://rebusinessonline.com/lockton-re-signs-19326-sf-office-lease-in-manhattans-nomad-district/</t>
        </is>
      </c>
      <c r="R99" t="inlineStr">
        <is>
          <t>low</t>
        </is>
      </c>
      <c r="S99" t="inlineStr">
        <is>
          <t>N</t>
        </is>
      </c>
      <c r="T99" t="inlineStr"/>
      <c r="U99" t="inlineStr"/>
      <c r="V99" s="3" t="inlineStr">
        <is>
          <t>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is>
      </c>
      <c r="W99" t="inlineStr">
        <is>
          <t>2026-10-23</t>
        </is>
      </c>
      <c r="X99" t="inlineStr">
        <is>
          <t>unknown</t>
        </is>
      </c>
      <c r="Y99" t="inlineStr">
        <is>
          <t>unknown</t>
        </is>
      </c>
      <c r="Z99" t="inlineStr"/>
      <c r="AA99" t="inlineStr"/>
      <c r="AB99" t="inlineStr">
        <is>
          <t>single-source</t>
        </is>
      </c>
      <c r="AC99" t="inlineStr"/>
      <c r="AD99" t="inlineStr"/>
      <c r="AE99" t="inlineStr"/>
      <c r="AF99" t="inlineStr">
        <is>
          <t>Lockton Companies</t>
        </is>
      </c>
      <c r="AG99" t="inlineStr">
        <is>
          <t>row notes</t>
        </is>
      </c>
      <c r="AH99" t="inlineStr">
        <is>
          <t>security desk</t>
        </is>
      </c>
      <c r="AI99" t="inlineStr">
        <is>
          <t>near-miss-over-500</t>
        </is>
      </c>
      <c r="AJ99" t="inlineStr">
        <is>
          <t>occupancy-unconfirmed</t>
        </is>
      </c>
      <c r="AK99" t="inlineStr"/>
      <c r="AL99" t="inlineStr">
        <is>
          <t>2026-10-24</t>
        </is>
      </c>
      <c r="AM99" s="3" t="inlineStr"/>
      <c r="AN99" t="inlineStr">
        <is>
          <t>leasing-press</t>
        </is>
      </c>
      <c r="AO99" t="inlineStr">
        <is>
          <t>2023-07-17</t>
        </is>
      </c>
      <c r="AP99" t="inlineStr">
        <is>
          <t>no-coworking-in-building</t>
        </is>
      </c>
      <c r="AQ99" t="inlineStr">
        <is>
          <t>1008580078</t>
        </is>
      </c>
      <c r="AR99" t="n">
        <v>0</v>
      </c>
      <c r="AS99" t="inlineStr">
        <is>
          <t>19,326 sf</t>
        </is>
      </c>
      <c r="AT99" t="inlineStr">
        <is>
          <t>S4</t>
        </is>
      </c>
      <c r="AU99" s="3" t="inlineStr">
        <is>
          <t>not-near (5,000 or more): over 500 company-wide (13,100; the count quoted in this row's notes)</t>
        </is>
      </c>
      <c r="AV99" t="inlineStr">
        <is>
          <t>not-near (5,000 or more)</t>
        </is>
      </c>
      <c r="AW99" t="inlineStr">
        <is>
          <t>13100</t>
        </is>
      </c>
      <c r="AX99" t="inlineStr">
        <is>
          <t>N</t>
        </is>
      </c>
    </row>
    <row r="100">
      <c r="A100" t="inlineStr">
        <is>
          <t>B-C-267</t>
        </is>
      </c>
      <c r="B100" t="inlineStr">
        <is>
          <t>MiQ Digital USA</t>
        </is>
      </c>
      <c r="C100" s="2" t="inlineStr">
        <is>
          <t>https://www.wearemiq.com</t>
        </is>
      </c>
      <c r="D100" t="inlineStr">
        <is>
          <t>adtech (programmatic media)</t>
        </is>
      </c>
      <c r="E100" t="inlineStr">
        <is>
          <t>B-B-077</t>
        </is>
      </c>
      <c r="F100" t="inlineStr">
        <is>
          <t>261 Fifth Avenue</t>
        </is>
      </c>
      <c r="G100" t="inlineStr">
        <is>
          <t>25-26 now; moving to 19-21</t>
        </is>
      </c>
      <c r="H100" t="inlineStr">
        <is>
          <t>10016</t>
        </is>
      </c>
      <c r="I100" t="n">
        <v>40.745027</v>
      </c>
      <c r="J100" t="n">
        <v>-73.986825</v>
      </c>
      <c r="K100" t="inlineStr">
        <is>
          <t>Y</t>
        </is>
      </c>
      <c r="L100" t="inlineStr">
        <is>
          <t>over-500</t>
        </is>
      </c>
      <c r="M100" t="inlineStr">
        <is>
          <t>whole-company</t>
        </is>
      </c>
      <c r="N100" s="2" t="inlineStr">
        <is>
          <t>https://www.builtinnyc.com/company/miq-digital/offices</t>
        </is>
      </c>
      <c r="O100" s="2" t="inlineStr">
        <is>
          <t>https://nyrej.com/print/57401</t>
        </is>
      </c>
      <c r="P100" t="inlineStr">
        <is>
          <t>2026-04-14</t>
        </is>
      </c>
      <c r="Q100" t="inlineStr"/>
      <c r="R100" t="inlineStr">
        <is>
          <t>medium</t>
        </is>
      </c>
      <c r="S100" t="inlineStr">
        <is>
          <t>N</t>
        </is>
      </c>
      <c r="T100" t="inlineStr"/>
      <c r="U100" t="inlineStr"/>
      <c r="V100" s="3" t="inlineStr">
        <is>
          <t>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is>
      </c>
      <c r="W100" t="inlineStr">
        <is>
          <t>2026-10-23</t>
        </is>
      </c>
      <c r="X100" t="inlineStr">
        <is>
          <t>unknown</t>
        </is>
      </c>
      <c r="Y100" t="inlineStr">
        <is>
          <t>unknown</t>
        </is>
      </c>
      <c r="Z100" t="inlineStr">
        <is>
          <t>https://www.builtinnyc.com/company/miq-digital/offices</t>
        </is>
      </c>
      <c r="AA100" t="inlineStr"/>
      <c r="AB100" t="inlineStr">
        <is>
          <t>single-source</t>
        </is>
      </c>
      <c r="AC100" t="inlineStr"/>
      <c r="AD100" t="inlineStr"/>
      <c r="AE100" t="inlineStr"/>
      <c r="AF100" t="inlineStr">
        <is>
          <t>unknown</t>
        </is>
      </c>
      <c r="AG100" t="inlineStr"/>
      <c r="AH100" t="inlineStr">
        <is>
          <t>security desk</t>
        </is>
      </c>
      <c r="AI100" t="inlineStr">
        <is>
          <t>near-miss-over-500</t>
        </is>
      </c>
      <c r="AJ100" t="inlineStr">
        <is>
          <t>occupied</t>
        </is>
      </c>
      <c r="AK100" t="inlineStr"/>
      <c r="AL100" t="inlineStr">
        <is>
          <t>2026-10-23</t>
        </is>
      </c>
      <c r="AM100" s="3" t="inlineStr"/>
      <c r="AN100" t="inlineStr">
        <is>
          <t>leasing-press</t>
        </is>
      </c>
      <c r="AO100" t="inlineStr"/>
      <c r="AP100" t="inlineStr">
        <is>
          <t>no-coworking-in-building</t>
        </is>
      </c>
      <c r="AQ100" t="inlineStr">
        <is>
          <t>1008580078</t>
        </is>
      </c>
      <c r="AR100" t="n">
        <v>0</v>
      </c>
      <c r="AS100" t="inlineStr">
        <is>
          <t>23,400 sf; 42,000 sf</t>
        </is>
      </c>
      <c r="AT100" t="inlineStr">
        <is>
          <t>S4</t>
        </is>
      </c>
      <c r="AU100" s="3" t="inlineStr">
        <is>
          <t>over-1,000 (1,001 to 4,999): over 500 company-wide (1,385; the count quoted in this row's notes)</t>
        </is>
      </c>
      <c r="AV100" t="inlineStr">
        <is>
          <t>over-1,000 (1,001 to 4,999)</t>
        </is>
      </c>
      <c r="AW100" t="inlineStr">
        <is>
          <t>1385</t>
        </is>
      </c>
      <c r="AX100" t="inlineStr">
        <is>
          <t>N</t>
        </is>
      </c>
    </row>
    <row r="101">
      <c r="A101" t="inlineStr">
        <is>
          <t>B-C-268</t>
        </is>
      </c>
      <c r="B101" t="inlineStr">
        <is>
          <t>Bridgewater Associates (first Manhattan office)</t>
        </is>
      </c>
      <c r="C101" t="inlineStr">
        <is>
          <t>unknown</t>
        </is>
      </c>
      <c r="D101" t="inlineStr">
        <is>
          <t>hedge fund</t>
        </is>
      </c>
      <c r="E101" t="inlineStr">
        <is>
          <t>B-B-082</t>
        </is>
      </c>
      <c r="F101" t="inlineStr">
        <is>
          <t>295 Fifth Avenue</t>
        </is>
      </c>
      <c r="G101" t="inlineStr">
        <is>
          <t>unknown</t>
        </is>
      </c>
      <c r="H101" t="inlineStr">
        <is>
          <t>10016</t>
        </is>
      </c>
      <c r="I101" t="n">
        <v>40.746186</v>
      </c>
      <c r="J101" t="n">
        <v>-73.985981</v>
      </c>
      <c r="K101" t="inlineStr">
        <is>
          <t>Y</t>
        </is>
      </c>
      <c r="L101" t="inlineStr">
        <is>
          <t>over-500</t>
        </is>
      </c>
      <c r="M101" t="inlineStr">
        <is>
          <t>whole-company</t>
        </is>
      </c>
      <c r="N101" s="2" t="inlineStr">
        <is>
          <t>https://www.builtinnyc.com/company/bridgewater-associates/offices</t>
        </is>
      </c>
      <c r="O101" s="2" t="inlineStr">
        <is>
          <t>https://commercialobserver.com/2024/09/bridgewater-associates-lease-295-fifth-avenue/</t>
        </is>
      </c>
      <c r="P101" t="inlineStr">
        <is>
          <t>2024-09-30</t>
        </is>
      </c>
      <c r="Q101" t="inlineStr"/>
      <c r="R101" t="inlineStr">
        <is>
          <t>low</t>
        </is>
      </c>
      <c r="S101" t="inlineStr">
        <is>
          <t>N</t>
        </is>
      </c>
      <c r="T101" t="inlineStr"/>
      <c r="U101" t="inlineStr"/>
      <c r="V101" s="3" t="inlineStr">
        <is>
          <t>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is>
      </c>
      <c r="W101" t="inlineStr">
        <is>
          <t>2026-10-23</t>
        </is>
      </c>
      <c r="X101" t="inlineStr">
        <is>
          <t>Westport</t>
        </is>
      </c>
      <c r="Y101" t="inlineStr">
        <is>
          <t>N</t>
        </is>
      </c>
      <c r="Z101" t="inlineStr">
        <is>
          <t>https://www.builtinnyc.com/company/bridgewater-associates/offices</t>
        </is>
      </c>
      <c r="AA101" t="inlineStr"/>
      <c r="AB101" t="inlineStr">
        <is>
          <t>single-source</t>
        </is>
      </c>
      <c r="AC101" t="inlineStr"/>
      <c r="AD101" t="inlineStr"/>
      <c r="AE101" t="inlineStr"/>
      <c r="AF101" t="inlineStr">
        <is>
          <t>unknown</t>
        </is>
      </c>
      <c r="AG101" t="inlineStr"/>
      <c r="AH101" t="inlineStr">
        <is>
          <t>unknown</t>
        </is>
      </c>
      <c r="AI101" t="inlineStr">
        <is>
          <t>near-miss-over-500</t>
        </is>
      </c>
      <c r="AJ101" t="inlineStr">
        <is>
          <t>occupancy-unconfirmed</t>
        </is>
      </c>
      <c r="AK101" t="inlineStr"/>
      <c r="AL101" t="inlineStr">
        <is>
          <t>2026-10-23</t>
        </is>
      </c>
      <c r="AM101" s="3" t="inlineStr"/>
      <c r="AN101" t="inlineStr">
        <is>
          <t>leasing-press</t>
        </is>
      </c>
      <c r="AO101" t="inlineStr"/>
      <c r="AP101" t="inlineStr">
        <is>
          <t>no-coworking-in-building</t>
        </is>
      </c>
      <c r="AQ101" t="inlineStr">
        <is>
          <t>1008600001</t>
        </is>
      </c>
      <c r="AR101" t="n">
        <v>0</v>
      </c>
      <c r="AS101" t="inlineStr">
        <is>
          <t>60,000 sf</t>
        </is>
      </c>
      <c r="AT101" t="inlineStr">
        <is>
          <t>S4</t>
        </is>
      </c>
      <c r="AU101" s="3" t="inlineStr">
        <is>
          <t>over-1,000 (1,001 to 4,999): over 500 company-wide (1,596; the count quoted in this row's notes)</t>
        </is>
      </c>
      <c r="AV101" t="inlineStr">
        <is>
          <t>over-1,000 (1,001 to 4,999)</t>
        </is>
      </c>
      <c r="AW101" t="inlineStr">
        <is>
          <t>1596</t>
        </is>
      </c>
      <c r="AX101" t="inlineStr">
        <is>
          <t>N</t>
        </is>
      </c>
    </row>
    <row r="102">
      <c r="A102" t="inlineStr">
        <is>
          <t>B-C-269</t>
        </is>
      </c>
      <c r="B102" t="inlineStr">
        <is>
          <t>Octus (formerly Reorg)</t>
        </is>
      </c>
      <c r="C102" s="2" t="inlineStr">
        <is>
          <t>https://octus.com</t>
        </is>
      </c>
      <c r="D102" t="inlineStr">
        <is>
          <t>credit data and intelligence</t>
        </is>
      </c>
      <c r="E102" t="inlineStr">
        <is>
          <t>B-B-082</t>
        </is>
      </c>
      <c r="F102" t="inlineStr">
        <is>
          <t>295 Fifth Avenue</t>
        </is>
      </c>
      <c r="G102" t="inlineStr">
        <is>
          <t>6</t>
        </is>
      </c>
      <c r="H102" t="inlineStr">
        <is>
          <t>10016</t>
        </is>
      </c>
      <c r="I102" t="n">
        <v>40.746186</v>
      </c>
      <c r="J102" t="n">
        <v>-73.985981</v>
      </c>
      <c r="K102" t="inlineStr">
        <is>
          <t>Y</t>
        </is>
      </c>
      <c r="L102" t="inlineStr">
        <is>
          <t>over-500</t>
        </is>
      </c>
      <c r="M102" t="inlineStr">
        <is>
          <t>whole-company</t>
        </is>
      </c>
      <c r="N102" s="2" t="inlineStr">
        <is>
          <t>https://www.builtinnyc.com/company/octus/offices</t>
        </is>
      </c>
      <c r="O102" s="2" t="inlineStr">
        <is>
          <t>https://commercialobserver.com/2025/03/octus-lease-295-fifth-avenue/</t>
        </is>
      </c>
      <c r="P102" t="inlineStr">
        <is>
          <t>2025-03-31</t>
        </is>
      </c>
      <c r="Q102" t="inlineStr"/>
      <c r="R102" t="inlineStr">
        <is>
          <t>medium</t>
        </is>
      </c>
      <c r="S102" t="inlineStr">
        <is>
          <t>N</t>
        </is>
      </c>
      <c r="T102" t="inlineStr"/>
      <c r="U102" t="inlineStr"/>
      <c r="V102" s="3" t="inlineStr">
        <is>
          <t>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is>
      </c>
      <c r="W102" t="inlineStr">
        <is>
          <t>2026-10-23</t>
        </is>
      </c>
      <c r="X102" t="inlineStr">
        <is>
          <t>New York</t>
        </is>
      </c>
      <c r="Y102" t="inlineStr">
        <is>
          <t>Y</t>
        </is>
      </c>
      <c r="Z102" t="inlineStr">
        <is>
          <t>https://www.builtinnyc.com/company/octus/offices</t>
        </is>
      </c>
      <c r="AA102" t="inlineStr"/>
      <c r="AB102" t="inlineStr">
        <is>
          <t>single-source</t>
        </is>
      </c>
      <c r="AC102" t="inlineStr"/>
      <c r="AD102" t="inlineStr"/>
      <c r="AE102" t="inlineStr"/>
      <c r="AF102" t="inlineStr">
        <is>
          <t>unknown</t>
        </is>
      </c>
      <c r="AG102" t="inlineStr"/>
      <c r="AH102" t="inlineStr">
        <is>
          <t>unknown</t>
        </is>
      </c>
      <c r="AI102" t="inlineStr">
        <is>
          <t>near-miss-over-500</t>
        </is>
      </c>
      <c r="AJ102" t="inlineStr">
        <is>
          <t>signed-not-occupied</t>
        </is>
      </c>
      <c r="AK102" t="inlineStr">
        <is>
          <t>unknown</t>
        </is>
      </c>
      <c r="AL102" t="inlineStr">
        <is>
          <t>2026-10-23</t>
        </is>
      </c>
      <c r="AM102" s="3" t="inlineStr"/>
      <c r="AN102" t="inlineStr">
        <is>
          <t>leasing-press</t>
        </is>
      </c>
      <c r="AO102" t="inlineStr"/>
      <c r="AP102" t="inlineStr">
        <is>
          <t>no-coworking-in-building</t>
        </is>
      </c>
      <c r="AQ102" t="inlineStr">
        <is>
          <t>1008600001</t>
        </is>
      </c>
      <c r="AR102" t="n">
        <v>0</v>
      </c>
      <c r="AS102" t="inlineStr">
        <is>
          <t>43,000 sf</t>
        </is>
      </c>
      <c r="AT102" t="inlineStr">
        <is>
          <t>S4</t>
        </is>
      </c>
      <c r="AU102" s="3" t="inlineStr">
        <is>
          <t>just-over-500 (501 to 1,000): over 500 company-wide (808; the count quoted in this row's notes)</t>
        </is>
      </c>
      <c r="AV102" t="inlineStr">
        <is>
          <t>just-over-500 (501 to 1,000)</t>
        </is>
      </c>
      <c r="AW102" t="inlineStr">
        <is>
          <t>808</t>
        </is>
      </c>
      <c r="AX102" t="inlineStr">
        <is>
          <t>N</t>
        </is>
      </c>
    </row>
    <row r="103">
      <c r="A103" t="inlineStr">
        <is>
          <t>B-C-270</t>
        </is>
      </c>
      <c r="B103" t="inlineStr">
        <is>
          <t>The Knot Worldwide</t>
        </is>
      </c>
      <c r="C103" t="inlineStr">
        <is>
          <t>unknown</t>
        </is>
      </c>
      <c r="D103" t="inlineStr">
        <is>
          <t>consumer internet (wedding and event planning)</t>
        </is>
      </c>
      <c r="E103" t="inlineStr">
        <is>
          <t>B-B-082</t>
        </is>
      </c>
      <c r="F103" t="inlineStr">
        <is>
          <t>295 Fifth Avenue</t>
        </is>
      </c>
      <c r="G103" t="inlineStr">
        <is>
          <t>unknown</t>
        </is>
      </c>
      <c r="H103" t="inlineStr">
        <is>
          <t>10016</t>
        </is>
      </c>
      <c r="I103" t="n">
        <v>40.746186</v>
      </c>
      <c r="J103" t="n">
        <v>-73.985981</v>
      </c>
      <c r="K103" t="inlineStr">
        <is>
          <t>Y</t>
        </is>
      </c>
      <c r="L103" t="inlineStr">
        <is>
          <t>over-500</t>
        </is>
      </c>
      <c r="M103" t="inlineStr">
        <is>
          <t>whole-company</t>
        </is>
      </c>
      <c r="N103" s="2" t="inlineStr">
        <is>
          <t>https://www.builtinnyc.com/company/the-knot-worldwide/offices</t>
        </is>
      </c>
      <c r="O103" s="2" t="inlineStr">
        <is>
          <t>https://commercialobserver.com/2025/11/the-knot-settle-down-295-fifth-avenue/</t>
        </is>
      </c>
      <c r="P103" t="inlineStr">
        <is>
          <t>2025-11-07</t>
        </is>
      </c>
      <c r="Q103" t="inlineStr"/>
      <c r="R103" t="inlineStr">
        <is>
          <t>medium</t>
        </is>
      </c>
      <c r="S103" t="inlineStr">
        <is>
          <t>N</t>
        </is>
      </c>
      <c r="T103" t="inlineStr"/>
      <c r="U103" t="inlineStr"/>
      <c r="V103" s="3" t="inlineStr">
        <is>
          <t>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is>
      </c>
      <c r="W103" t="inlineStr">
        <is>
          <t>2026-10-23</t>
        </is>
      </c>
      <c r="X103" t="inlineStr">
        <is>
          <t>New York</t>
        </is>
      </c>
      <c r="Y103" t="inlineStr">
        <is>
          <t>Y</t>
        </is>
      </c>
      <c r="Z103" t="inlineStr">
        <is>
          <t>https://www.builtinnyc.com/company/the-knot-worldwide/offices</t>
        </is>
      </c>
      <c r="AA103" t="inlineStr"/>
      <c r="AB103" t="inlineStr">
        <is>
          <t>single-source</t>
        </is>
      </c>
      <c r="AC103" t="inlineStr"/>
      <c r="AD103" t="inlineStr"/>
      <c r="AE103" t="inlineStr"/>
      <c r="AF103" t="inlineStr">
        <is>
          <t>unknown</t>
        </is>
      </c>
      <c r="AG103" t="inlineStr"/>
      <c r="AH103" t="inlineStr">
        <is>
          <t>unknown</t>
        </is>
      </c>
      <c r="AI103" t="inlineStr">
        <is>
          <t>near-miss-over-500</t>
        </is>
      </c>
      <c r="AJ103" t="inlineStr">
        <is>
          <t>signed-not-occupied</t>
        </is>
      </c>
      <c r="AK103" t="inlineStr">
        <is>
          <t>unknown</t>
        </is>
      </c>
      <c r="AL103" t="inlineStr">
        <is>
          <t>2026-10-23</t>
        </is>
      </c>
      <c r="AM103" s="3" t="inlineStr"/>
      <c r="AN103" t="inlineStr">
        <is>
          <t>leasing-press</t>
        </is>
      </c>
      <c r="AO103" t="inlineStr"/>
      <c r="AP103" t="inlineStr">
        <is>
          <t>no-coworking-in-building</t>
        </is>
      </c>
      <c r="AQ103" t="inlineStr">
        <is>
          <t>1008600001</t>
        </is>
      </c>
      <c r="AR103" t="n">
        <v>0</v>
      </c>
      <c r="AS103" t="inlineStr">
        <is>
          <t>24,000 sf; 31,000 sf</t>
        </is>
      </c>
      <c r="AT103" t="inlineStr">
        <is>
          <t>S4</t>
        </is>
      </c>
      <c r="AU103" s="3" t="inlineStr">
        <is>
          <t>over-1,000 (1,001 to 4,999): over 500 company-wide (1,933; the count quoted in this row's notes); the NYC office alone may fit the 40-250 band, founder to confirm</t>
        </is>
      </c>
      <c r="AV103" t="inlineStr">
        <is>
          <t>over-1,000 (1,001 to 4,999)</t>
        </is>
      </c>
      <c r="AW103" t="inlineStr">
        <is>
          <t>1933</t>
        </is>
      </c>
      <c r="AX103" t="inlineStr">
        <is>
          <t>Y</t>
        </is>
      </c>
    </row>
    <row r="104">
      <c r="A104" t="inlineStr">
        <is>
          <t>B-C-271</t>
        </is>
      </c>
      <c r="B104" t="inlineStr">
        <is>
          <t>RepRally</t>
        </is>
      </c>
      <c r="C104" s="2" t="inlineStr">
        <is>
          <t>https://www.reprally.com/</t>
        </is>
      </c>
      <c r="D104" t="inlineStr">
        <is>
          <t>B2B wholesale platform for independent retailers (snacks, candy, beverages)</t>
        </is>
      </c>
      <c r="E104" t="inlineStr"/>
      <c r="F104" t="inlineStr">
        <is>
          <t>137 East 25th Street</t>
        </is>
      </c>
      <c r="G104" t="inlineStr">
        <is>
          <t>6</t>
        </is>
      </c>
      <c r="H104" t="inlineStr">
        <is>
          <t>10010</t>
        </is>
      </c>
      <c r="I104" t="n">
        <v>40.740766</v>
      </c>
      <c r="J104" t="n">
        <v>-73.98321300000001</v>
      </c>
      <c r="K104" t="inlineStr">
        <is>
          <t>N</t>
        </is>
      </c>
      <c r="L104" t="inlineStr">
        <is>
          <t>76-150</t>
        </is>
      </c>
      <c r="M104" t="inlineStr">
        <is>
          <t>whole-company</t>
        </is>
      </c>
      <c r="N104" s="2" t="inlineStr">
        <is>
          <t>https://www.builtinnyc.com/company/reprally/offices</t>
        </is>
      </c>
      <c r="O104" s="2" t="inlineStr">
        <is>
          <t>https://www.reprally.com/company/msa</t>
        </is>
      </c>
      <c r="P104" t="inlineStr">
        <is>
          <t>2026-10-24</t>
        </is>
      </c>
      <c r="Q104" s="2" t="inlineStr">
        <is>
          <t>https://commercialobserver.com/2025/09/reprally-lease-137-east-25th-street/</t>
        </is>
      </c>
      <c r="R104" t="inlineStr">
        <is>
          <t>high</t>
        </is>
      </c>
      <c r="S104" t="inlineStr">
        <is>
          <t>N</t>
        </is>
      </c>
      <c r="T104" t="inlineStr"/>
      <c r="U104" t="inlineStr"/>
      <c r="V104" s="3" t="inlineStr">
        <is>
          <t>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is>
      </c>
      <c r="W104" t="inlineStr">
        <is>
          <t>2026-10-23</t>
        </is>
      </c>
      <c r="X104" t="inlineStr">
        <is>
          <t>New York</t>
        </is>
      </c>
      <c r="Y104" t="inlineStr">
        <is>
          <t>Y</t>
        </is>
      </c>
      <c r="Z104" t="inlineStr">
        <is>
          <t>https://www.builtinnyc.com/company/reprally/offices</t>
        </is>
      </c>
      <c r="AA104" t="inlineStr">
        <is>
          <t>120</t>
        </is>
      </c>
      <c r="AB104" t="inlineStr">
        <is>
          <t>single-source</t>
        </is>
      </c>
      <c r="AC104" t="inlineStr"/>
      <c r="AD104" t="inlineStr"/>
      <c r="AE104" t="inlineStr"/>
      <c r="AF104" t="inlineStr">
        <is>
          <t>unknown</t>
        </is>
      </c>
      <c r="AG104" t="inlineStr"/>
      <c r="AH104" t="inlineStr">
        <is>
          <t>unknown</t>
        </is>
      </c>
      <c r="AI104" t="inlineStr">
        <is>
          <t>near-miss-outside</t>
        </is>
      </c>
      <c r="AJ104" t="inlineStr">
        <is>
          <t>occupied</t>
        </is>
      </c>
      <c r="AK104" t="inlineStr"/>
      <c r="AL104" t="inlineStr">
        <is>
          <t>2026-10-24</t>
        </is>
      </c>
      <c r="AM104" s="3" t="inlineStr"/>
      <c r="AN104" t="inlineStr">
        <is>
          <t>company-site</t>
        </is>
      </c>
      <c r="AO104" t="inlineStr">
        <is>
          <t>2025-09-30</t>
        </is>
      </c>
      <c r="AP104" t="inlineStr">
        <is>
          <t>no-coworking-in-building</t>
        </is>
      </c>
      <c r="AQ104" t="inlineStr">
        <is>
          <t>1008810029</t>
        </is>
      </c>
      <c r="AR104" t="n">
        <v>1.7</v>
      </c>
      <c r="AS104" t="inlineStr">
        <is>
          <t>8,308 sf</t>
        </is>
      </c>
      <c r="AT104" t="inlineStr">
        <is>
          <t>S3</t>
        </is>
      </c>
      <c r="AU104" s="3" t="inlineStr">
        <is>
          <t>outside-line: outside the boundary by 1.7 blocks (east of the Park Ave S frontage)</t>
        </is>
      </c>
      <c r="AV104" t="inlineStr">
        <is>
          <t>outside-line</t>
        </is>
      </c>
      <c r="AW104" t="inlineStr">
        <is>
          <t>120</t>
        </is>
      </c>
      <c r="AX104" t="inlineStr">
        <is>
          <t>N</t>
        </is>
      </c>
    </row>
    <row r="105">
      <c r="A105" t="inlineStr">
        <is>
          <t>B-C-272</t>
        </is>
      </c>
      <c r="B105" t="inlineStr">
        <is>
          <t>Runwise</t>
        </is>
      </c>
      <c r="C105" s="2" t="inlineStr">
        <is>
          <t>https://www.runwise.com</t>
        </is>
      </c>
      <c r="D105" t="inlineStr">
        <is>
          <t>proptech (building heating controls)</t>
        </is>
      </c>
      <c r="E105" t="inlineStr"/>
      <c r="F105" t="inlineStr">
        <is>
          <t>104 West 27th Street</t>
        </is>
      </c>
      <c r="G105" t="inlineStr">
        <is>
          <t>unknown</t>
        </is>
      </c>
      <c r="H105" t="inlineStr">
        <is>
          <t>10001</t>
        </is>
      </c>
      <c r="I105" t="n">
        <v>40.745488</v>
      </c>
      <c r="J105" t="n">
        <v>-73.991668</v>
      </c>
      <c r="K105" t="inlineStr">
        <is>
          <t>N</t>
        </is>
      </c>
      <c r="L105" t="inlineStr">
        <is>
          <t>151-250</t>
        </is>
      </c>
      <c r="M105" t="inlineStr">
        <is>
          <t>whole-company</t>
        </is>
      </c>
      <c r="N105" s="2" t="inlineStr">
        <is>
          <t>https://www.builtinnyc.com/company/runwise-2/offices</t>
        </is>
      </c>
      <c r="O105" s="2" t="inlineStr">
        <is>
          <t>https://www.builtinnyc.com/company/runwise-2/offices</t>
        </is>
      </c>
      <c r="P105" t="inlineStr">
        <is>
          <t>2026-10-23</t>
        </is>
      </c>
      <c r="Q105" t="inlineStr"/>
      <c r="R105" t="inlineStr">
        <is>
          <t>low</t>
        </is>
      </c>
      <c r="S105" t="inlineStr">
        <is>
          <t>N</t>
        </is>
      </c>
      <c r="T105" t="inlineStr"/>
      <c r="U105" t="inlineStr"/>
      <c r="V105" s="3" t="inlineStr">
        <is>
          <t>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t>
        </is>
      </c>
      <c r="W105" t="inlineStr">
        <is>
          <t>2026-10-23</t>
        </is>
      </c>
      <c r="X105" t="inlineStr">
        <is>
          <t>New York</t>
        </is>
      </c>
      <c r="Y105" t="inlineStr">
        <is>
          <t>Y</t>
        </is>
      </c>
      <c r="Z105" t="inlineStr">
        <is>
          <t>https://www.builtinnyc.com/company/runwise-2/offices</t>
        </is>
      </c>
      <c r="AA105" t="inlineStr">
        <is>
          <t>199</t>
        </is>
      </c>
      <c r="AB105" t="inlineStr">
        <is>
          <t>single-source</t>
        </is>
      </c>
      <c r="AC105" t="inlineStr"/>
      <c r="AD105" t="inlineStr"/>
      <c r="AE105" t="inlineStr"/>
      <c r="AF105" t="inlineStr">
        <is>
          <t>unknown</t>
        </is>
      </c>
      <c r="AG105" t="inlineStr"/>
      <c r="AH105" t="inlineStr">
        <is>
          <t>unknown</t>
        </is>
      </c>
      <c r="AI105" t="inlineStr">
        <is>
          <t>near-miss-outside</t>
        </is>
      </c>
      <c r="AJ105" t="inlineStr">
        <is>
          <t>occupied</t>
        </is>
      </c>
      <c r="AK105" t="inlineStr"/>
      <c r="AL105" t="inlineStr">
        <is>
          <t>2026-10-23</t>
        </is>
      </c>
      <c r="AM105" s="3" t="inlineStr"/>
      <c r="AN105" t="inlineStr">
        <is>
          <t>builtin</t>
        </is>
      </c>
      <c r="AO105" t="inlineStr"/>
      <c r="AP105" t="inlineStr">
        <is>
          <t>no-coworking-in-building</t>
        </is>
      </c>
      <c r="AQ105" t="inlineStr">
        <is>
          <t>1008020049</t>
        </is>
      </c>
      <c r="AR105" t="n">
        <v>0.1</v>
      </c>
      <c r="AS105" t="inlineStr"/>
      <c r="AT105" t="inlineStr">
        <is>
          <t>S4</t>
        </is>
      </c>
      <c r="AU105" s="3" t="inlineStr">
        <is>
          <t>outside-line: outside the boundary by 0.1 blocks (side street west of Sixth Ave)</t>
        </is>
      </c>
      <c r="AV105" t="inlineStr">
        <is>
          <t>outside-line</t>
        </is>
      </c>
      <c r="AW105" t="inlineStr">
        <is>
          <t>199</t>
        </is>
      </c>
      <c r="AX105" t="inlineStr">
        <is>
          <t>N</t>
        </is>
      </c>
    </row>
    <row r="106">
      <c r="A106" t="inlineStr">
        <is>
          <t>B-C-273</t>
        </is>
      </c>
      <c r="B106" t="inlineStr">
        <is>
          <t>GumGum (NYC office)</t>
        </is>
      </c>
      <c r="C106" t="inlineStr">
        <is>
          <t>unknown</t>
        </is>
      </c>
      <c r="D106" t="inlineStr">
        <is>
          <t>adtech (contextual AI advertising)</t>
        </is>
      </c>
      <c r="E106" t="inlineStr"/>
      <c r="F106" t="inlineStr">
        <is>
          <t>1245 Broadway</t>
        </is>
      </c>
      <c r="G106" t="inlineStr">
        <is>
          <t>one full tower floor</t>
        </is>
      </c>
      <c r="H106" t="inlineStr">
        <is>
          <t>10001</t>
        </is>
      </c>
      <c r="I106" t="n">
        <v>40.747365</v>
      </c>
      <c r="J106" t="n">
        <v>-73.988522</v>
      </c>
      <c r="K106" t="inlineStr">
        <is>
          <t>N</t>
        </is>
      </c>
      <c r="L106" t="inlineStr">
        <is>
          <t>251-500</t>
        </is>
      </c>
      <c r="M106" t="inlineStr">
        <is>
          <t>whole-company</t>
        </is>
      </c>
      <c r="N106" s="2" t="inlineStr">
        <is>
          <t>https://www.builtinnyc.com/company/gumgum/offices</t>
        </is>
      </c>
      <c r="O106" s="2" t="inlineStr">
        <is>
          <t>https://commercialobserver.com/2022/10/online-advertising-firm-gumgum-heads-to-1245-broadway/</t>
        </is>
      </c>
      <c r="P106" t="inlineStr">
        <is>
          <t>2022-10-05</t>
        </is>
      </c>
      <c r="Q106" t="inlineStr"/>
      <c r="R106" t="inlineStr">
        <is>
          <t>low</t>
        </is>
      </c>
      <c r="S106" t="inlineStr">
        <is>
          <t>N</t>
        </is>
      </c>
      <c r="T106" t="inlineStr"/>
      <c r="U106" t="inlineStr"/>
      <c r="V106" s="3" t="inlineStr">
        <is>
          <t>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is>
      </c>
      <c r="W106" t="inlineStr">
        <is>
          <t>2026-10-23</t>
        </is>
      </c>
      <c r="X106" t="inlineStr">
        <is>
          <t>Santa Monica</t>
        </is>
      </c>
      <c r="Y106" t="inlineStr">
        <is>
          <t>N</t>
        </is>
      </c>
      <c r="Z106" t="inlineStr">
        <is>
          <t>https://www.builtinnyc.com/company/gumgum/offices</t>
        </is>
      </c>
      <c r="AA106" t="inlineStr">
        <is>
          <t>500</t>
        </is>
      </c>
      <c r="AB106" t="inlineStr">
        <is>
          <t>single-source</t>
        </is>
      </c>
      <c r="AC106" t="inlineStr"/>
      <c r="AD106" t="inlineStr"/>
      <c r="AE106" t="inlineStr"/>
      <c r="AF106" t="inlineStr">
        <is>
          <t>unknown</t>
        </is>
      </c>
      <c r="AG106" t="inlineStr"/>
      <c r="AH106" t="inlineStr">
        <is>
          <t>unknown</t>
        </is>
      </c>
      <c r="AI106" t="inlineStr">
        <is>
          <t>near-miss-outside</t>
        </is>
      </c>
      <c r="AJ106" t="inlineStr">
        <is>
          <t>occupancy-unconfirmed</t>
        </is>
      </c>
      <c r="AK106" t="inlineStr"/>
      <c r="AL106" t="inlineStr">
        <is>
          <t>2026-10-23</t>
        </is>
      </c>
      <c r="AM106" s="3" t="inlineStr"/>
      <c r="AN106" t="inlineStr">
        <is>
          <t>leasing-press</t>
        </is>
      </c>
      <c r="AO106" t="inlineStr"/>
      <c r="AP106" t="inlineStr">
        <is>
          <t>no-coworking-in-building</t>
        </is>
      </c>
      <c r="AQ106" t="inlineStr">
        <is>
          <t>1008320017</t>
        </is>
      </c>
      <c r="AR106" t="n">
        <v>0.1</v>
      </c>
      <c r="AS106" t="inlineStr">
        <is>
          <t>6,500 sf</t>
        </is>
      </c>
      <c r="AT106" t="inlineStr">
        <is>
          <t>S4</t>
        </is>
      </c>
      <c r="AU106" s="3" t="inlineStr">
        <is>
          <t>outside-line: outside the boundary by 0.1 blocks (31st St frontage, north of the 30th St line)</t>
        </is>
      </c>
      <c r="AV106" t="inlineStr">
        <is>
          <t>outside-line</t>
        </is>
      </c>
      <c r="AW106" t="inlineStr">
        <is>
          <t>500</t>
        </is>
      </c>
      <c r="AX106" t="inlineStr">
        <is>
          <t>N</t>
        </is>
      </c>
    </row>
    <row r="107">
      <c r="A107" t="inlineStr">
        <is>
          <t>B-C-274</t>
        </is>
      </c>
      <c r="B107" t="inlineStr">
        <is>
          <t>Parloa</t>
        </is>
      </c>
      <c r="C107" s="2" t="inlineStr">
        <is>
          <t>https://www.parloa.com</t>
        </is>
      </c>
      <c r="D107" t="inlineStr">
        <is>
          <t>software (AI customer service agents)</t>
        </is>
      </c>
      <c r="E107" t="inlineStr"/>
      <c r="F107" t="inlineStr">
        <is>
          <t>1245 Broadway</t>
        </is>
      </c>
      <c r="G107" t="inlineStr">
        <is>
          <t>2</t>
        </is>
      </c>
      <c r="H107" t="inlineStr">
        <is>
          <t>10001</t>
        </is>
      </c>
      <c r="I107" t="n">
        <v>40.747365</v>
      </c>
      <c r="J107" t="n">
        <v>-73.988522</v>
      </c>
      <c r="K107" t="inlineStr">
        <is>
          <t>N</t>
        </is>
      </c>
      <c r="L107" t="inlineStr">
        <is>
          <t>151-250</t>
        </is>
      </c>
      <c r="M107" t="inlineStr">
        <is>
          <t>whole-company</t>
        </is>
      </c>
      <c r="N107" s="2" t="inlineStr">
        <is>
          <t>https://www.builtinnyc.com/company/parloa/offices</t>
        </is>
      </c>
      <c r="O107" s="2" t="inlineStr">
        <is>
          <t>https://commercialobserver.com/2026/06/parloa-lease-expansion-gdsny-1245-broadway/</t>
        </is>
      </c>
      <c r="P107" t="inlineStr">
        <is>
          <t>2026-06-11</t>
        </is>
      </c>
      <c r="Q107" s="2" t="inlineStr">
        <is>
          <t>https://www.parloa.com/contact/</t>
        </is>
      </c>
      <c r="R107" t="inlineStr">
        <is>
          <t>high</t>
        </is>
      </c>
      <c r="S107" t="inlineStr">
        <is>
          <t>N</t>
        </is>
      </c>
      <c r="T107" t="inlineStr"/>
      <c r="U107" t="inlineStr"/>
      <c r="V107" s="3" t="inlineStr">
        <is>
          <t>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is>
      </c>
      <c r="W107" t="inlineStr">
        <is>
          <t>2026-10-23</t>
        </is>
      </c>
      <c r="X107" t="inlineStr">
        <is>
          <t>unknown</t>
        </is>
      </c>
      <c r="Y107" t="inlineStr">
        <is>
          <t>unknown</t>
        </is>
      </c>
      <c r="Z107" t="inlineStr">
        <is>
          <t>https://www.builtinnyc.com/company/parloa/offices</t>
        </is>
      </c>
      <c r="AA107" t="inlineStr">
        <is>
          <t>221</t>
        </is>
      </c>
      <c r="AB107" t="inlineStr">
        <is>
          <t>single-source</t>
        </is>
      </c>
      <c r="AC107" t="inlineStr"/>
      <c r="AD107" t="inlineStr"/>
      <c r="AE107" t="inlineStr"/>
      <c r="AF107" t="inlineStr">
        <is>
          <t>unknown</t>
        </is>
      </c>
      <c r="AG107" t="inlineStr"/>
      <c r="AH107" t="inlineStr">
        <is>
          <t>unknown</t>
        </is>
      </c>
      <c r="AI107" t="inlineStr">
        <is>
          <t>near-miss-outside</t>
        </is>
      </c>
      <c r="AJ107" t="inlineStr">
        <is>
          <t>occupied</t>
        </is>
      </c>
      <c r="AK107" t="inlineStr"/>
      <c r="AL107" t="inlineStr">
        <is>
          <t>2026-10-23</t>
        </is>
      </c>
      <c r="AM107" s="3" t="inlineStr"/>
      <c r="AN107" t="inlineStr">
        <is>
          <t>leasing-press</t>
        </is>
      </c>
      <c r="AO107" t="inlineStr">
        <is>
          <t>2026-10-23</t>
        </is>
      </c>
      <c r="AP107" t="inlineStr">
        <is>
          <t>no-coworking-in-building</t>
        </is>
      </c>
      <c r="AQ107" t="inlineStr">
        <is>
          <t>1008320017</t>
        </is>
      </c>
      <c r="AR107" t="n">
        <v>0.1</v>
      </c>
      <c r="AS107" t="inlineStr">
        <is>
          <t>14,731 sf; 23,031 sf</t>
        </is>
      </c>
      <c r="AT107" t="inlineStr">
        <is>
          <t>S4</t>
        </is>
      </c>
      <c r="AU107" s="3" t="inlineStr">
        <is>
          <t>outside-line: outside the boundary by 0.1 blocks (31st St frontage, north of the 30th St line)</t>
        </is>
      </c>
      <c r="AV107" t="inlineStr">
        <is>
          <t>outside-line</t>
        </is>
      </c>
      <c r="AW107" t="inlineStr">
        <is>
          <t>221</t>
        </is>
      </c>
      <c r="AX107" t="inlineStr">
        <is>
          <t>N</t>
        </is>
      </c>
    </row>
    <row r="108">
      <c r="A108" t="inlineStr">
        <is>
          <t>B-C-275</t>
        </is>
      </c>
      <c r="B108" t="inlineStr">
        <is>
          <t>Ford Models</t>
        </is>
      </c>
      <c r="C108" s="2" t="inlineStr">
        <is>
          <t>https://fordmodels.com</t>
        </is>
      </c>
      <c r="D108" t="inlineStr">
        <is>
          <t>talent and modeling agency</t>
        </is>
      </c>
      <c r="E108" t="inlineStr"/>
      <c r="F108" t="inlineStr">
        <is>
          <t>36 East 31st Street</t>
        </is>
      </c>
      <c r="G108" t="inlineStr">
        <is>
          <t>8</t>
        </is>
      </c>
      <c r="H108" t="inlineStr">
        <is>
          <t>10016</t>
        </is>
      </c>
      <c r="I108" t="n">
        <v>40.745308</v>
      </c>
      <c r="J108" t="n">
        <v>-73.98356</v>
      </c>
      <c r="K108" t="inlineStr">
        <is>
          <t>N</t>
        </is>
      </c>
      <c r="L108" t="inlineStr">
        <is>
          <t>unknown</t>
        </is>
      </c>
      <c r="M108" t="inlineStr">
        <is>
          <t>unknown</t>
        </is>
      </c>
      <c r="N108" t="inlineStr"/>
      <c r="O108" s="2" t="inlineStr">
        <is>
          <t>https://fordmodels.com/contact</t>
        </is>
      </c>
      <c r="P108" t="inlineStr">
        <is>
          <t>2026-10-23</t>
        </is>
      </c>
      <c r="Q108" s="2" t="inlineStr">
        <is>
          <t>https://commercialobserver.com/2026/03/ford-models-office-lease-36-east-31st-street/</t>
        </is>
      </c>
      <c r="R108" t="inlineStr">
        <is>
          <t>high</t>
        </is>
      </c>
      <c r="S108" t="inlineStr">
        <is>
          <t>N</t>
        </is>
      </c>
      <c r="T108" t="inlineStr"/>
      <c r="U108" t="inlineStr"/>
      <c r="V108" s="3" t="inlineStr">
        <is>
          <t>Contact page lists Ford New York at 36 East 31st Street 8th Floor; CO 2026: 11,986 SF on floor 8 (temporarily on floor 9 during buildout). Earlier listed as an 11 E 26th St tenant. Margin row (31st St). Headcount not found.</t>
        </is>
      </c>
      <c r="W108" t="inlineStr">
        <is>
          <t>2026-10-23</t>
        </is>
      </c>
      <c r="X108" t="inlineStr">
        <is>
          <t>unknown</t>
        </is>
      </c>
      <c r="Y108" t="inlineStr">
        <is>
          <t>unknown</t>
        </is>
      </c>
      <c r="Z108" t="inlineStr"/>
      <c r="AA108" t="inlineStr"/>
      <c r="AB108" t="inlineStr">
        <is>
          <t>no-count</t>
        </is>
      </c>
      <c r="AC108" t="inlineStr"/>
      <c r="AD108" t="inlineStr"/>
      <c r="AE108" t="inlineStr"/>
      <c r="AF108" t="inlineStr">
        <is>
          <t>unknown</t>
        </is>
      </c>
      <c r="AG108" t="inlineStr"/>
      <c r="AH108" t="inlineStr">
        <is>
          <t>unknown</t>
        </is>
      </c>
      <c r="AI108" t="inlineStr">
        <is>
          <t>near-miss-outside</t>
        </is>
      </c>
      <c r="AJ108" t="inlineStr">
        <is>
          <t>occupied</t>
        </is>
      </c>
      <c r="AK108" t="inlineStr"/>
      <c r="AL108" t="inlineStr"/>
      <c r="AM108" s="3" t="inlineStr">
        <is>
          <t>No opened source gives a count: no Built In profile with a total, the company site publishes none, and LinkedIn was off-limits. Founder to confirm at intake.</t>
        </is>
      </c>
      <c r="AN108" t="inlineStr">
        <is>
          <t>company-site</t>
        </is>
      </c>
      <c r="AO108" t="inlineStr">
        <is>
          <t>2026-03-17</t>
        </is>
      </c>
      <c r="AP108" t="inlineStr">
        <is>
          <t>no-coworking-in-building</t>
        </is>
      </c>
      <c r="AQ108" t="inlineStr">
        <is>
          <t>1008600049</t>
        </is>
      </c>
      <c r="AR108" t="n">
        <v>0.2</v>
      </c>
      <c r="AS108" t="inlineStr">
        <is>
          <t>11,986 sf</t>
        </is>
      </c>
      <c r="AT108" t="inlineStr">
        <is>
          <t>S4</t>
        </is>
      </c>
      <c r="AU108" s="3" t="inlineStr">
        <is>
          <t>outside-line: outside the boundary by 0.2 blocks (31st St frontage, north of the 30th St line)</t>
        </is>
      </c>
      <c r="AV108" t="inlineStr">
        <is>
          <t>outside-line</t>
        </is>
      </c>
      <c r="AW108" t="inlineStr"/>
      <c r="AX108" t="inlineStr">
        <is>
          <t>N</t>
        </is>
      </c>
    </row>
    <row r="109">
      <c r="A109" t="inlineStr">
        <is>
          <t>B-C-276</t>
        </is>
      </c>
      <c r="B109" t="inlineStr">
        <is>
          <t>The Ancillary Project</t>
        </is>
      </c>
      <c r="C109" s="2" t="inlineStr">
        <is>
          <t>https://theancillaryproject.com</t>
        </is>
      </c>
      <c r="D109" t="inlineStr">
        <is>
          <t>creative studio (design and branding)</t>
        </is>
      </c>
      <c r="E109" t="inlineStr"/>
      <c r="F109" t="inlineStr">
        <is>
          <t>36 East 31st Street</t>
        </is>
      </c>
      <c r="G109" t="inlineStr">
        <is>
          <t>4 (part)</t>
        </is>
      </c>
      <c r="H109" t="inlineStr">
        <is>
          <t>10016</t>
        </is>
      </c>
      <c r="I109" t="n">
        <v>40.745308</v>
      </c>
      <c r="J109" t="n">
        <v>-73.98356</v>
      </c>
      <c r="K109" t="inlineStr">
        <is>
          <t>N</t>
        </is>
      </c>
      <c r="L109" t="inlineStr">
        <is>
          <t>unknown</t>
        </is>
      </c>
      <c r="M109" t="inlineStr">
        <is>
          <t>unknown</t>
        </is>
      </c>
      <c r="N109" t="inlineStr"/>
      <c r="O109" s="2" t="inlineStr">
        <is>
          <t>https://commercialobserver.com/2026/01/ancillary-project-lease-36-east-31st-street/</t>
        </is>
      </c>
      <c r="P109" t="inlineStr">
        <is>
          <t>2026-01-12</t>
        </is>
      </c>
      <c r="Q109" s="2" t="inlineStr">
        <is>
          <t>https://theancillaryproject.com/</t>
        </is>
      </c>
      <c r="R109" t="inlineStr">
        <is>
          <t>high</t>
        </is>
      </c>
      <c r="S109" t="inlineStr">
        <is>
          <t>N</t>
        </is>
      </c>
      <c r="T109" t="inlineStr"/>
      <c r="U109" t="inlineStr"/>
      <c r="V109" s="3" t="inlineStr">
        <is>
          <t>CO 2026-01-12: 5,851 SF office and showroom on part of floor 4. Site lists Showroom 36 East 31st Street. Margin row (31st St). Headcount not sourced; founder to confirm at intake.</t>
        </is>
      </c>
      <c r="W109" t="inlineStr">
        <is>
          <t>2026-10-23</t>
        </is>
      </c>
      <c r="X109" t="inlineStr">
        <is>
          <t>unknown</t>
        </is>
      </c>
      <c r="Y109" t="inlineStr">
        <is>
          <t>unknown</t>
        </is>
      </c>
      <c r="Z109" t="inlineStr"/>
      <c r="AA109" t="inlineStr"/>
      <c r="AB109" t="inlineStr">
        <is>
          <t>no-count</t>
        </is>
      </c>
      <c r="AC109" t="inlineStr"/>
      <c r="AD109" t="inlineStr"/>
      <c r="AE109" t="inlineStr"/>
      <c r="AF109" t="inlineStr">
        <is>
          <t>unknown</t>
        </is>
      </c>
      <c r="AG109" t="inlineStr"/>
      <c r="AH109" t="inlineStr">
        <is>
          <t>unknown</t>
        </is>
      </c>
      <c r="AI109" t="inlineStr">
        <is>
          <t>near-miss-outside</t>
        </is>
      </c>
      <c r="AJ109" t="inlineStr">
        <is>
          <t>occupied</t>
        </is>
      </c>
      <c r="AK109" t="inlineStr"/>
      <c r="AL109" t="inlineStr"/>
      <c r="AM109" s="3" t="inlineStr">
        <is>
          <t>No opened source gives a count: no Built In profile with a total, the company site publishes none, and LinkedIn was off-limits. Founder to confirm at intake.</t>
        </is>
      </c>
      <c r="AN109" t="inlineStr">
        <is>
          <t>leasing-press</t>
        </is>
      </c>
      <c r="AO109" t="inlineStr">
        <is>
          <t>2026-10-23</t>
        </is>
      </c>
      <c r="AP109" t="inlineStr">
        <is>
          <t>no-coworking-in-building</t>
        </is>
      </c>
      <c r="AQ109" t="inlineStr">
        <is>
          <t>1008600049</t>
        </is>
      </c>
      <c r="AR109" t="n">
        <v>0.2</v>
      </c>
      <c r="AS109" t="inlineStr">
        <is>
          <t>5,851 sf</t>
        </is>
      </c>
      <c r="AT109" t="inlineStr">
        <is>
          <t>S4</t>
        </is>
      </c>
      <c r="AU109" s="3" t="inlineStr">
        <is>
          <t>outside-line: outside the boundary by 0.2 blocks (31st St frontage, north of the 30th St line)</t>
        </is>
      </c>
      <c r="AV109" t="inlineStr">
        <is>
          <t>outside-line</t>
        </is>
      </c>
      <c r="AW109" t="inlineStr"/>
      <c r="AX109" t="inlineStr">
        <is>
          <t>N</t>
        </is>
      </c>
    </row>
  </sheetData>
  <autoFilter ref="A1:AX109"/>
  <hyperlinks>
    <hyperlink xmlns:r="http://schemas.openxmlformats.org/officeDocument/2006/relationships" ref="C2" r:id="rId1"/>
    <hyperlink xmlns:r="http://schemas.openxmlformats.org/officeDocument/2006/relationships" ref="N2" r:id="rId2"/>
    <hyperlink xmlns:r="http://schemas.openxmlformats.org/officeDocument/2006/relationships" ref="O2" r:id="rId3"/>
    <hyperlink xmlns:r="http://schemas.openxmlformats.org/officeDocument/2006/relationships" ref="C3" r:id="rId4"/>
    <hyperlink xmlns:r="http://schemas.openxmlformats.org/officeDocument/2006/relationships" ref="N3" r:id="rId5"/>
    <hyperlink xmlns:r="http://schemas.openxmlformats.org/officeDocument/2006/relationships" ref="O3" r:id="rId6"/>
    <hyperlink xmlns:r="http://schemas.openxmlformats.org/officeDocument/2006/relationships" ref="Q3" r:id="rId7"/>
    <hyperlink xmlns:r="http://schemas.openxmlformats.org/officeDocument/2006/relationships" ref="C4" r:id="rId8"/>
    <hyperlink xmlns:r="http://schemas.openxmlformats.org/officeDocument/2006/relationships" ref="N4" r:id="rId9"/>
    <hyperlink xmlns:r="http://schemas.openxmlformats.org/officeDocument/2006/relationships" ref="O4" r:id="rId10"/>
    <hyperlink xmlns:r="http://schemas.openxmlformats.org/officeDocument/2006/relationships" ref="Q4" r:id="rId11"/>
    <hyperlink xmlns:r="http://schemas.openxmlformats.org/officeDocument/2006/relationships" ref="C5" r:id="rId12"/>
    <hyperlink xmlns:r="http://schemas.openxmlformats.org/officeDocument/2006/relationships" ref="N5" r:id="rId13"/>
    <hyperlink xmlns:r="http://schemas.openxmlformats.org/officeDocument/2006/relationships" ref="O5" r:id="rId14"/>
    <hyperlink xmlns:r="http://schemas.openxmlformats.org/officeDocument/2006/relationships" ref="Q5" r:id="rId15"/>
    <hyperlink xmlns:r="http://schemas.openxmlformats.org/officeDocument/2006/relationships" ref="C6" r:id="rId16"/>
    <hyperlink xmlns:r="http://schemas.openxmlformats.org/officeDocument/2006/relationships" ref="N6" r:id="rId17"/>
    <hyperlink xmlns:r="http://schemas.openxmlformats.org/officeDocument/2006/relationships" ref="O6" r:id="rId18"/>
    <hyperlink xmlns:r="http://schemas.openxmlformats.org/officeDocument/2006/relationships" ref="C7" r:id="rId19"/>
    <hyperlink xmlns:r="http://schemas.openxmlformats.org/officeDocument/2006/relationships" ref="N7" r:id="rId20"/>
    <hyperlink xmlns:r="http://schemas.openxmlformats.org/officeDocument/2006/relationships" ref="O7" r:id="rId21"/>
    <hyperlink xmlns:r="http://schemas.openxmlformats.org/officeDocument/2006/relationships" ref="Q7" r:id="rId22"/>
    <hyperlink xmlns:r="http://schemas.openxmlformats.org/officeDocument/2006/relationships" ref="C8" r:id="rId23"/>
    <hyperlink xmlns:r="http://schemas.openxmlformats.org/officeDocument/2006/relationships" ref="N8" r:id="rId24"/>
    <hyperlink xmlns:r="http://schemas.openxmlformats.org/officeDocument/2006/relationships" ref="O8" r:id="rId25"/>
    <hyperlink xmlns:r="http://schemas.openxmlformats.org/officeDocument/2006/relationships" ref="C9" r:id="rId26"/>
    <hyperlink xmlns:r="http://schemas.openxmlformats.org/officeDocument/2006/relationships" ref="N9" r:id="rId27"/>
    <hyperlink xmlns:r="http://schemas.openxmlformats.org/officeDocument/2006/relationships" ref="O9" r:id="rId28"/>
    <hyperlink xmlns:r="http://schemas.openxmlformats.org/officeDocument/2006/relationships" ref="C10" r:id="rId29"/>
    <hyperlink xmlns:r="http://schemas.openxmlformats.org/officeDocument/2006/relationships" ref="N10" r:id="rId30"/>
    <hyperlink xmlns:r="http://schemas.openxmlformats.org/officeDocument/2006/relationships" ref="O10" r:id="rId31"/>
    <hyperlink xmlns:r="http://schemas.openxmlformats.org/officeDocument/2006/relationships" ref="C11" r:id="rId32"/>
    <hyperlink xmlns:r="http://schemas.openxmlformats.org/officeDocument/2006/relationships" ref="N11" r:id="rId33"/>
    <hyperlink xmlns:r="http://schemas.openxmlformats.org/officeDocument/2006/relationships" ref="O11" r:id="rId34"/>
    <hyperlink xmlns:r="http://schemas.openxmlformats.org/officeDocument/2006/relationships" ref="C12" r:id="rId35"/>
    <hyperlink xmlns:r="http://schemas.openxmlformats.org/officeDocument/2006/relationships" ref="N12" r:id="rId36"/>
    <hyperlink xmlns:r="http://schemas.openxmlformats.org/officeDocument/2006/relationships" ref="O12" r:id="rId37"/>
    <hyperlink xmlns:r="http://schemas.openxmlformats.org/officeDocument/2006/relationships" ref="C13" r:id="rId38"/>
    <hyperlink xmlns:r="http://schemas.openxmlformats.org/officeDocument/2006/relationships" ref="N13" r:id="rId39"/>
    <hyperlink xmlns:r="http://schemas.openxmlformats.org/officeDocument/2006/relationships" ref="O13" r:id="rId40"/>
    <hyperlink xmlns:r="http://schemas.openxmlformats.org/officeDocument/2006/relationships" ref="C14" r:id="rId41"/>
    <hyperlink xmlns:r="http://schemas.openxmlformats.org/officeDocument/2006/relationships" ref="N14" r:id="rId42"/>
    <hyperlink xmlns:r="http://schemas.openxmlformats.org/officeDocument/2006/relationships" ref="O14" r:id="rId43"/>
    <hyperlink xmlns:r="http://schemas.openxmlformats.org/officeDocument/2006/relationships" ref="C15" r:id="rId44"/>
    <hyperlink xmlns:r="http://schemas.openxmlformats.org/officeDocument/2006/relationships" ref="N15" r:id="rId45"/>
    <hyperlink xmlns:r="http://schemas.openxmlformats.org/officeDocument/2006/relationships" ref="O15" r:id="rId46"/>
    <hyperlink xmlns:r="http://schemas.openxmlformats.org/officeDocument/2006/relationships" ref="N16" r:id="rId47"/>
    <hyperlink xmlns:r="http://schemas.openxmlformats.org/officeDocument/2006/relationships" ref="O16" r:id="rId48"/>
    <hyperlink xmlns:r="http://schemas.openxmlformats.org/officeDocument/2006/relationships" ref="C17" r:id="rId49"/>
    <hyperlink xmlns:r="http://schemas.openxmlformats.org/officeDocument/2006/relationships" ref="N17" r:id="rId50"/>
    <hyperlink xmlns:r="http://schemas.openxmlformats.org/officeDocument/2006/relationships" ref="O17" r:id="rId51"/>
    <hyperlink xmlns:r="http://schemas.openxmlformats.org/officeDocument/2006/relationships" ref="Q17" r:id="rId52"/>
    <hyperlink xmlns:r="http://schemas.openxmlformats.org/officeDocument/2006/relationships" ref="C18" r:id="rId53"/>
    <hyperlink xmlns:r="http://schemas.openxmlformats.org/officeDocument/2006/relationships" ref="N18" r:id="rId54"/>
    <hyperlink xmlns:r="http://schemas.openxmlformats.org/officeDocument/2006/relationships" ref="O18" r:id="rId55"/>
    <hyperlink xmlns:r="http://schemas.openxmlformats.org/officeDocument/2006/relationships" ref="Q18" r:id="rId56"/>
    <hyperlink xmlns:r="http://schemas.openxmlformats.org/officeDocument/2006/relationships" ref="C19" r:id="rId57"/>
    <hyperlink xmlns:r="http://schemas.openxmlformats.org/officeDocument/2006/relationships" ref="N19" r:id="rId58"/>
    <hyperlink xmlns:r="http://schemas.openxmlformats.org/officeDocument/2006/relationships" ref="O19" r:id="rId59"/>
    <hyperlink xmlns:r="http://schemas.openxmlformats.org/officeDocument/2006/relationships" ref="Q19" r:id="rId60"/>
    <hyperlink xmlns:r="http://schemas.openxmlformats.org/officeDocument/2006/relationships" ref="C20" r:id="rId61"/>
    <hyperlink xmlns:r="http://schemas.openxmlformats.org/officeDocument/2006/relationships" ref="N20" r:id="rId62"/>
    <hyperlink xmlns:r="http://schemas.openxmlformats.org/officeDocument/2006/relationships" ref="O20" r:id="rId63"/>
    <hyperlink xmlns:r="http://schemas.openxmlformats.org/officeDocument/2006/relationships" ref="Q20" r:id="rId64"/>
    <hyperlink xmlns:r="http://schemas.openxmlformats.org/officeDocument/2006/relationships" ref="C21" r:id="rId65"/>
    <hyperlink xmlns:r="http://schemas.openxmlformats.org/officeDocument/2006/relationships" ref="N21" r:id="rId66"/>
    <hyperlink xmlns:r="http://schemas.openxmlformats.org/officeDocument/2006/relationships" ref="O21" r:id="rId67"/>
    <hyperlink xmlns:r="http://schemas.openxmlformats.org/officeDocument/2006/relationships" ref="C22" r:id="rId68"/>
    <hyperlink xmlns:r="http://schemas.openxmlformats.org/officeDocument/2006/relationships" ref="N22" r:id="rId69"/>
    <hyperlink xmlns:r="http://schemas.openxmlformats.org/officeDocument/2006/relationships" ref="O22" r:id="rId70"/>
    <hyperlink xmlns:r="http://schemas.openxmlformats.org/officeDocument/2006/relationships" ref="N23" r:id="rId71"/>
    <hyperlink xmlns:r="http://schemas.openxmlformats.org/officeDocument/2006/relationships" ref="O23" r:id="rId72"/>
    <hyperlink xmlns:r="http://schemas.openxmlformats.org/officeDocument/2006/relationships" ref="Q23" r:id="rId73"/>
    <hyperlink xmlns:r="http://schemas.openxmlformats.org/officeDocument/2006/relationships" ref="C24" r:id="rId74"/>
    <hyperlink xmlns:r="http://schemas.openxmlformats.org/officeDocument/2006/relationships" ref="N24" r:id="rId75"/>
    <hyperlink xmlns:r="http://schemas.openxmlformats.org/officeDocument/2006/relationships" ref="O24" r:id="rId76"/>
    <hyperlink xmlns:r="http://schemas.openxmlformats.org/officeDocument/2006/relationships" ref="C25" r:id="rId77"/>
    <hyperlink xmlns:r="http://schemas.openxmlformats.org/officeDocument/2006/relationships" ref="N25" r:id="rId78"/>
    <hyperlink xmlns:r="http://schemas.openxmlformats.org/officeDocument/2006/relationships" ref="O25" r:id="rId79"/>
    <hyperlink xmlns:r="http://schemas.openxmlformats.org/officeDocument/2006/relationships" ref="Q25" r:id="rId80"/>
    <hyperlink xmlns:r="http://schemas.openxmlformats.org/officeDocument/2006/relationships" ref="C26" r:id="rId81"/>
    <hyperlink xmlns:r="http://schemas.openxmlformats.org/officeDocument/2006/relationships" ref="N26" r:id="rId82"/>
    <hyperlink xmlns:r="http://schemas.openxmlformats.org/officeDocument/2006/relationships" ref="O26" r:id="rId83"/>
    <hyperlink xmlns:r="http://schemas.openxmlformats.org/officeDocument/2006/relationships" ref="C27" r:id="rId84"/>
    <hyperlink xmlns:r="http://schemas.openxmlformats.org/officeDocument/2006/relationships" ref="N27" r:id="rId85"/>
    <hyperlink xmlns:r="http://schemas.openxmlformats.org/officeDocument/2006/relationships" ref="O27" r:id="rId86"/>
    <hyperlink xmlns:r="http://schemas.openxmlformats.org/officeDocument/2006/relationships" ref="Q27" r:id="rId87"/>
    <hyperlink xmlns:r="http://schemas.openxmlformats.org/officeDocument/2006/relationships" ref="C28" r:id="rId88"/>
    <hyperlink xmlns:r="http://schemas.openxmlformats.org/officeDocument/2006/relationships" ref="N28" r:id="rId89"/>
    <hyperlink xmlns:r="http://schemas.openxmlformats.org/officeDocument/2006/relationships" ref="O28" r:id="rId90"/>
    <hyperlink xmlns:r="http://schemas.openxmlformats.org/officeDocument/2006/relationships" ref="Q28" r:id="rId91"/>
    <hyperlink xmlns:r="http://schemas.openxmlformats.org/officeDocument/2006/relationships" ref="C29" r:id="rId92"/>
    <hyperlink xmlns:r="http://schemas.openxmlformats.org/officeDocument/2006/relationships" ref="N29" r:id="rId93"/>
    <hyperlink xmlns:r="http://schemas.openxmlformats.org/officeDocument/2006/relationships" ref="O29" r:id="rId94"/>
    <hyperlink xmlns:r="http://schemas.openxmlformats.org/officeDocument/2006/relationships" ref="C30" r:id="rId95"/>
    <hyperlink xmlns:r="http://schemas.openxmlformats.org/officeDocument/2006/relationships" ref="N30" r:id="rId96"/>
    <hyperlink xmlns:r="http://schemas.openxmlformats.org/officeDocument/2006/relationships" ref="O30" r:id="rId97"/>
    <hyperlink xmlns:r="http://schemas.openxmlformats.org/officeDocument/2006/relationships" ref="C31" r:id="rId98"/>
    <hyperlink xmlns:r="http://schemas.openxmlformats.org/officeDocument/2006/relationships" ref="N31" r:id="rId99"/>
    <hyperlink xmlns:r="http://schemas.openxmlformats.org/officeDocument/2006/relationships" ref="O31" r:id="rId100"/>
    <hyperlink xmlns:r="http://schemas.openxmlformats.org/officeDocument/2006/relationships" ref="C32" r:id="rId101"/>
    <hyperlink xmlns:r="http://schemas.openxmlformats.org/officeDocument/2006/relationships" ref="N32" r:id="rId102"/>
    <hyperlink xmlns:r="http://schemas.openxmlformats.org/officeDocument/2006/relationships" ref="O32" r:id="rId103"/>
    <hyperlink xmlns:r="http://schemas.openxmlformats.org/officeDocument/2006/relationships" ref="Q32" r:id="rId104"/>
    <hyperlink xmlns:r="http://schemas.openxmlformats.org/officeDocument/2006/relationships" ref="C33" r:id="rId105"/>
    <hyperlink xmlns:r="http://schemas.openxmlformats.org/officeDocument/2006/relationships" ref="N33" r:id="rId106"/>
    <hyperlink xmlns:r="http://schemas.openxmlformats.org/officeDocument/2006/relationships" ref="O33" r:id="rId107"/>
    <hyperlink xmlns:r="http://schemas.openxmlformats.org/officeDocument/2006/relationships" ref="Q33" r:id="rId108"/>
    <hyperlink xmlns:r="http://schemas.openxmlformats.org/officeDocument/2006/relationships" ref="C34" r:id="rId109"/>
    <hyperlink xmlns:r="http://schemas.openxmlformats.org/officeDocument/2006/relationships" ref="N34" r:id="rId110"/>
    <hyperlink xmlns:r="http://schemas.openxmlformats.org/officeDocument/2006/relationships" ref="O34" r:id="rId111"/>
    <hyperlink xmlns:r="http://schemas.openxmlformats.org/officeDocument/2006/relationships" ref="Q34" r:id="rId112"/>
    <hyperlink xmlns:r="http://schemas.openxmlformats.org/officeDocument/2006/relationships" ref="C35" r:id="rId113"/>
    <hyperlink xmlns:r="http://schemas.openxmlformats.org/officeDocument/2006/relationships" ref="N35" r:id="rId114"/>
    <hyperlink xmlns:r="http://schemas.openxmlformats.org/officeDocument/2006/relationships" ref="O35" r:id="rId115"/>
    <hyperlink xmlns:r="http://schemas.openxmlformats.org/officeDocument/2006/relationships" ref="Q35" r:id="rId116"/>
    <hyperlink xmlns:r="http://schemas.openxmlformats.org/officeDocument/2006/relationships" ref="C36" r:id="rId117"/>
    <hyperlink xmlns:r="http://schemas.openxmlformats.org/officeDocument/2006/relationships" ref="N36" r:id="rId118"/>
    <hyperlink xmlns:r="http://schemas.openxmlformats.org/officeDocument/2006/relationships" ref="O36" r:id="rId119"/>
    <hyperlink xmlns:r="http://schemas.openxmlformats.org/officeDocument/2006/relationships" ref="Q36" r:id="rId120"/>
    <hyperlink xmlns:r="http://schemas.openxmlformats.org/officeDocument/2006/relationships" ref="C37" r:id="rId121"/>
    <hyperlink xmlns:r="http://schemas.openxmlformats.org/officeDocument/2006/relationships" ref="N37" r:id="rId122"/>
    <hyperlink xmlns:r="http://schemas.openxmlformats.org/officeDocument/2006/relationships" ref="O37" r:id="rId123"/>
    <hyperlink xmlns:r="http://schemas.openxmlformats.org/officeDocument/2006/relationships" ref="Q37" r:id="rId124"/>
    <hyperlink xmlns:r="http://schemas.openxmlformats.org/officeDocument/2006/relationships" ref="C38" r:id="rId125"/>
    <hyperlink xmlns:r="http://schemas.openxmlformats.org/officeDocument/2006/relationships" ref="N38" r:id="rId126"/>
    <hyperlink xmlns:r="http://schemas.openxmlformats.org/officeDocument/2006/relationships" ref="O38" r:id="rId127"/>
    <hyperlink xmlns:r="http://schemas.openxmlformats.org/officeDocument/2006/relationships" ref="Q38" r:id="rId128"/>
    <hyperlink xmlns:r="http://schemas.openxmlformats.org/officeDocument/2006/relationships" ref="C39" r:id="rId129"/>
    <hyperlink xmlns:r="http://schemas.openxmlformats.org/officeDocument/2006/relationships" ref="N39" r:id="rId130"/>
    <hyperlink xmlns:r="http://schemas.openxmlformats.org/officeDocument/2006/relationships" ref="O39" r:id="rId131"/>
    <hyperlink xmlns:r="http://schemas.openxmlformats.org/officeDocument/2006/relationships" ref="Q39" r:id="rId132"/>
    <hyperlink xmlns:r="http://schemas.openxmlformats.org/officeDocument/2006/relationships" ref="C40" r:id="rId133"/>
    <hyperlink xmlns:r="http://schemas.openxmlformats.org/officeDocument/2006/relationships" ref="N40" r:id="rId134"/>
    <hyperlink xmlns:r="http://schemas.openxmlformats.org/officeDocument/2006/relationships" ref="O40" r:id="rId135"/>
    <hyperlink xmlns:r="http://schemas.openxmlformats.org/officeDocument/2006/relationships" ref="Q40" r:id="rId136"/>
    <hyperlink xmlns:r="http://schemas.openxmlformats.org/officeDocument/2006/relationships" ref="C41" r:id="rId137"/>
    <hyperlink xmlns:r="http://schemas.openxmlformats.org/officeDocument/2006/relationships" ref="N41" r:id="rId138"/>
    <hyperlink xmlns:r="http://schemas.openxmlformats.org/officeDocument/2006/relationships" ref="O41" r:id="rId139"/>
    <hyperlink xmlns:r="http://schemas.openxmlformats.org/officeDocument/2006/relationships" ref="C42" r:id="rId140"/>
    <hyperlink xmlns:r="http://schemas.openxmlformats.org/officeDocument/2006/relationships" ref="N42" r:id="rId141"/>
    <hyperlink xmlns:r="http://schemas.openxmlformats.org/officeDocument/2006/relationships" ref="O42" r:id="rId142"/>
    <hyperlink xmlns:r="http://schemas.openxmlformats.org/officeDocument/2006/relationships" ref="C43" r:id="rId143"/>
    <hyperlink xmlns:r="http://schemas.openxmlformats.org/officeDocument/2006/relationships" ref="N43" r:id="rId144"/>
    <hyperlink xmlns:r="http://schemas.openxmlformats.org/officeDocument/2006/relationships" ref="O43" r:id="rId145"/>
    <hyperlink xmlns:r="http://schemas.openxmlformats.org/officeDocument/2006/relationships" ref="Q43" r:id="rId146"/>
    <hyperlink xmlns:r="http://schemas.openxmlformats.org/officeDocument/2006/relationships" ref="C44" r:id="rId147"/>
    <hyperlink xmlns:r="http://schemas.openxmlformats.org/officeDocument/2006/relationships" ref="N44" r:id="rId148"/>
    <hyperlink xmlns:r="http://schemas.openxmlformats.org/officeDocument/2006/relationships" ref="O44" r:id="rId149"/>
    <hyperlink xmlns:r="http://schemas.openxmlformats.org/officeDocument/2006/relationships" ref="C45" r:id="rId150"/>
    <hyperlink xmlns:r="http://schemas.openxmlformats.org/officeDocument/2006/relationships" ref="N45" r:id="rId151"/>
    <hyperlink xmlns:r="http://schemas.openxmlformats.org/officeDocument/2006/relationships" ref="O45" r:id="rId152"/>
    <hyperlink xmlns:r="http://schemas.openxmlformats.org/officeDocument/2006/relationships" ref="C46" r:id="rId153"/>
    <hyperlink xmlns:r="http://schemas.openxmlformats.org/officeDocument/2006/relationships" ref="N46" r:id="rId154"/>
    <hyperlink xmlns:r="http://schemas.openxmlformats.org/officeDocument/2006/relationships" ref="O46" r:id="rId155"/>
    <hyperlink xmlns:r="http://schemas.openxmlformats.org/officeDocument/2006/relationships" ref="Q46" r:id="rId156"/>
    <hyperlink xmlns:r="http://schemas.openxmlformats.org/officeDocument/2006/relationships" ref="C47" r:id="rId157"/>
    <hyperlink xmlns:r="http://schemas.openxmlformats.org/officeDocument/2006/relationships" ref="N47" r:id="rId158"/>
    <hyperlink xmlns:r="http://schemas.openxmlformats.org/officeDocument/2006/relationships" ref="O47" r:id="rId159"/>
    <hyperlink xmlns:r="http://schemas.openxmlformats.org/officeDocument/2006/relationships" ref="C48" r:id="rId160"/>
    <hyperlink xmlns:r="http://schemas.openxmlformats.org/officeDocument/2006/relationships" ref="N48" r:id="rId161"/>
    <hyperlink xmlns:r="http://schemas.openxmlformats.org/officeDocument/2006/relationships" ref="O48" r:id="rId162"/>
    <hyperlink xmlns:r="http://schemas.openxmlformats.org/officeDocument/2006/relationships" ref="Q48" r:id="rId163"/>
    <hyperlink xmlns:r="http://schemas.openxmlformats.org/officeDocument/2006/relationships" ref="C49" r:id="rId164"/>
    <hyperlink xmlns:r="http://schemas.openxmlformats.org/officeDocument/2006/relationships" ref="N49" r:id="rId165"/>
    <hyperlink xmlns:r="http://schemas.openxmlformats.org/officeDocument/2006/relationships" ref="O49" r:id="rId166"/>
    <hyperlink xmlns:r="http://schemas.openxmlformats.org/officeDocument/2006/relationships" ref="Q49" r:id="rId167"/>
    <hyperlink xmlns:r="http://schemas.openxmlformats.org/officeDocument/2006/relationships" ref="C50" r:id="rId168"/>
    <hyperlink xmlns:r="http://schemas.openxmlformats.org/officeDocument/2006/relationships" ref="N50" r:id="rId169"/>
    <hyperlink xmlns:r="http://schemas.openxmlformats.org/officeDocument/2006/relationships" ref="O50" r:id="rId170"/>
    <hyperlink xmlns:r="http://schemas.openxmlformats.org/officeDocument/2006/relationships" ref="Q50" r:id="rId171"/>
    <hyperlink xmlns:r="http://schemas.openxmlformats.org/officeDocument/2006/relationships" ref="C51" r:id="rId172"/>
    <hyperlink xmlns:r="http://schemas.openxmlformats.org/officeDocument/2006/relationships" ref="N51" r:id="rId173"/>
    <hyperlink xmlns:r="http://schemas.openxmlformats.org/officeDocument/2006/relationships" ref="O51" r:id="rId174"/>
    <hyperlink xmlns:r="http://schemas.openxmlformats.org/officeDocument/2006/relationships" ref="Q51" r:id="rId175"/>
    <hyperlink xmlns:r="http://schemas.openxmlformats.org/officeDocument/2006/relationships" ref="C52" r:id="rId176"/>
    <hyperlink xmlns:r="http://schemas.openxmlformats.org/officeDocument/2006/relationships" ref="N52" r:id="rId177"/>
    <hyperlink xmlns:r="http://schemas.openxmlformats.org/officeDocument/2006/relationships" ref="O52" r:id="rId178"/>
    <hyperlink xmlns:r="http://schemas.openxmlformats.org/officeDocument/2006/relationships" ref="Q52" r:id="rId179"/>
    <hyperlink xmlns:r="http://schemas.openxmlformats.org/officeDocument/2006/relationships" ref="C53" r:id="rId180"/>
    <hyperlink xmlns:r="http://schemas.openxmlformats.org/officeDocument/2006/relationships" ref="N53" r:id="rId181"/>
    <hyperlink xmlns:r="http://schemas.openxmlformats.org/officeDocument/2006/relationships" ref="O53" r:id="rId182"/>
    <hyperlink xmlns:r="http://schemas.openxmlformats.org/officeDocument/2006/relationships" ref="Q53" r:id="rId183"/>
    <hyperlink xmlns:r="http://schemas.openxmlformats.org/officeDocument/2006/relationships" ref="C54" r:id="rId184"/>
    <hyperlink xmlns:r="http://schemas.openxmlformats.org/officeDocument/2006/relationships" ref="N54" r:id="rId185"/>
    <hyperlink xmlns:r="http://schemas.openxmlformats.org/officeDocument/2006/relationships" ref="O54" r:id="rId186"/>
    <hyperlink xmlns:r="http://schemas.openxmlformats.org/officeDocument/2006/relationships" ref="Q54" r:id="rId187"/>
    <hyperlink xmlns:r="http://schemas.openxmlformats.org/officeDocument/2006/relationships" ref="C55" r:id="rId188"/>
    <hyperlink xmlns:r="http://schemas.openxmlformats.org/officeDocument/2006/relationships" ref="N55" r:id="rId189"/>
    <hyperlink xmlns:r="http://schemas.openxmlformats.org/officeDocument/2006/relationships" ref="O55" r:id="rId190"/>
    <hyperlink xmlns:r="http://schemas.openxmlformats.org/officeDocument/2006/relationships" ref="Q55" r:id="rId191"/>
    <hyperlink xmlns:r="http://schemas.openxmlformats.org/officeDocument/2006/relationships" ref="C56" r:id="rId192"/>
    <hyperlink xmlns:r="http://schemas.openxmlformats.org/officeDocument/2006/relationships" ref="N56" r:id="rId193"/>
    <hyperlink xmlns:r="http://schemas.openxmlformats.org/officeDocument/2006/relationships" ref="O56" r:id="rId194"/>
    <hyperlink xmlns:r="http://schemas.openxmlformats.org/officeDocument/2006/relationships" ref="Q56" r:id="rId195"/>
    <hyperlink xmlns:r="http://schemas.openxmlformats.org/officeDocument/2006/relationships" ref="C57" r:id="rId196"/>
    <hyperlink xmlns:r="http://schemas.openxmlformats.org/officeDocument/2006/relationships" ref="N57" r:id="rId197"/>
    <hyperlink xmlns:r="http://schemas.openxmlformats.org/officeDocument/2006/relationships" ref="O57" r:id="rId198"/>
    <hyperlink xmlns:r="http://schemas.openxmlformats.org/officeDocument/2006/relationships" ref="C58" r:id="rId199"/>
    <hyperlink xmlns:r="http://schemas.openxmlformats.org/officeDocument/2006/relationships" ref="N58" r:id="rId200"/>
    <hyperlink xmlns:r="http://schemas.openxmlformats.org/officeDocument/2006/relationships" ref="O58" r:id="rId201"/>
    <hyperlink xmlns:r="http://schemas.openxmlformats.org/officeDocument/2006/relationships" ref="Q58" r:id="rId202"/>
    <hyperlink xmlns:r="http://schemas.openxmlformats.org/officeDocument/2006/relationships" ref="C59" r:id="rId203"/>
    <hyperlink xmlns:r="http://schemas.openxmlformats.org/officeDocument/2006/relationships" ref="N59" r:id="rId204"/>
    <hyperlink xmlns:r="http://schemas.openxmlformats.org/officeDocument/2006/relationships" ref="O59" r:id="rId205"/>
    <hyperlink xmlns:r="http://schemas.openxmlformats.org/officeDocument/2006/relationships" ref="C60" r:id="rId206"/>
    <hyperlink xmlns:r="http://schemas.openxmlformats.org/officeDocument/2006/relationships" ref="N60" r:id="rId207"/>
    <hyperlink xmlns:r="http://schemas.openxmlformats.org/officeDocument/2006/relationships" ref="O60" r:id="rId208"/>
    <hyperlink xmlns:r="http://schemas.openxmlformats.org/officeDocument/2006/relationships" ref="Q60" r:id="rId209"/>
    <hyperlink xmlns:r="http://schemas.openxmlformats.org/officeDocument/2006/relationships" ref="C61" r:id="rId210"/>
    <hyperlink xmlns:r="http://schemas.openxmlformats.org/officeDocument/2006/relationships" ref="N61" r:id="rId211"/>
    <hyperlink xmlns:r="http://schemas.openxmlformats.org/officeDocument/2006/relationships" ref="O61" r:id="rId212"/>
    <hyperlink xmlns:r="http://schemas.openxmlformats.org/officeDocument/2006/relationships" ref="Q61" r:id="rId213"/>
    <hyperlink xmlns:r="http://schemas.openxmlformats.org/officeDocument/2006/relationships" ref="C62" r:id="rId214"/>
    <hyperlink xmlns:r="http://schemas.openxmlformats.org/officeDocument/2006/relationships" ref="N62" r:id="rId215"/>
    <hyperlink xmlns:r="http://schemas.openxmlformats.org/officeDocument/2006/relationships" ref="O62" r:id="rId216"/>
    <hyperlink xmlns:r="http://schemas.openxmlformats.org/officeDocument/2006/relationships" ref="C63" r:id="rId217"/>
    <hyperlink xmlns:r="http://schemas.openxmlformats.org/officeDocument/2006/relationships" ref="N63" r:id="rId218"/>
    <hyperlink xmlns:r="http://schemas.openxmlformats.org/officeDocument/2006/relationships" ref="O63" r:id="rId219"/>
    <hyperlink xmlns:r="http://schemas.openxmlformats.org/officeDocument/2006/relationships" ref="C64" r:id="rId220"/>
    <hyperlink xmlns:r="http://schemas.openxmlformats.org/officeDocument/2006/relationships" ref="N64" r:id="rId221"/>
    <hyperlink xmlns:r="http://schemas.openxmlformats.org/officeDocument/2006/relationships" ref="O64" r:id="rId222"/>
    <hyperlink xmlns:r="http://schemas.openxmlformats.org/officeDocument/2006/relationships" ref="Q64" r:id="rId223"/>
    <hyperlink xmlns:r="http://schemas.openxmlformats.org/officeDocument/2006/relationships" ref="C65" r:id="rId224"/>
    <hyperlink xmlns:r="http://schemas.openxmlformats.org/officeDocument/2006/relationships" ref="N65" r:id="rId225"/>
    <hyperlink xmlns:r="http://schemas.openxmlformats.org/officeDocument/2006/relationships" ref="O65" r:id="rId226"/>
    <hyperlink xmlns:r="http://schemas.openxmlformats.org/officeDocument/2006/relationships" ref="Q65" r:id="rId227"/>
    <hyperlink xmlns:r="http://schemas.openxmlformats.org/officeDocument/2006/relationships" ref="C66" r:id="rId228"/>
    <hyperlink xmlns:r="http://schemas.openxmlformats.org/officeDocument/2006/relationships" ref="N66" r:id="rId229"/>
    <hyperlink xmlns:r="http://schemas.openxmlformats.org/officeDocument/2006/relationships" ref="O66" r:id="rId230"/>
    <hyperlink xmlns:r="http://schemas.openxmlformats.org/officeDocument/2006/relationships" ref="Q66" r:id="rId231"/>
    <hyperlink xmlns:r="http://schemas.openxmlformats.org/officeDocument/2006/relationships" ref="C67" r:id="rId232"/>
    <hyperlink xmlns:r="http://schemas.openxmlformats.org/officeDocument/2006/relationships" ref="N67" r:id="rId233"/>
    <hyperlink xmlns:r="http://schemas.openxmlformats.org/officeDocument/2006/relationships" ref="O67" r:id="rId234"/>
    <hyperlink xmlns:r="http://schemas.openxmlformats.org/officeDocument/2006/relationships" ref="C68" r:id="rId235"/>
    <hyperlink xmlns:r="http://schemas.openxmlformats.org/officeDocument/2006/relationships" ref="N68" r:id="rId236"/>
    <hyperlink xmlns:r="http://schemas.openxmlformats.org/officeDocument/2006/relationships" ref="O68" r:id="rId237"/>
    <hyperlink xmlns:r="http://schemas.openxmlformats.org/officeDocument/2006/relationships" ref="C69" r:id="rId238"/>
    <hyperlink xmlns:r="http://schemas.openxmlformats.org/officeDocument/2006/relationships" ref="N69" r:id="rId239"/>
    <hyperlink xmlns:r="http://schemas.openxmlformats.org/officeDocument/2006/relationships" ref="O69" r:id="rId240"/>
    <hyperlink xmlns:r="http://schemas.openxmlformats.org/officeDocument/2006/relationships" ref="Q69" r:id="rId241"/>
    <hyperlink xmlns:r="http://schemas.openxmlformats.org/officeDocument/2006/relationships" ref="C70" r:id="rId242"/>
    <hyperlink xmlns:r="http://schemas.openxmlformats.org/officeDocument/2006/relationships" ref="N70" r:id="rId243"/>
    <hyperlink xmlns:r="http://schemas.openxmlformats.org/officeDocument/2006/relationships" ref="O70" r:id="rId244"/>
    <hyperlink xmlns:r="http://schemas.openxmlformats.org/officeDocument/2006/relationships" ref="C71" r:id="rId245"/>
    <hyperlink xmlns:r="http://schemas.openxmlformats.org/officeDocument/2006/relationships" ref="N71" r:id="rId246"/>
    <hyperlink xmlns:r="http://schemas.openxmlformats.org/officeDocument/2006/relationships" ref="O71" r:id="rId247"/>
    <hyperlink xmlns:r="http://schemas.openxmlformats.org/officeDocument/2006/relationships" ref="Q71" r:id="rId248"/>
    <hyperlink xmlns:r="http://schemas.openxmlformats.org/officeDocument/2006/relationships" ref="C72" r:id="rId249"/>
    <hyperlink xmlns:r="http://schemas.openxmlformats.org/officeDocument/2006/relationships" ref="N72" r:id="rId250"/>
    <hyperlink xmlns:r="http://schemas.openxmlformats.org/officeDocument/2006/relationships" ref="O72" r:id="rId251"/>
    <hyperlink xmlns:r="http://schemas.openxmlformats.org/officeDocument/2006/relationships" ref="Q72" r:id="rId252"/>
    <hyperlink xmlns:r="http://schemas.openxmlformats.org/officeDocument/2006/relationships" ref="C73" r:id="rId253"/>
    <hyperlink xmlns:r="http://schemas.openxmlformats.org/officeDocument/2006/relationships" ref="N73" r:id="rId254"/>
    <hyperlink xmlns:r="http://schemas.openxmlformats.org/officeDocument/2006/relationships" ref="O73" r:id="rId255"/>
    <hyperlink xmlns:r="http://schemas.openxmlformats.org/officeDocument/2006/relationships" ref="Q73" r:id="rId256"/>
    <hyperlink xmlns:r="http://schemas.openxmlformats.org/officeDocument/2006/relationships" ref="C74" r:id="rId257"/>
    <hyperlink xmlns:r="http://schemas.openxmlformats.org/officeDocument/2006/relationships" ref="N74" r:id="rId258"/>
    <hyperlink xmlns:r="http://schemas.openxmlformats.org/officeDocument/2006/relationships" ref="O74" r:id="rId259"/>
    <hyperlink xmlns:r="http://schemas.openxmlformats.org/officeDocument/2006/relationships" ref="Q74" r:id="rId260"/>
    <hyperlink xmlns:r="http://schemas.openxmlformats.org/officeDocument/2006/relationships" ref="C75" r:id="rId261"/>
    <hyperlink xmlns:r="http://schemas.openxmlformats.org/officeDocument/2006/relationships" ref="N75" r:id="rId262"/>
    <hyperlink xmlns:r="http://schemas.openxmlformats.org/officeDocument/2006/relationships" ref="O75" r:id="rId263"/>
    <hyperlink xmlns:r="http://schemas.openxmlformats.org/officeDocument/2006/relationships" ref="Q75" r:id="rId264"/>
    <hyperlink xmlns:r="http://schemas.openxmlformats.org/officeDocument/2006/relationships" ref="C76" r:id="rId265"/>
    <hyperlink xmlns:r="http://schemas.openxmlformats.org/officeDocument/2006/relationships" ref="N76" r:id="rId266"/>
    <hyperlink xmlns:r="http://schemas.openxmlformats.org/officeDocument/2006/relationships" ref="O76" r:id="rId267"/>
    <hyperlink xmlns:r="http://schemas.openxmlformats.org/officeDocument/2006/relationships" ref="Q76" r:id="rId268"/>
    <hyperlink xmlns:r="http://schemas.openxmlformats.org/officeDocument/2006/relationships" ref="C77" r:id="rId269"/>
    <hyperlink xmlns:r="http://schemas.openxmlformats.org/officeDocument/2006/relationships" ref="N77" r:id="rId270"/>
    <hyperlink xmlns:r="http://schemas.openxmlformats.org/officeDocument/2006/relationships" ref="O77" r:id="rId271"/>
    <hyperlink xmlns:r="http://schemas.openxmlformats.org/officeDocument/2006/relationships" ref="Q77" r:id="rId272"/>
    <hyperlink xmlns:r="http://schemas.openxmlformats.org/officeDocument/2006/relationships" ref="C78" r:id="rId273"/>
    <hyperlink xmlns:r="http://schemas.openxmlformats.org/officeDocument/2006/relationships" ref="N78" r:id="rId274"/>
    <hyperlink xmlns:r="http://schemas.openxmlformats.org/officeDocument/2006/relationships" ref="O78" r:id="rId275"/>
    <hyperlink xmlns:r="http://schemas.openxmlformats.org/officeDocument/2006/relationships" ref="Q78" r:id="rId276"/>
    <hyperlink xmlns:r="http://schemas.openxmlformats.org/officeDocument/2006/relationships" ref="C79" r:id="rId277"/>
    <hyperlink xmlns:r="http://schemas.openxmlformats.org/officeDocument/2006/relationships" ref="N79" r:id="rId278"/>
    <hyperlink xmlns:r="http://schemas.openxmlformats.org/officeDocument/2006/relationships" ref="O79" r:id="rId279"/>
    <hyperlink xmlns:r="http://schemas.openxmlformats.org/officeDocument/2006/relationships" ref="C80" r:id="rId280"/>
    <hyperlink xmlns:r="http://schemas.openxmlformats.org/officeDocument/2006/relationships" ref="N80" r:id="rId281"/>
    <hyperlink xmlns:r="http://schemas.openxmlformats.org/officeDocument/2006/relationships" ref="O80" r:id="rId282"/>
    <hyperlink xmlns:r="http://schemas.openxmlformats.org/officeDocument/2006/relationships" ref="C81" r:id="rId283"/>
    <hyperlink xmlns:r="http://schemas.openxmlformats.org/officeDocument/2006/relationships" ref="N81" r:id="rId284"/>
    <hyperlink xmlns:r="http://schemas.openxmlformats.org/officeDocument/2006/relationships" ref="O81" r:id="rId285"/>
    <hyperlink xmlns:r="http://schemas.openxmlformats.org/officeDocument/2006/relationships" ref="Q81" r:id="rId286"/>
    <hyperlink xmlns:r="http://schemas.openxmlformats.org/officeDocument/2006/relationships" ref="C82" r:id="rId287"/>
    <hyperlink xmlns:r="http://schemas.openxmlformats.org/officeDocument/2006/relationships" ref="N82" r:id="rId288"/>
    <hyperlink xmlns:r="http://schemas.openxmlformats.org/officeDocument/2006/relationships" ref="O82" r:id="rId289"/>
    <hyperlink xmlns:r="http://schemas.openxmlformats.org/officeDocument/2006/relationships" ref="Q82" r:id="rId290"/>
    <hyperlink xmlns:r="http://schemas.openxmlformats.org/officeDocument/2006/relationships" ref="C83" r:id="rId291"/>
    <hyperlink xmlns:r="http://schemas.openxmlformats.org/officeDocument/2006/relationships" ref="N83" r:id="rId292"/>
    <hyperlink xmlns:r="http://schemas.openxmlformats.org/officeDocument/2006/relationships" ref="O83" r:id="rId293"/>
    <hyperlink xmlns:r="http://schemas.openxmlformats.org/officeDocument/2006/relationships" ref="Q83" r:id="rId294"/>
    <hyperlink xmlns:r="http://schemas.openxmlformats.org/officeDocument/2006/relationships" ref="C84" r:id="rId295"/>
    <hyperlink xmlns:r="http://schemas.openxmlformats.org/officeDocument/2006/relationships" ref="N84" r:id="rId296"/>
    <hyperlink xmlns:r="http://schemas.openxmlformats.org/officeDocument/2006/relationships" ref="O84" r:id="rId297"/>
    <hyperlink xmlns:r="http://schemas.openxmlformats.org/officeDocument/2006/relationships" ref="Q84" r:id="rId298"/>
    <hyperlink xmlns:r="http://schemas.openxmlformats.org/officeDocument/2006/relationships" ref="C85" r:id="rId299"/>
    <hyperlink xmlns:r="http://schemas.openxmlformats.org/officeDocument/2006/relationships" ref="N85" r:id="rId300"/>
    <hyperlink xmlns:r="http://schemas.openxmlformats.org/officeDocument/2006/relationships" ref="O85" r:id="rId301"/>
    <hyperlink xmlns:r="http://schemas.openxmlformats.org/officeDocument/2006/relationships" ref="Q85" r:id="rId302"/>
    <hyperlink xmlns:r="http://schemas.openxmlformats.org/officeDocument/2006/relationships" ref="C86" r:id="rId303"/>
    <hyperlink xmlns:r="http://schemas.openxmlformats.org/officeDocument/2006/relationships" ref="N86" r:id="rId304"/>
    <hyperlink xmlns:r="http://schemas.openxmlformats.org/officeDocument/2006/relationships" ref="O86" r:id="rId305"/>
    <hyperlink xmlns:r="http://schemas.openxmlformats.org/officeDocument/2006/relationships" ref="Q86" r:id="rId306"/>
    <hyperlink xmlns:r="http://schemas.openxmlformats.org/officeDocument/2006/relationships" ref="C87" r:id="rId307"/>
    <hyperlink xmlns:r="http://schemas.openxmlformats.org/officeDocument/2006/relationships" ref="N87" r:id="rId308"/>
    <hyperlink xmlns:r="http://schemas.openxmlformats.org/officeDocument/2006/relationships" ref="O87" r:id="rId309"/>
    <hyperlink xmlns:r="http://schemas.openxmlformats.org/officeDocument/2006/relationships" ref="Q87" r:id="rId310"/>
    <hyperlink xmlns:r="http://schemas.openxmlformats.org/officeDocument/2006/relationships" ref="C88" r:id="rId311"/>
    <hyperlink xmlns:r="http://schemas.openxmlformats.org/officeDocument/2006/relationships" ref="N88" r:id="rId312"/>
    <hyperlink xmlns:r="http://schemas.openxmlformats.org/officeDocument/2006/relationships" ref="O88" r:id="rId313"/>
    <hyperlink xmlns:r="http://schemas.openxmlformats.org/officeDocument/2006/relationships" ref="C89" r:id="rId314"/>
    <hyperlink xmlns:r="http://schemas.openxmlformats.org/officeDocument/2006/relationships" ref="N89" r:id="rId315"/>
    <hyperlink xmlns:r="http://schemas.openxmlformats.org/officeDocument/2006/relationships" ref="O89" r:id="rId316"/>
    <hyperlink xmlns:r="http://schemas.openxmlformats.org/officeDocument/2006/relationships" ref="Q89" r:id="rId317"/>
    <hyperlink xmlns:r="http://schemas.openxmlformats.org/officeDocument/2006/relationships" ref="C90" r:id="rId318"/>
    <hyperlink xmlns:r="http://schemas.openxmlformats.org/officeDocument/2006/relationships" ref="N90" r:id="rId319"/>
    <hyperlink xmlns:r="http://schemas.openxmlformats.org/officeDocument/2006/relationships" ref="O90" r:id="rId320"/>
    <hyperlink xmlns:r="http://schemas.openxmlformats.org/officeDocument/2006/relationships" ref="C91" r:id="rId321"/>
    <hyperlink xmlns:r="http://schemas.openxmlformats.org/officeDocument/2006/relationships" ref="N91" r:id="rId322"/>
    <hyperlink xmlns:r="http://schemas.openxmlformats.org/officeDocument/2006/relationships" ref="O91" r:id="rId323"/>
    <hyperlink xmlns:r="http://schemas.openxmlformats.org/officeDocument/2006/relationships" ref="Q91" r:id="rId324"/>
    <hyperlink xmlns:r="http://schemas.openxmlformats.org/officeDocument/2006/relationships" ref="C92" r:id="rId325"/>
    <hyperlink xmlns:r="http://schemas.openxmlformats.org/officeDocument/2006/relationships" ref="N92" r:id="rId326"/>
    <hyperlink xmlns:r="http://schemas.openxmlformats.org/officeDocument/2006/relationships" ref="O92" r:id="rId327"/>
    <hyperlink xmlns:r="http://schemas.openxmlformats.org/officeDocument/2006/relationships" ref="Q92" r:id="rId328"/>
    <hyperlink xmlns:r="http://schemas.openxmlformats.org/officeDocument/2006/relationships" ref="C93" r:id="rId329"/>
    <hyperlink xmlns:r="http://schemas.openxmlformats.org/officeDocument/2006/relationships" ref="N93" r:id="rId330"/>
    <hyperlink xmlns:r="http://schemas.openxmlformats.org/officeDocument/2006/relationships" ref="O93" r:id="rId331"/>
    <hyperlink xmlns:r="http://schemas.openxmlformats.org/officeDocument/2006/relationships" ref="Q93" r:id="rId332"/>
    <hyperlink xmlns:r="http://schemas.openxmlformats.org/officeDocument/2006/relationships" ref="C94" r:id="rId333"/>
    <hyperlink xmlns:r="http://schemas.openxmlformats.org/officeDocument/2006/relationships" ref="N94" r:id="rId334"/>
    <hyperlink xmlns:r="http://schemas.openxmlformats.org/officeDocument/2006/relationships" ref="O94" r:id="rId335"/>
    <hyperlink xmlns:r="http://schemas.openxmlformats.org/officeDocument/2006/relationships" ref="Q94" r:id="rId336"/>
    <hyperlink xmlns:r="http://schemas.openxmlformats.org/officeDocument/2006/relationships" ref="C95" r:id="rId337"/>
    <hyperlink xmlns:r="http://schemas.openxmlformats.org/officeDocument/2006/relationships" ref="N95" r:id="rId338"/>
    <hyperlink xmlns:r="http://schemas.openxmlformats.org/officeDocument/2006/relationships" ref="O95" r:id="rId339"/>
    <hyperlink xmlns:r="http://schemas.openxmlformats.org/officeDocument/2006/relationships" ref="Q95" r:id="rId340"/>
    <hyperlink xmlns:r="http://schemas.openxmlformats.org/officeDocument/2006/relationships" ref="C96" r:id="rId341"/>
    <hyperlink xmlns:r="http://schemas.openxmlformats.org/officeDocument/2006/relationships" ref="N96" r:id="rId342"/>
    <hyperlink xmlns:r="http://schemas.openxmlformats.org/officeDocument/2006/relationships" ref="O96" r:id="rId343"/>
    <hyperlink xmlns:r="http://schemas.openxmlformats.org/officeDocument/2006/relationships" ref="C97" r:id="rId344"/>
    <hyperlink xmlns:r="http://schemas.openxmlformats.org/officeDocument/2006/relationships" ref="N97" r:id="rId345"/>
    <hyperlink xmlns:r="http://schemas.openxmlformats.org/officeDocument/2006/relationships" ref="O97" r:id="rId346"/>
    <hyperlink xmlns:r="http://schemas.openxmlformats.org/officeDocument/2006/relationships" ref="C98" r:id="rId347"/>
    <hyperlink xmlns:r="http://schemas.openxmlformats.org/officeDocument/2006/relationships" ref="N98" r:id="rId348"/>
    <hyperlink xmlns:r="http://schemas.openxmlformats.org/officeDocument/2006/relationships" ref="O98" r:id="rId349"/>
    <hyperlink xmlns:r="http://schemas.openxmlformats.org/officeDocument/2006/relationships" ref="Q98" r:id="rId350"/>
    <hyperlink xmlns:r="http://schemas.openxmlformats.org/officeDocument/2006/relationships" ref="C99" r:id="rId351"/>
    <hyperlink xmlns:r="http://schemas.openxmlformats.org/officeDocument/2006/relationships" ref="N99" r:id="rId352"/>
    <hyperlink xmlns:r="http://schemas.openxmlformats.org/officeDocument/2006/relationships" ref="O99" r:id="rId353"/>
    <hyperlink xmlns:r="http://schemas.openxmlformats.org/officeDocument/2006/relationships" ref="Q99" r:id="rId354"/>
    <hyperlink xmlns:r="http://schemas.openxmlformats.org/officeDocument/2006/relationships" ref="C100" r:id="rId355"/>
    <hyperlink xmlns:r="http://schemas.openxmlformats.org/officeDocument/2006/relationships" ref="N100" r:id="rId356"/>
    <hyperlink xmlns:r="http://schemas.openxmlformats.org/officeDocument/2006/relationships" ref="O100" r:id="rId357"/>
    <hyperlink xmlns:r="http://schemas.openxmlformats.org/officeDocument/2006/relationships" ref="N101" r:id="rId358"/>
    <hyperlink xmlns:r="http://schemas.openxmlformats.org/officeDocument/2006/relationships" ref="O101" r:id="rId359"/>
    <hyperlink xmlns:r="http://schemas.openxmlformats.org/officeDocument/2006/relationships" ref="C102" r:id="rId360"/>
    <hyperlink xmlns:r="http://schemas.openxmlformats.org/officeDocument/2006/relationships" ref="N102" r:id="rId361"/>
    <hyperlink xmlns:r="http://schemas.openxmlformats.org/officeDocument/2006/relationships" ref="O102" r:id="rId362"/>
    <hyperlink xmlns:r="http://schemas.openxmlformats.org/officeDocument/2006/relationships" ref="N103" r:id="rId363"/>
    <hyperlink xmlns:r="http://schemas.openxmlformats.org/officeDocument/2006/relationships" ref="O103" r:id="rId364"/>
    <hyperlink xmlns:r="http://schemas.openxmlformats.org/officeDocument/2006/relationships" ref="C104" r:id="rId365"/>
    <hyperlink xmlns:r="http://schemas.openxmlformats.org/officeDocument/2006/relationships" ref="N104" r:id="rId366"/>
    <hyperlink xmlns:r="http://schemas.openxmlformats.org/officeDocument/2006/relationships" ref="O104" r:id="rId367"/>
    <hyperlink xmlns:r="http://schemas.openxmlformats.org/officeDocument/2006/relationships" ref="Q104" r:id="rId368"/>
    <hyperlink xmlns:r="http://schemas.openxmlformats.org/officeDocument/2006/relationships" ref="C105" r:id="rId369"/>
    <hyperlink xmlns:r="http://schemas.openxmlformats.org/officeDocument/2006/relationships" ref="N105" r:id="rId370"/>
    <hyperlink xmlns:r="http://schemas.openxmlformats.org/officeDocument/2006/relationships" ref="O105" r:id="rId371"/>
    <hyperlink xmlns:r="http://schemas.openxmlformats.org/officeDocument/2006/relationships" ref="N106" r:id="rId372"/>
    <hyperlink xmlns:r="http://schemas.openxmlformats.org/officeDocument/2006/relationships" ref="O106" r:id="rId373"/>
    <hyperlink xmlns:r="http://schemas.openxmlformats.org/officeDocument/2006/relationships" ref="C107" r:id="rId374"/>
    <hyperlink xmlns:r="http://schemas.openxmlformats.org/officeDocument/2006/relationships" ref="N107" r:id="rId375"/>
    <hyperlink xmlns:r="http://schemas.openxmlformats.org/officeDocument/2006/relationships" ref="O107" r:id="rId376"/>
    <hyperlink xmlns:r="http://schemas.openxmlformats.org/officeDocument/2006/relationships" ref="Q107" r:id="rId377"/>
    <hyperlink xmlns:r="http://schemas.openxmlformats.org/officeDocument/2006/relationships" ref="C108" r:id="rId378"/>
    <hyperlink xmlns:r="http://schemas.openxmlformats.org/officeDocument/2006/relationships" ref="O108" r:id="rId379"/>
    <hyperlink xmlns:r="http://schemas.openxmlformats.org/officeDocument/2006/relationships" ref="Q108" r:id="rId380"/>
    <hyperlink xmlns:r="http://schemas.openxmlformats.org/officeDocument/2006/relationships" ref="C109" r:id="rId381"/>
    <hyperlink xmlns:r="http://schemas.openxmlformats.org/officeDocument/2006/relationships" ref="O109" r:id="rId382"/>
    <hyperlink xmlns:r="http://schemas.openxmlformats.org/officeDocument/2006/relationships" ref="Q109" r:id="rId38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90"/>
  <sheetViews>
    <sheetView workbookViewId="0">
      <selection activeCell="A1" sqref="A1"/>
    </sheetView>
  </sheetViews>
  <sheetFormatPr baseColWidth="8" defaultRowHeight="15"/>
  <cols>
    <col width="34" customWidth="1" min="1" max="1"/>
    <col width="120" customWidth="1" min="2" max="2"/>
    <col width="40" customWidth="1" min="3" max="3"/>
  </cols>
  <sheetData>
    <row r="1">
      <c r="A1" s="4">
        <f>company_name&amp;": cluster 1 (Flatiron, NoMad and Union Square) method, definitions and sources"</f>
        <v/>
      </c>
    </row>
    <row r="2">
      <c r="A2" s="5" t="inlineStr">
        <is>
          <t>Config (rename here once; titles on Route and Method read it)</t>
        </is>
      </c>
    </row>
    <row r="3">
      <c r="A3" t="inlineStr">
        <is>
          <t>company_name</t>
        </is>
      </c>
      <c r="B3" s="6" t="inlineStr">
        <is>
          <t>Desk Drop</t>
        </is>
      </c>
    </row>
    <row r="4">
      <c r="A4" t="inlineStr">
        <is>
          <t>tagline</t>
        </is>
      </c>
      <c r="B4" s="6" t="inlineStr">
        <is>
          <t>Emerging brands. Delivered to your workday.</t>
        </is>
      </c>
    </row>
    <row r="6">
      <c r="A6" s="5" t="inlineStr">
        <is>
          <t>Live counts (formulas)</t>
        </is>
      </c>
    </row>
    <row r="7">
      <c r="A7" s="12" t="inlineStr">
        <is>
          <t>candidate companies</t>
        </is>
      </c>
      <c r="B7" s="13">
        <f>COUNTIF(Companies!AI:AI,"candidate")</f>
        <v/>
      </c>
    </row>
    <row r="8">
      <c r="A8" s="12" t="inlineStr">
        <is>
          <t xml:space="preserve">  of which high confidence</t>
        </is>
      </c>
      <c r="B8" s="13">
        <f>COUNTIFS(Companies!AI:AI,"candidate",Companies!R:R,"high")</f>
        <v/>
      </c>
    </row>
    <row r="9">
      <c r="A9" s="12" t="inlineStr">
        <is>
          <t xml:space="preserve">  of which medium</t>
        </is>
      </c>
      <c r="B9" s="13">
        <f>COUNTIFS(Companies!AI:AI,"candidate",Companies!R:R,"medium")</f>
        <v/>
      </c>
    </row>
    <row r="10">
      <c r="A10" s="12" t="inlineStr">
        <is>
          <t xml:space="preserve">  of which low</t>
        </is>
      </c>
      <c r="B10" s="13">
        <f>COUNTIFS(Companies!AI:AI,"candidate",Companies!R:R,"low")</f>
        <v/>
      </c>
    </row>
    <row r="11">
      <c r="A11" s="12" t="inlineStr">
        <is>
          <t xml:space="preserve">  signed, not yet occupied</t>
        </is>
      </c>
      <c r="B11" s="13">
        <f>COUNTIFS(Companies!AI:AI,"candidate",Companies!AJ:AJ,"signed-not-occupied")</f>
        <v/>
      </c>
    </row>
    <row r="12">
      <c r="A12" s="12" t="inlineStr">
        <is>
          <t>coworking members (excluded)</t>
        </is>
      </c>
      <c r="B12" s="13">
        <f>COUNTIF(Companies!AI:AI,"excluded-coworking")</f>
        <v/>
      </c>
    </row>
    <row r="13">
      <c r="A13" s="12" t="inlineStr">
        <is>
          <t>near-miss rows</t>
        </is>
      </c>
      <c r="B13" s="13">
        <f>COUNTA('Near-miss'!A:A)-1</f>
        <v/>
      </c>
    </row>
    <row r="14">
      <c r="A14" s="12" t="inlineStr">
        <is>
          <t>buildings</t>
        </is>
      </c>
      <c r="B14" s="13">
        <f>COUNTA(Buildings!A:A)-1</f>
        <v/>
      </c>
    </row>
    <row r="15">
      <c r="A15" s="12" t="inlineStr">
        <is>
          <t>coworking sites</t>
        </is>
      </c>
      <c r="B15" s="13">
        <f>COUNTA(Coworking!A:A)-1</f>
        <v/>
      </c>
    </row>
    <row r="16">
      <c r="A16" s="12" t="inlineStr">
        <is>
          <t>stores</t>
        </is>
      </c>
      <c r="B16" s="13">
        <f>COUNTA(Retailers!A:A)-1</f>
        <v/>
      </c>
    </row>
    <row r="17">
      <c r="A17" s="12" t="inlineStr">
        <is>
          <t>verified on foot so far</t>
        </is>
      </c>
      <c r="B17" s="13">
        <f>COUNTIF(Buildings!K:K,"Y")</f>
        <v/>
      </c>
    </row>
    <row r="19">
      <c r="A19" s="5" t="inlineStr">
        <is>
          <t>What this is</t>
        </is>
      </c>
    </row>
    <row r="20">
      <c r="B20" s="14" t="inlineStr">
        <is>
          <t>Desk research baseline for cluster 1, as of 2026-10-24. Nothing here is verified on foot: verified_on_foot is blank everywhere and no field implies founder action. Company names appear only in the private files; the public map shows the boundary and stores only.</t>
        </is>
      </c>
    </row>
    <row r="21">
      <c r="B21" s="14" t="inlineStr">
        <is>
          <t>Counts: 276 sourced company rows from four research slices (14th to 30th St, Sixth Ave to Park Ave S, plus margins); 162 are candidates inside the boundary in the 40-500 band or with an unknown band and a stated reason. 81 buildings, 32 coworking sites (24 inside), 30 stores (11 inside, the rest within 7 blocks).</t>
        </is>
      </c>
    </row>
    <row r="23">
      <c r="A23" s="5" t="inlineStr">
        <is>
          <t>Boundary</t>
        </is>
      </c>
    </row>
    <row r="24">
      <c r="A24" s="14" t="inlineStr">
        <is>
          <t>Rule</t>
        </is>
      </c>
      <c r="B24" s="14" t="inlineStr">
        <is>
          <t>14th St to 30th St, Sixth Ave to Park Ave S, with both frontages of every edge street and avenue inside (a building facing the line from the far side counts). Plus the Union Square frame: from University Place to Third Ave, everything between the 13th St and 15th St centrelines. File: boundary.geojson (WGS84 polygon, exterior ring counter-clockwise as RFC 7946 requires).</t>
        </is>
      </c>
    </row>
    <row r="25">
      <c r="A25" s="14" t="inlineStr">
        <is>
          <t>Size</t>
        </is>
      </c>
      <c r="B25" s="14" t="inlineStr">
        <is>
          <t>1.044 km2; 1389 m north to south and 738 m across the main body. Corner to corner is 2372 m on the grid, about 37 minutes at hand-truck pace before signal waits.</t>
        </is>
      </c>
    </row>
    <row r="26">
      <c r="A26" s="14" t="inlineStr">
        <is>
          <t>Why: where sourced candidates are</t>
        </is>
      </c>
      <c r="B26" s="14" t="inlineStr">
        <is>
          <t>270 of 276 sourced company rows fall inside; the other 6 are 0.1 to 1.7 blocks outside and go to Near-miss. Candidates by sub-area: 13th-18th St 35; 18th-23rd St 55; 23rd-26th St 26; 26th-30th St 46. The densest single buildings are 853 Broadway, 215 Park Ave S, 11 E 26th St, 60 Madison Ave and 41 Madison Ave.</t>
        </is>
      </c>
    </row>
    <row r="27">
      <c r="A27" s="14" t="inlineStr">
        <is>
          <t>Why: walkability for an 8 to 11 am hand-truck route</t>
        </is>
      </c>
      <c r="B27" s="14" t="inlineStr">
        <is>
          <t>The main body is one straight avenue spine (Fifth Ave and Broadway) with Sixth Ave and Park Ave S as edges, so any stop is at most about two avenue blocks from the spine. A ten-stop route only fits three hours if the stops sit in about a six-block by two-avenue patch (see Route), and every sub-area above holds enough candidates to fill such a patch. The line stops where research found few offices and walking would grow: east of Park Ave S and north of 30th St.</t>
        </is>
      </c>
    </row>
    <row r="28">
      <c r="A28" s="14" t="inlineStr">
        <is>
          <t>Why: retailers</t>
        </is>
      </c>
      <c r="B28" s="14" t="inlineStr">
        <is>
          <t>The line takes in the plan's three named stores (Whole Foods Union Square, Trader Joe's 14th St, Eataly Flatiron) plus Whole Foods NoMad and Fairway Chelsea. Every candidate building is within 7.7 blocks of a store on the public map (median 3.3), and 38% are within five blocks of a tier A store (median 5.4).</t>
        </is>
      </c>
    </row>
    <row r="29">
      <c r="A29" s="14" t="inlineStr">
        <is>
          <t>Neighbourhood definitions used</t>
        </is>
      </c>
      <c r="B29" s="14" t="inlineStr">
        <is>
          <t>Wikipedia, Flatiron District (opened 2026-10-24): bounded by 14th Street and Union Square to the south, Sixth Avenue to the west, 23rd Street and Madison Square to the north, Park Avenue South to the east. Wikipedia, NoMad (last edited 2026-09-29, opened 2026-10-24): East 25th Street to the south, East 29th or 30th Street to the north, Sixth Avenue to the west, Madison or Lexington Avenue to the east. The line follows these, choosing 30th St for the north and Park Ave S for the east.</t>
        </is>
      </c>
      <c r="C29" s="14" t="inlineStr">
        <is>
          <t>https://en.wikipedia.org/wiki/Flatiron_District ; https://en.wikipedia.org/wiki/NoMad,_Manhattan</t>
        </is>
      </c>
    </row>
    <row r="30">
      <c r="A30" s="14" t="inlineStr">
        <is>
          <t>Left out: west of Sixth Ave (Chelsea)</t>
        </is>
      </c>
      <c r="B30" s="14" t="inlineStr">
        <is>
          <t>A different neighbourhood and outside the plan's cluster. Rows just past the line (Runwise, 104 W 27th St) are in Near-miss; Whole Foods Chelsea and the Seventh and Eighth Ave stores stay on the Retailers tab as buy paths within ten blocks. Coworking left out: WeWork 154 W 14th St, Industrious 119 W 24th St, Hakibbutz 151 W 26th St, Jay Suites 159 W 25th St, The Malin Chelsea 270 Seventh Ave, Resident Chelsea 115 W 18th St (not open).</t>
        </is>
      </c>
    </row>
    <row r="31">
      <c r="A31" s="14" t="inlineStr">
        <is>
          <t>Left out: east of the Park Ave S frontage, 15th to 30th St</t>
        </is>
      </c>
      <c r="B31" s="14" t="inlineStr">
        <is>
          <t>Gramercy, Irving Place, Lexington and Kips Bay are mostly residential, Baruch College and hospitals; research found one candidate there (RepRally, 137 E 25th St, Near-miss) plus coworking (Indy by Industrious 120 E 23rd St, Resident 115 E 23rd St, WeWork 33 Irving Pl), all kept on their tabs with in_boundary = N.</t>
        </is>
      </c>
    </row>
    <row r="32">
      <c r="A32" s="14" t="inlineStr">
        <is>
          <t>Left out: north of 30th St</t>
        </is>
      </c>
      <c r="B32" s="14" t="inlineStr">
        <is>
          <t>Wikipedia puts NoMad's north edge at 29th or 30th St. Rows on the 31st St frontage (Parloa and GumGum at 1245 Broadway; Ford Models and The Ancillary Project at 36 E 31st St) are in Near-miss. Coworking left out: WeWork 135 Madison, Regus 136 Madison and 1250 Broadway, Corporate Suites 2 Park Ave.</t>
        </is>
      </c>
    </row>
    <row r="33">
      <c r="A33" s="14" t="inlineStr">
        <is>
          <t>Left out: south of 14th St west of University Place</t>
        </is>
      </c>
      <c r="B33" s="14" t="inlineStr">
        <is>
          <t>Greenwich Village and The New School: university and residential, no sourced candidate. Merci Market, LifeThyme, Citarella and Wegmans stay on the Retailers tab. Resident Union Square (113 University Pl, 12th to 13th St) is just outside.</t>
        </is>
      </c>
    </row>
    <row r="34">
      <c r="A34" s="14" t="inlineStr">
        <is>
          <t>Left out: stores</t>
        </is>
      </c>
      <c r="B34" s="14" t="inlineStr">
        <is>
          <t>Beyond ten blocks or not a buy path: Whole Foods Stuytown (409 E 14th St, about 11 blocks), Whole Foods Bryant Park and Manhattan West, Brooklyn Fare, Westerly, Agata &amp; Valentina (Upper East Side only), Pop Up Grocer (online store unavailable), Integral Yoga Natural Foods (status unknown), Trader Joe's Murray Hill (dropped by the researcher: private label), pharmacies (no emerging-set evidence), delis and conventional chains (Gristedes, D'Agostino, Lidl and others).</t>
        </is>
      </c>
    </row>
    <row r="36">
      <c r="A36" s="5" t="inlineStr">
        <is>
          <t>'Ten blocks', defined</t>
        </is>
      </c>
    </row>
    <row r="37">
      <c r="B37" s="14" t="inlineStr">
        <is>
          <t>Ten street-block lengths (10 x 79.4 m = 794 m) of walking on the Manhattan grid from the nearest edge of the boundary, about 11 minutes on foot. Crosstown distance counts at its length, so one long avenue block (Sixth to Fifth, about 310 m) counts as about 3.9 blocks. Measured from each store's pin with the grid model below. South of 14th St west of Fifth the streets bend, so readings there are approximate.</t>
        </is>
      </c>
    </row>
    <row r="39">
      <c r="A39" s="5" t="inlineStr">
        <is>
          <t>Confidence scale (CONTRACTS section 4 floor, applied more strictly)</t>
        </is>
      </c>
    </row>
    <row r="40">
      <c r="A40" s="14" t="inlineStr">
        <is>
          <t>high</t>
        </is>
      </c>
      <c r="B40" s="14" t="inlineStr">
        <is>
          <t>A source under 24 months old (dated on or after 2024-10-24, or the company's or operator's own live page opened 2026-10-23/24) plus one independent confirmation from a different publisher. Two outlets repeating one landlord or broker release count as one source.</t>
        </is>
      </c>
    </row>
    <row r="41">
      <c r="A41" s="14" t="inlineStr">
        <is>
          <t>medium</t>
        </is>
      </c>
      <c r="B41" s="14" t="inlineStr">
        <is>
          <t>One source under 24 months old (dated, or the company's or operator's own live page); or recent sources that disagree on move timing (a lease is signed but the company's site still shows the old address).</t>
        </is>
      </c>
    </row>
    <row r="42">
      <c r="A42" s="14" t="inlineStr">
        <is>
          <t>Undated profiles (review round 2)</t>
        </is>
      </c>
      <c r="B42" s="14" t="inlineStr">
        <is>
          <t>An undated third-party profile (Built In, Deskpass, LiquidSpace) is never the under-24-month source: it can only confirm a dated source or the company's own live page. A row whose only fresh source is such a profile is low.</t>
        </is>
      </c>
    </row>
    <row r="43">
      <c r="A43" s="14" t="inlineStr">
        <is>
          <t>low</t>
        </is>
      </c>
      <c r="B43" s="14" t="inlineStr">
        <is>
          <t>Only sources older than 24 months, or sources that conflict on the address, or a map listing, broker list or legacy page alone.</t>
        </is>
      </c>
    </row>
    <row r="44">
      <c r="A44" s="14" t="inlineStr">
        <is>
          <t>At assembly</t>
        </is>
      </c>
      <c r="B44" s="14" t="inlineStr">
        <is>
          <t>Every 'high' and 'medium' row was re-tested: a high whose second source is missing or on the same domain as the first was lowered to medium; a row whose only current source is an undated third-party profile was lowered to low (review round 2; at round 1 such rows went to medium); a row with no source under 24 months was lowered to low. Each change is written into that row's notes.</t>
        </is>
      </c>
    </row>
    <row r="45">
      <c r="A45" s="14" t="inlineStr">
        <is>
          <t>Coworking dates</t>
        </is>
      </c>
      <c r="B45" s="14" t="inlineStr">
        <is>
          <t>source_date is the publication date of a dated article (a live operator page carries the date it was opened), and the independent source sits in second_source_url, not only in the notes.</t>
        </is>
      </c>
    </row>
    <row r="47">
      <c r="A47" s="5" t="inlineStr">
        <is>
          <t>Source weighting (strongest first)</t>
        </is>
      </c>
    </row>
    <row r="48">
      <c r="B48" s="14" t="inlineStr">
        <is>
          <t>1. The company's own current site: contact, terms or privacy pages that print a postal address. 2. A public filing (10-K or 10-Q cover, CMBS rent roll). 3. Dated leasing press (Commercial Observer, The Real Deal, NYREJ, REBusiness, Connect CRE) naming the tenant and floor. 4. The landlord's or building's own site. 5. Built In company pages (useful for 'Total Employees' and the HQ city; addresses are often stale; undated, so never the under-24-month source). 5a. Revelio Labs public company pages (published 2026-08-31, figures as of March 2026): a second, third-party headcount, used to test Built In's count, never to place a company at an address. 6. Broker building pages (Metro Manhattan): lobby wording only, never a tenant alone. 7. Map listings: never used alone. Where sources disagree, the newer and stronger source wins and the row says so.</t>
        </is>
      </c>
    </row>
    <row r="50">
      <c r="A50" s="5" t="inlineStr">
        <is>
          <t>Candidate rules</t>
        </is>
      </c>
    </row>
    <row r="51">
      <c r="A51" s="14" t="inlineStr">
        <is>
          <t>candidate</t>
        </is>
      </c>
      <c r="B51" s="14" t="inlineStr">
        <is>
          <t>Inside the boundary; band 40-75, 76-150, 151-250, 251-500, or unknown with the reason stated, or under-40 where a source puts the NYC office at about 30 (the brief's 30 to 39 founder's call: Normal Computing only); not inside a coworking space. Headcounts are whole-company unless a source counts the NYC office; no onsite or Tuesday estimates are made. Intake collects the Tuesday count.</t>
        </is>
      </c>
    </row>
    <row r="52">
      <c r="A52" s="14" t="inlineStr">
        <is>
          <t>hq_city, hq_in_nyc</t>
        </is>
      </c>
      <c r="B52" s="14" t="inlineStr">
        <is>
          <t>From each row's Built In offices page, opened 2026-10-24 (_work/builtin_hq_2026-10-24.csv): the HQ city as Built In prints it, and Y when it is New York. Where Built In is silent (review round 2), from the row's own sources, the company's own page or the Revelio Labs page, with the page in hq_source_url. A whole-company band for a firm based elsewhere (hq_in_nyc = N) can be far larger than its New York office. Of the 44 candidates with a sourced band, 30 are based in New York, 12 elsewhere and 2 unknown. 30 candidates are occupied and carry a sourced band; the rest need intake or a walk-by.</t>
        </is>
      </c>
    </row>
    <row r="53">
      <c r="A53" s="14" t="inlineStr">
        <is>
          <t>excluded-coworking</t>
        </is>
      </c>
      <c r="B53" s="14" t="inlineStr">
        <is>
          <t>Listed as a coworking resident, or on a floor a coworking operator holds. The operator itself may join as one office if it controls the pantry (Coworking tab).</t>
        </is>
      </c>
    </row>
    <row r="54">
      <c r="A54" s="14" t="inlineStr">
        <is>
          <t>near-miss</t>
        </is>
      </c>
      <c r="B54" s="14" t="inlineStr">
        <is>
          <t>Over 500 company-wide (in the boundary), or outside the line. near_miss_class tags the size: just-over-500 (501 to 1,000, the brief's 'just over 500'), over-1,000 (1,001 to 4,999) and not-near (5,000 or more), from the count cited in company_wide_count_cited; outside-line for rows past the boundary. nyc_office_may_fit = Y where a source suggests the New York office alone could fit; those rows stay visible whatever their class. Counts: over-1,000 (1,001 to 4,999) 45; just-over-500 (501 to 1,000) 29; not-near (5,000 or more) 28; outside-line 6; 12 rows with nyc_office_may_fit = Y.</t>
        </is>
      </c>
    </row>
    <row r="55">
      <c r="A55" s="14" t="inlineStr">
        <is>
          <t>lease_status</t>
        </is>
      </c>
      <c r="B55" s="14" t="inlineStr">
        <is>
          <t>occupied, occupancy-unconfirmed, signed-not-occupied (with move_in_date) or moving-out. Check the lobby directory on the walk before contacting a signed-not-occupied row.</t>
        </is>
      </c>
    </row>
    <row r="57">
      <c r="A57" s="5" t="inlineStr">
        <is>
          <t>Conflicts resolved at assembly (evidence in each row's notes)</t>
        </is>
      </c>
    </row>
    <row r="58">
      <c r="A58" s="14" t="inlineStr">
        <is>
          <t>Kaltura</t>
        </is>
      </c>
      <c r="B58" s="14" t="inlineStr">
        <is>
          <t>Kept at 860 Broadway: CO 2022-01 says it moved there from 250 Park Ave S (the stale SEC registrant address) and CO 2026-08-07 lists it as current. Over 500: Near-miss.</t>
        </is>
      </c>
    </row>
    <row r="59">
      <c r="A59" s="14" t="inlineStr">
        <is>
          <t>Adyen</t>
        </is>
      </c>
      <c r="B59" s="14" t="inlineStr">
        <is>
          <t>Current office 71 Fifth Ave (own page); signed 90,000 sf at 111 and 115 Fifth (CO 2026-04-07), date unknown: moving-out. Over 500.</t>
        </is>
      </c>
    </row>
    <row r="60">
      <c r="A60" s="14" t="inlineStr">
        <is>
          <t>WW International</t>
        </is>
      </c>
      <c r="B60" s="14" t="inlineStr">
        <is>
          <t>18 W 18th St, 7th floor, per its 10-Q (newer than Built In's 675 Sixth Ave). WeWork holds five unnamed floors of that building, so coworking_check = floor-unknown. Over 500.</t>
        </is>
      </c>
    </row>
    <row r="61">
      <c r="A61" s="14" t="inlineStr">
        <is>
          <t>32BJ</t>
        </is>
      </c>
      <c r="B61" s="14" t="inlineStr">
        <is>
          <t>Union HQ and Benefit Funds at 25 W 18th St (one tax lot with 620 Sixth Ave) merged into one row: one pantry until shown otherwise.</t>
        </is>
      </c>
    </row>
    <row r="62">
      <c r="A62" s="14" t="inlineStr">
        <is>
          <t>Instacart</t>
        </is>
      </c>
      <c r="B62" s="14" t="inlineStr">
        <is>
          <t>Carried at low with moving-out: CO 2026-07-20 reports a new lease at 111 W 33rd St. Over 500.</t>
        </is>
      </c>
    </row>
    <row r="63">
      <c r="A63" s="14" t="inlineStr">
        <is>
          <t>K Health</t>
        </is>
      </c>
      <c r="B63" s="14" t="inlineStr">
        <is>
          <t>387 Park Ave S, 9th floor: its own terms of use (opened 2026-10-24) agree with the Connect CRE renewal; Built In's 298 Fifth Ave is stale. Raised to high.</t>
        </is>
      </c>
    </row>
    <row r="64">
      <c r="A64" s="14" t="inlineStr">
        <is>
          <t>Ziff Davis</t>
        </is>
      </c>
      <c r="B64" s="14" t="inlineStr">
        <is>
          <t>360 Park Ave S: its own site's structured data (opened 2026-10-24) agrees with CO 2025-05-20; Built In's 114 Fifth Ave is stale. Over 500.</t>
        </is>
      </c>
    </row>
    <row r="65">
      <c r="A65" s="14" t="inlineStr">
        <is>
          <t>Superhuman / Grammarly</t>
        </is>
      </c>
      <c r="B65" s="14" t="inlineStr">
        <is>
          <t>One company: merged at 360 Park Ave S (CO 2025-09-02 and 2026-01-22). Built In's 450 Park Ave S is the WeWork building. Over 500.</t>
        </is>
      </c>
    </row>
    <row r="66">
      <c r="A66" s="14" t="inlineStr">
        <is>
          <t>The Hudson Companies / Broadway Builders</t>
        </is>
      </c>
      <c r="B66" s="14" t="inlineStr">
        <is>
          <t>Affiliates on one shared floor at 902 Broadway: merged, signed-not-occupied (both sites still list 826 Broadway).</t>
        </is>
      </c>
    </row>
    <row r="67">
      <c r="A67" s="14" t="inlineStr">
        <is>
          <t>Pilot Fiber</t>
        </is>
      </c>
      <c r="B67" s="14" t="inlineStr">
        <is>
          <t>Floor 12 of 1115 Broadway is inside Select Office Suites' floors 9 to 12 (operator page, opened 2026-10-24): excluded until confirmed.</t>
        </is>
      </c>
    </row>
    <row r="68">
      <c r="A68" s="14" t="inlineStr">
        <is>
          <t>Deerfield Management</t>
        </is>
      </c>
      <c r="B68" s="14" t="inlineStr">
        <is>
          <t>Listed on Cure's residents page (opened 2026-10-24): excluded as a coworking member; approach Cure as the one office.</t>
        </is>
      </c>
    </row>
    <row r="69">
      <c r="A69" s="14" t="inlineStr">
        <is>
          <t>Hex Technologies</t>
        </is>
      </c>
      <c r="B69" s="14" t="inlineStr">
        <is>
          <t>Lease at 250 Park Ave S floor 7; Built In still lists 44 W 18th St (also inside): signed-not-occupied.</t>
        </is>
      </c>
    </row>
    <row r="70">
      <c r="A70" s="14" t="inlineStr">
        <is>
          <t>U.S. News</t>
        </is>
      </c>
      <c r="B70" s="14" t="inlineStr">
        <is>
          <t>Carried: CO lists it at 120 Fifth while another CO item reports a move to 31 Penn Plaza. Over 500.</t>
        </is>
      </c>
    </row>
    <row r="71">
      <c r="A71" s="14" t="inlineStr">
        <is>
          <t>Pumpkin Pet Insurance</t>
        </is>
      </c>
      <c r="B71" s="14" t="inlineStr">
        <is>
          <t>Lowered to low at review round 1: its own homepage gives offices and a mailing address at 666 Third Ave, Floor 23 (outside the boundary), while CO 2026-06-08 and Built In list it at 432 Park Ave S. Check the 432 PAS lobby directory on the walk.</t>
        </is>
      </c>
    </row>
    <row r="72">
      <c r="A72" s="14" t="inlineStr">
        <is>
          <t>Synthesia</t>
        </is>
      </c>
      <c r="B72" s="14" t="inlineStr">
        <is>
          <t>Row stays at 675 Sixth Ave (signed, move date unclear). Today it sits at 245 Fifth Ave, inside the boundary, on a direct 13,600 sf lease (CO 2025-08-14). Built In's 111 E 14th St is its pre-2023 address. Review round 2: Revelio Labs counts about 774 people worldwide, so it is on Near-miss with nyc_office_may_fit = Y.</t>
        </is>
      </c>
    </row>
    <row r="73">
      <c r="A73" s="14" t="inlineStr">
        <is>
          <t>Over 500 on a second count (review round 2)</t>
        </is>
      </c>
      <c r="B73" s="14" t="inlineStr">
        <is>
          <t>Mercury, Harvey, Sigma Computing, Synthesia, Clay, Sierra, Seedtag, Valon, GameChanger and Nourish: each band rested on one Built In figure; a Revelio Labs page (as of March 2026) counts 529 to 4,082 people. They moved to Near-miss, with the Revelio count in company_wide_count_cited and the Built In count kept as the second source. Rockwell Group stays a candidate with band unknown: its own page says '350-person firm' and Revelio counts about 542.</t>
        </is>
      </c>
    </row>
    <row r="74">
      <c r="A74" s="14" t="inlineStr">
        <is>
          <t>841-853 Broadway</t>
        </is>
      </c>
      <c r="B74" s="14" t="inlineStr">
        <is>
          <t>One tax lot (block 565, the same block as Whole Foods Union Square, west side of Broadway): one building row with both entrances to check.</t>
        </is>
      </c>
    </row>
    <row r="76">
      <c r="A76" s="5" t="inlineStr">
        <is>
          <t>Coworking sites added at assembly</t>
        </is>
      </c>
    </row>
    <row r="77">
      <c r="A77" s="14" t="inlineStr">
        <is>
          <t>Cure, 345 Park Ave S</t>
        </is>
      </c>
      <c r="B77" s="14" t="inlineStr">
        <is>
          <t>wewillcure.com residents and residency pages (opened 2026-10-24): hot desks, offices, labs, a cafe; operated by Cure Experience Services, LLC; Deerfield is a resident and investor. High.</t>
        </is>
      </c>
    </row>
    <row r="78">
      <c r="A78" s="14" t="inlineStr">
        <is>
          <t>WeWork, 27 E 28th St</t>
        </is>
      </c>
      <c r="B78" s="14" t="inlineStr">
        <is>
          <t>LiquidSpace says 'Confirmed Open' (opened 2026-10-24) but the site is not on WeWork's NYC index (opened 2026-10-24) and the building was marketed for condos (CO 2025-03-04): low, possibly-closed.</t>
        </is>
      </c>
    </row>
    <row r="79">
      <c r="A79" s="14" t="inlineStr">
        <is>
          <t>Hub Seventeen, 114 Fifth Ave</t>
        </is>
      </c>
      <c r="B79" s="14" t="inlineStr">
        <is>
          <t>Commercial Observer 2025-02-11 (re-opened 2026-10-24) names 'coworking space Hub Seventeen' as a tenant. No operator site found (hubseventeen.com is an unrelated organisation in Nigeria). Medium, unverified.</t>
        </is>
      </c>
    </row>
    <row r="80">
      <c r="A80" s="14" t="inlineStr">
        <is>
          <t>Already listed</t>
        </is>
      </c>
      <c r="B80" s="14" t="inlineStr">
        <is>
          <t>Industrious 386 Park Ave S, WeWork 245 Fifth Ave, The Malin 387 Park Ave S, Regus 41 Madison Ave and WeWork 450 Park Ave S were already in the places file and were kept.</t>
        </is>
      </c>
    </row>
    <row r="82">
      <c r="A82" s="5" t="inlineStr">
        <is>
          <t>Retailer tiers and the public map</t>
        </is>
      </c>
    </row>
    <row r="83">
      <c r="B83" s="14" t="inlineStr">
        <is>
          <t>Tier A: a documented natural, local or emerging set (store or chain page). Tier B: specialty, gourmet or natural format, emerging set not yet checked. Tier C: mass, conventional or private label, kept as a landmark. The public map shows tier A and B stores with high or medium confidence only, so it carries no store that may have closed (Eden Gourmet Union Square, Elm Wellness) and no clutter (Target, Trader Joe's, Morton Williams). Review round 1 also left off Wholesome Organic Market (licence name only) and Merci Market (deli format, like the Sunac delis), so 14 stores remain. Review round 2 moved Wegmans Astor Place from tier A to tier B (its page lists aisles, not an emerging set) and Kalustyan's from high to medium. The public files describe each store by its format in plain words (public_description), and the list gives the walking minutes from the cluster edge (walk_minutes_from_cluster_edge: blocks outside x 79.4 m / 73 m a minute). No row claims a store carries a named brand; brand-to-store evidence belongs in the Clay brand table (store_selector or brand_claim grades), and seen_on_shelf is the founder's alone.</t>
        </is>
      </c>
    </row>
    <row r="85">
      <c r="A85" s="5" t="inlineStr">
        <is>
          <t>Route method (Route tab)</t>
        </is>
      </c>
    </row>
    <row r="86">
      <c r="B86" s="14" t="inlineStr">
        <is>
          <t>Pool: candidates with high confidence, occupied, band sourced (single-source or confirmed by a second count) and a Buildings-tab building, leaving out food and drink brand offices (a pantry stocked with a rival's product invites a veto; review round 1). Constraints: at most two stops per building, at least three bands with one 76-150 office and at least three bands (no high-confidence, occupied 40-75 office with a sourced band remains after review round 2's second headcounts; the high-or-medium variant below keeps a 40-75 office), at least two security-desk stops. Search: every candidate as a seed, seeded with the stops the constraints need and filled with its nearest others, then best-improvement swaps, then 400 random two-swap kicks (iterated local search); the winner's order inside each lobby class solved exactly. Order rule: walk-up, unknown, loading dock, then security desk last. Leg = grid walking metres from sidewalk to sidewalk (to the corner and across, never mid-block) at 64 m/min plus 25 s per avenue crossing and 15 s per side-street crossing; crossing the avenue you walked up counts when the next stop is on its far side (review round 2); 3 min for a same-building transfer; 15 min per stop. route.csv uses the same rounded formulas as the tab. Car = 8 min overhead + metres x 1.3 / 9.7 mph.</t>
        </is>
      </c>
    </row>
    <row r="87">
      <c r="B87" s="14" t="inlineStr">
        <is>
          <t>Load (review round 2): 5 cases a load (plan.md: five offices are five to eight cases and two car rides; ten 50-unit drink cases weigh about 200 kg) and a 20-minute reload before the first stop of each new load, from a car or van at the kerb or the consolidation address if it is inside the cluster. Both are yellow parameters on the Route tab.</t>
        </is>
      </c>
    </row>
    <row r="88">
      <c r="B88" s="14" t="inlineStr">
        <is>
          <t>Result: 207 min (150 at stops + 37.3 walking over 1859 m + 20 reloading), finishing about 11:27, 27 min over. On one loop with no reload it takes 187 min (11:07). A car is faster on 0 legs (the longest leg is 9.3 min). Ten stops do not fit 8 to 11 am on one loop with drinks; light snacks may fit on one loop only if the roster is compact. Default: split ten offices across Tuesday and Wednesday (five a morning, one load each), or hand the second loop to a courier.</t>
        </is>
      </c>
    </row>
    <row r="89">
      <c r="B89" s="14" t="inlineStr">
        <is>
          <t>Other searches (same method, fewer or other constraints; a heuristic, not a proof of the best route): no security minimum: 207.3 min with reloads (187.3 on one loop), ends 11:27; no band rule: 207.3 min with reloads (187.3 on one loop), ends 11:27; high or medium: 194.9 min with reloads (174.9 on one loop), ends 11:14; high or medium no security minimum: 194.9 min with reloads (174.9 on one loop), ends 11:14.</t>
        </is>
      </c>
    </row>
    <row r="90">
      <c r="B90" s="14" t="inlineStr">
        <is>
          <t>8 am: none of the ten lobbies is a sourced walk-up, so the 08:00 handover at stop 1 is untested. The intake's receiving window decides the real order.</t>
        </is>
      </c>
    </row>
    <row r="92">
      <c r="A92" s="5" t="inlineStr">
        <is>
          <t>Walk method (Walk tab)</t>
        </is>
      </c>
    </row>
    <row r="93">
      <c r="B93" s="14" t="inlineStr">
        <is>
          <t>Every Buildings-tab building, every coworking site inside the boundary and every store, merged by address. Phase 1 (core) covers everything inside the line; phase 2 covers stores outside. Each phase is one open tour (nearest neighbour plus 2-opt on estimated minutes), cut into sessions of balanced length under 90 minutes. Walking at 73 m/min (MUTCD's 4 ft/s option) plus the same signal waits. Result: 10 sessions, 116 stops, about 782 minutes: 7 core sessions (544 min) and 3 store sessions (238 min). Do the core first, on Tuesday or Wednesday mornings between 8 and 11 am (two sessions a morning) so lobby observations match drop day; the store sessions can wait until a brand needs the shelf photos.</t>
        </is>
      </c>
    </row>
    <row r="95">
      <c r="A95" s="5" t="inlineStr">
        <is>
          <t>Spot checks (2026-10-24)</t>
        </is>
      </c>
    </row>
    <row r="96">
      <c r="A96" s="14" t="inlineStr">
        <is>
          <t>Ten company rows</t>
        </is>
      </c>
      <c r="B96" s="14" t="inlineStr">
        <is>
          <t>Chosen with random.seed(20261024) from candidates no slice had checked, then re-opened: Institute for Integrative Nutrition (245 Fifth, 7th floor), GTS (625 Sixth, 3rd floor), Delos Capital (120 Fifth), Empathy (56 W 22nd), Nourish (853 Broadway, 15th floor), Extend AI (119 Fifth, 6th floor), EnVogue International (230 Fifth), Fundraise Up (100-104 Fifth, 7th floor), Seedtag (15 W 27th, 3rd floor), Kharon (120 Fifth). 10 of 10 pass on address, and on floor where one is stated.</t>
        </is>
      </c>
    </row>
    <row r="97">
      <c r="A97" s="14" t="inlineStr">
        <is>
          <t>Ten pins (round 3)</t>
        </is>
      </c>
      <c r="B97" s="14" t="inlineStr">
        <is>
          <t>Chosen with random.seed(20261024) from the Buildings tab and checked on OpenStreetMap at zoom 19 against house numbers: 44 W 28th, 115 Fifth, 120 Fifth, 20 W 22nd, 5 Union Square W, 39 W 19th, 230 Fifth, 26 W 17th, 1165 Broadway, 101 Fifth. Passed as 'right block face' then, but 115 Fifth and 230 Fifth had their pin mid-lot; the stricter test below now moves both to the Fifth Ave frontage.</t>
        </is>
      </c>
    </row>
    <row r="98">
      <c r="A98" s="14" t="inlineStr">
        <is>
          <t>Independent review, round 1</t>
        </is>
      </c>
      <c r="B98" s="14" t="inlineStr">
        <is>
          <t>The reviewer re-opened ten more company rows (seed 424242): 10 of 10 pass. Ten more pins (seed 777): 8 of 10 failed the block-face test (50 W 23rd and 11 E 26th sat mid-lot), from one cause that touched six buildings, three of them on the route.</t>
        </is>
      </c>
    </row>
    <row r="99">
      <c r="A99" s="14" t="inlineStr">
        <is>
          <t>All pins, block-face test (review round 1)</t>
        </is>
      </c>
      <c r="B99" s="14" t="inlineStr">
        <is>
          <t>Every located row tested against NYC CSCL address ranges: the pin must be on the addressed side of the street and at least 15 m nearer the addressed street than the parallel one. Pins moved to the addressed frontage (lot position along the street kept): companies 22, near_miss 31, buildings 12, coworking 2, retailers 3; 3 store pins set to the store's own published coordinate. After the move every testable pin passes (the Flatiron Building's wedge lot is exempt: it fronts Fifth Ave and Broadway at once). Results per pin: _build/out/pin_qa.csv; the re-check pictures are in _build/out/qa/.</t>
        </is>
      </c>
    </row>
    <row r="100">
      <c r="A100" s="14" t="inlineStr">
        <is>
          <t>Independent review, round 2</t>
        </is>
      </c>
      <c r="B100" s="14" t="inlineStr">
        <is>
          <t>The reviewer re-opened ten more company rows and re-ran ten more pins (seed 20261026): all ten pins and all ten addresses pass; one band failed (Mercury: Built In 150 against about 1,279 on Revelio). The fix was not to that row alone: every banded candidate was tested against a second count (see Headcounts), and Mercury is now on Near-miss. The reviewer's 'HUMAN 371' Revelio match was a different company (Human Technologies, South Carolina), so HUMAN Security stays single-source.</t>
        </is>
      </c>
    </row>
    <row r="101">
      <c r="A101" s="14" t="inlineStr">
        <is>
          <t>Corner pins (review round 2)</t>
        </is>
      </c>
      <c r="B101" s="14" t="inlineStr">
        <is>
          <t>200 pins on avenue addresses (companies 76, near_miss 56, buildings 37, coworking 20, retailers 11) sat nearer the cross street than the avenue (a corner lot's centroid). They moved to the avenue frontage near the corner, at least 26 m from the cross street's centreline, and every moved pin still passes the block-face test. Each corner building carries an entrance_note on the map and the Walk checklist.</t>
        </is>
      </c>
    </row>
    <row r="102">
      <c r="A102" s="14" t="inlineStr">
        <is>
          <t>Earlier slice checks</t>
        </is>
      </c>
      <c r="B102" s="14" t="inlineStr">
        <is>
          <t>Each research slice re-opened five or six rows (21 in all); none failed.</t>
        </is>
      </c>
    </row>
    <row r="104">
      <c r="A104" s="5" t="inlineStr">
        <is>
          <t>Map and grid data</t>
        </is>
      </c>
    </row>
    <row r="105">
      <c r="A105" s="14" t="inlineStr">
        <is>
          <t>Street grid</t>
        </is>
      </c>
      <c r="B105" s="14" t="inlineStr">
        <is>
          <t>NYC Street Centerline (CSCL), data.cityofnewyork.us dataset inkn-q76z, data updated 2026-10-17, fetched 2026-10-24. The grid model (rotation 29.4 degrees, 79.4 m per street, mean residual 0.07 of a block over 285 intersections) converts pins to street and crosstown positions.</t>
        </is>
      </c>
    </row>
    <row r="106">
      <c r="A106" s="14" t="inlineStr">
        <is>
          <t>Tax lots</t>
        </is>
      </c>
      <c r="B106" s="14" t="inlineStr">
        <is>
          <t>NYC PLUTO 26v2, dataset 64uk-42ks (updated 2026-08-24): floors, year built, building class, ZIP, lot centroid.</t>
        </is>
      </c>
    </row>
    <row r="107">
      <c r="A107" s="14" t="inlineStr">
        <is>
          <t>Parks</t>
        </is>
      </c>
      <c r="B107" s="14" t="inlineStr">
        <is>
          <t>NYC Parks Properties, dataset enfh-gkve (updated 2026-10-16), for the public map.</t>
        </is>
      </c>
    </row>
    <row r="108">
      <c r="A108" s="14" t="inlineStr">
        <is>
          <t>Subway</t>
        </is>
      </c>
      <c r="B108" s="14" t="inlineStr">
        <is>
          <t>MTA Subway Stations, data.ny.gov 39hk-dx4f (updated 2026-10-23), for walk session start and end points.</t>
        </is>
      </c>
    </row>
    <row r="109">
      <c r="A109" s="14" t="inlineStr">
        <is>
          <t>Basemap</t>
        </is>
      </c>
      <c r="B109" s="14" t="inlineStr">
        <is>
          <t>OpenStreetMap tiles in map-private.html, (c) OpenStreetMap contributors. The public map draws its own streets from CSCL.</t>
        </is>
      </c>
    </row>
    <row r="110">
      <c r="A110" s="14" t="inlineStr">
        <is>
          <t>Built In HQ pages</t>
        </is>
      </c>
      <c r="B110" s="14" t="inlineStr">
        <is>
          <t>builtinnyc.com/company/&lt;slug&gt;/offices for 143 companies, opened 2026-10-24 with curl, one a second; HQ city, office count and Total Employees saved in _work/builtin_hq_2026-10-24.csv.</t>
        </is>
      </c>
    </row>
    <row r="111">
      <c r="A111" s="14" t="inlineStr">
        <is>
          <t>SEC EDGAR</t>
        </is>
      </c>
      <c r="B111" s="14" t="inlineStr">
        <is>
          <t>Some rows cite sec.gov filings opened during research. One research slice sent the account owner's email in a request header to reach them, which broke the project's privacy rule (README, 'What is not done'; the drafted REPORT.md, 'Rule breaches'). This build never calls sec.gov, and the agent will not re-open those pages; the founder may open them in a browser.</t>
        </is>
      </c>
    </row>
    <row r="112">
      <c r="A112" s="14" t="inlineStr">
        <is>
          <t>Pace and speed</t>
        </is>
      </c>
      <c r="B112" s="14" t="inlineStr">
        <is>
          <t>MUTCD 2009 section 4E.06 (3.5 ft/s design walking speed; up to 4 ft/s option), https://mutcd.fhwa.dot.gov/htm/2009/part4/part4e.htm. NBER Digest 2025-06-01: CBD speeds rose from 8.2 to 9.7 mph after congestion pricing, https://www.nber.org/digest/202506/impact-new-york-citys-congestion-pricing-program.</t>
        </is>
      </c>
    </row>
    <row r="114">
      <c r="A114" s="5" t="inlineStr">
        <is>
          <t>Headcounts: a second count (review round 2)</t>
        </is>
      </c>
    </row>
    <row r="115">
      <c r="A115" s="14" t="inlineStr">
        <is>
          <t>Why</t>
        </is>
      </c>
      <c r="B115" s="14" t="inlineStr">
        <is>
          <t>Built In's 'Total Employees' is undated and carried 71 of the 77 sourced bands. The reviewer found a second public count in a different band for 14 of 30 rows, so every banded candidate was tested.</t>
        </is>
      </c>
    </row>
    <row r="116">
      <c r="A116" s="14" t="inlineStr">
        <is>
          <t>Second source</t>
        </is>
      </c>
      <c r="B116" s="14" t="inlineStr">
        <is>
          <t>Revelio Labs public pages (reveliolabs.com/companies/&lt;slug&gt;/employees; slugs from its sitemap), opened 2026-10-24, each stating 'approximately N total employees worldwide as of March 2026' and published 2026-08-31. A page counts only when its legal name and description match the company; look-alikes were rejected (Human Technologies for HUMAN Security, a French car maker for Alpine Investors, a London fintech for Clay, a Saudi firm for Order.co, Candid (a chocolate brand) for Candid Health, and others). Two own pages also gave counts (Candid Health 2025: '130+ employees'; Orbital: '150+ employees'). Raw extracts: _work/headcount_second_2026-10-24.csv. These are third-party estimates of the whole company.</t>
        </is>
      </c>
    </row>
    <row r="117">
      <c r="A117" s="14" t="inlineStr">
        <is>
          <t>Rule</t>
        </is>
      </c>
      <c r="B117" s="14" t="inlineStr">
        <is>
          <t>Same band: kept (headcount_check = agree). Second count over 500 against a third-party first count: the band becomes over-500 and the row moves to Near-miss, with the Built In count kept as the second source. Any other disagreement, or a third-party count against the company's own figure: band unknown, both counts in the row and the reason in headcount_unknown_reason. No second count found: single-source. A band is whole-company and single-source unless headcount_check = agree.</t>
        </is>
      </c>
    </row>
    <row r="118">
      <c r="A118" s="14" t="inlineStr">
        <is>
          <t>Result</t>
        </is>
      </c>
      <c r="B118" s="14" t="inlineStr">
        <is>
          <t>Candidates: agree 21; disagree 22; no-count 95; scope-differs 1; single-source 23. Moved to Near-miss: Clay, GameChanger, Harvey, Mercury, Nourish, Seedtag, Sierra, Sigma Computing, Synthesia, Valon. 44 candidates still carry a band; 12 of them are based outside New York and 2 have an unknown HQ.</t>
        </is>
      </c>
    </row>
    <row r="120">
      <c r="A120" s="5" t="inlineStr">
        <is>
          <t>Assumptions (numbered; the drafted REPORT.md carries the same list)</t>
        </is>
      </c>
    </row>
    <row r="121">
      <c r="A121" s="14" t="inlineStr">
        <is>
          <t>A1</t>
        </is>
      </c>
      <c r="B121" s="14" t="inlineStr">
        <is>
          <t>The cluster is the boundary drawn here: 14th to 30th St, Sixth Ave to Park Ave S, both frontages of each edge, plus the Union Square frame (University Pl to Third Ave, 13th to 15th St).</t>
        </is>
      </c>
    </row>
    <row r="122">
      <c r="A122" s="14" t="inlineStr">
        <is>
          <t>A2</t>
        </is>
      </c>
      <c r="B122" s="14" t="inlineStr">
        <is>
          <t>'Ten blocks' means ten street-block lengths of grid walking (794 m, about 11 minutes) from the nearest boundary edge.</t>
        </is>
      </c>
    </row>
    <row r="123">
      <c r="A123" s="14" t="inlineStr">
        <is>
          <t>A3</t>
        </is>
      </c>
      <c r="B123" s="14" t="inlineStr">
        <is>
          <t>Headcount bands are whole-company unless a source counts the New York office; a band is single-source unless headcount_check = agree. No onsite or Tuesday counts are made; intake replaces them.</t>
        </is>
      </c>
    </row>
    <row r="124">
      <c r="A124" s="14" t="inlineStr">
        <is>
          <t>A4</t>
        </is>
      </c>
      <c r="B124" s="14" t="inlineStr">
        <is>
          <t>Revelio Labs public pages are a fair second count to test Built In's undated figure. They are third-party estimates: a disagreement makes the band unknown rather than replacing it, except that a second count over 500 sends a row to Near-miss for a founder look.</t>
        </is>
      </c>
    </row>
    <row r="125">
      <c r="A125" s="14" t="inlineStr">
        <is>
          <t>A5</t>
        </is>
      </c>
      <c r="B125" s="14" t="inlineStr">
        <is>
          <t>An undated third-party profile (Built In, Deskpass, LiquidSpace) can only confirm a dated or own-site source; alone it gives low confidence.</t>
        </is>
      </c>
    </row>
    <row r="126">
      <c r="A126" s="14" t="inlineStr">
        <is>
          <t>A6</t>
        </is>
      </c>
      <c r="B126" s="14" t="inlineStr">
        <is>
          <t>A company's own live page (contact, terms, privacy, structured data) opened 2026-10-23/24 counts as a current source.</t>
        </is>
      </c>
    </row>
    <row r="127">
      <c r="A127" s="14" t="inlineStr">
        <is>
          <t>A7</t>
        </is>
      </c>
      <c r="B127" s="14" t="inlineStr">
        <is>
          <t>Route model: hand-truck pace 64 m/min (MUTCD 3.5 ft/s), 25 s per avenue crossing and 15 s per side-street crossing (assumptions to time on the walk), 15 minutes per stop (plan.md), 5 cases a load and a 20-minute reload (assumptions; plan.md budgets two car rides for five offices).</t>
        </is>
      </c>
    </row>
    <row r="128">
      <c r="A128" s="14" t="inlineStr">
        <is>
          <t>A8</t>
        </is>
      </c>
      <c r="B128" s="14" t="inlineStr">
        <is>
          <t>Car = 8 minutes of overhead plus distance x 1.3 at 9.7 mph (NBER Digest 2025-06-01); no leg is long enough for a car to win.</t>
        </is>
      </c>
    </row>
    <row r="129">
      <c r="A129" s="14" t="inlineStr">
        <is>
          <t>A9</t>
        </is>
      </c>
      <c r="B129" s="14" t="inlineStr">
        <is>
          <t>Walk plan: 73 m/min (MUTCD 4 ft/s option) plus the same signal waits, and the dwell rule on this tab; sessions of 90 minutes or less, each starting and ending near a named subway station.</t>
        </is>
      </c>
    </row>
    <row r="130">
      <c r="A130" s="14" t="inlineStr">
        <is>
          <t>A10</t>
        </is>
      </c>
      <c r="B130" s="14" t="inlineStr">
        <is>
          <t>Trader Joe's is treated as mostly private label (tier C, a landmark, not a buy path). Not sourced; confirm on the walk.</t>
        </is>
      </c>
    </row>
    <row r="131">
      <c r="A131" s="14" t="inlineStr">
        <is>
          <t>A11</t>
        </is>
      </c>
      <c r="B131" s="14" t="inlineStr">
        <is>
          <t>Corner buildings may take deliveries on the side street; the pin marks the addressed avenue and the entrance note says to check.</t>
        </is>
      </c>
    </row>
    <row r="132">
      <c r="A132" s="14" t="inlineStr">
        <is>
          <t>A12</t>
        </is>
      </c>
      <c r="B132" s="14" t="inlineStr">
        <is>
          <t>Food and drink brand offices are left off the model route (a rival's product in the pantry invites a veto); they stay candidates.</t>
        </is>
      </c>
    </row>
    <row r="133">
      <c r="A133" s="14" t="inlineStr">
        <is>
          <t>A13</t>
        </is>
      </c>
      <c r="B133" s="14" t="inlineStr">
        <is>
          <t>LinkedIn, Crunchbase and SEC EDGAR were not opened by this build; rows that cite EDGAR say so, and the founder may open those links in a browser.</t>
        </is>
      </c>
    </row>
    <row r="135">
      <c r="A135" s="5" t="inlineStr">
        <is>
          <t>Questions for the founder (each with a recommended default)</t>
        </is>
      </c>
    </row>
    <row r="136">
      <c r="A136" s="14" t="inlineStr">
        <is>
          <t>Q1</t>
        </is>
      </c>
      <c r="B136" s="14" t="inlineStr">
        <is>
          <t>Ten offices on one Tuesday morning do not fit with drinks on one hand-truck loop. How should a ten-office drop run? Default: split ten offices across Tuesday and Wednesday, five a morning (one load each); use a courier for the second loop only if a brand needs one day.</t>
        </is>
      </c>
    </row>
    <row r="137">
      <c r="A137" s="14" t="inlineStr">
        <is>
          <t>Q2</t>
        </is>
      </c>
      <c r="B137" s="14" t="inlineStr">
        <is>
          <t>Keep the outer stores (8 to 11 minutes' walk outside the line) on the public map, or show only stores within five minutes? Default: keep them: they are real buy paths and the list shows each one's walking minutes; drop any a brand does not stock from that brand's own map.</t>
        </is>
      </c>
    </row>
    <row r="138">
      <c r="A138" s="14" t="inlineStr">
        <is>
          <t>Q3</t>
        </is>
      </c>
      <c r="B138" s="14" t="inlineStr">
        <is>
          <t>Trader Joe's (tier C) is off the public map. Show it as a landmark? Default: no: the map is about where a brand can be bought, and Trader Joe's is mostly private label.</t>
        </is>
      </c>
    </row>
    <row r="139">
      <c r="A139" s="14" t="inlineStr">
        <is>
          <t>Q4</t>
        </is>
      </c>
      <c r="B139" s="14" t="inlineStr">
        <is>
          <t>Ten firms moved to Near-miss because a second count puts them over 500 (Mercury, Harvey, Sigma Computing, Synthesia, Clay, Sierra, Seedtag, Valon, GameChanger, Nourish). Approach any of them anyway? Default: yes for the six flagged nyc_office_may_fit = Y (small NYC office against an HQ elsewhere): ask for the Tuesday count first; no for the others until founding offices are signed.</t>
        </is>
      </c>
    </row>
    <row r="140">
      <c r="A140" s="14" t="inlineStr">
        <is>
          <t>Q5</t>
        </is>
      </c>
      <c r="B140" s="14" t="inlineStr">
        <is>
          <t>Normal Computing's NYC office is about 30 people (the brief's 30 to 39 founder's call). Keep it as a candidate? Default: keep it, below the 40-plus offices in priority.</t>
        </is>
      </c>
    </row>
    <row r="141">
      <c r="A141" s="14" t="inlineStr">
        <is>
          <t>Q6</t>
        </is>
      </c>
      <c r="B141" s="14" t="inlineStr">
        <is>
          <t>May A use the Revelio counts for its onsite estimates? Default: only as a cross-check: A labels any onsite figure an estimate until intake, and treats unknown bands as unknown.</t>
        </is>
      </c>
    </row>
    <row r="143">
      <c r="A143" s="5" t="inlineStr">
        <is>
          <t>Changelog</t>
        </is>
      </c>
    </row>
    <row r="144">
      <c r="A144" s="14" t="inlineStr">
        <is>
          <t>Round 1 (draft)</t>
        </is>
      </c>
      <c r="B144" s="14" t="inlineStr">
        <is>
          <t>Merged the four slice files and the places file into one table per tab; resolved Kaltura, Adyen, WW International, 32BJ, Instacart, K Health, Ziff Davis and Superhuman/Grammarly with sources opened 2026-10-24; added Cure, WeWork 27 E 28th St and Hub Seventeen (the other five named sites were already listed); cross-checked every company floor against coworking floors; drew the boundary on the street grid; first route, walk, maps and workbook.</t>
        </is>
      </c>
    </row>
    <row r="145">
      <c r="A145" s="14" t="inlineStr">
        <is>
          <t>Round 2 (critique as broker, courier and brand founder)</t>
        </is>
      </c>
      <c r="B145" s="14" t="inlineStr">
        <is>
          <t>Broker: seven firms sourced as over 500 company-wide from Wikipedia (Palantir, Kohler, Lockton, Jump Trading, IMG, ZGF, Grimshaw) moved to Near-miss; Selldorf lowered to medium (one broker release); Pilot Fiber and Deerfield flagged as inside coworking; a lease status on every row. Courier: route search rebuilt (corner crossings, 3-minute same-building transfer, best-improvement search from every seed), the honest result recorded (3h03m, three minutes over), load and 8 am checks, a receiving-window column and a printable route sheet. Brand founder: the public map cut to 16 stores (tier A and B, no niche or deli formats, nothing that may have closed), the legend reworded to make no emerging-set claim, and candidates within five blocks shown per store. Union Square frame widened to 15th St so the Target block counts as inside.</t>
        </is>
      </c>
    </row>
    <row r="146">
      <c r="A146" s="14" t="inlineStr">
        <is>
          <t>Round 3 (spot checks and polish)</t>
        </is>
      </c>
      <c r="B146" s="14" t="inlineStr">
        <is>
          <t>Ten unchecked company rows re-opened (10 of 10 pass, floors included) and ten building pins checked on OpenStreetMap at street zoom (10 of 10 on the right block face); an automated parity check of all pins moved five to their addressed block face; stable ID registry so a rebuild never renumbers rows; coworking_id set only for members; KML and GeoJSON validated and the public files scanned for company names (none); README and HANDOFF written (REPORT.md was not: the review caught it).</t>
        </is>
      </c>
    </row>
    <row r="147">
      <c r="A147" s="14" t="inlineStr">
        <is>
          <t>Round 4 (independent review, round 1)</t>
        </is>
      </c>
      <c r="B147" s="14" t="inlineStr">
        <is>
          <t>Fixed every blocker and major in _review/round-1.md. REPORT.md drafted with the SEC EDGAR privacy breach disclosed, but not saved in the folder: the harness refused the subagent's write and the text went to the orchestrator (the README carries the breach account). Route legs now run sidewalk to sidewalk (the lot-centroid offsets were double-counted inside the 15-minute stop). A CSCL block-face test on every pin moved the pins that sat mid-lot or nearer the parallel street to their addressed frontage, and published store coordinates replaced three Whole Foods geocodes. Undated Built In, Deskpass and LiquidSpace profiles can no longer carry a high: four rows re-confirmed on the company's own page or dated press, three lowered to medium, Pumpkin lowered to low (its own site gives 666 Third Ave), Le Parc to low. hq_city and hq_in_nyc added from each Built In page; Normal Computing set to under-40 (NYC office) from its own lease article. Size guesses and the business name removed from notes, with a build check. Popups scroll at 390 px; numbered markers fan out; tier C stores are hollow. Brand landscape map mode for D. Near-miss rows tagged by size class. Coworking dates and second sources fixed. Boundary ring counter-clockwise. Route re-searched with a 40-75 and a 76-150 office and no food or drink brand.</t>
        </is>
      </c>
    </row>
    <row r="148">
      <c r="A148" s="14" t="inlineStr">
        <is>
          <t>Round 5 (independent review, round 2)</t>
        </is>
      </c>
      <c r="B148" s="14" t="inlineStr">
        <is>
          <t>Fixed every blocker and major in _review/round-2.md. A second, independent headcount (Revelio Labs public pages, matched on legal name and description, or the company's own page) for 54 of the 77 banded candidates: 21 agree, 21 disagree (band set to unknown with both counts), 11 are over 500 (10 moved to Near-miss, among them Mercury, Harvey, Sigma Computing and Synthesia; Rockwell Group's own '350-person' figure makes its band unknown instead), and one compares an NYC count with a whole-company count. Medium now needs a dated or own-site source under 24 months: 17 rows whose only fresh source was an undated profile went to low. Ten size guesses rewritten and the build check widened. HQ filled from own pages, row sources or Revelio where Built In is silent; parent_company added. Route: two avenue-crossing and rounding fixes, plus a load model (5 cases a load, 20-minute reload): ten stops do not fit one 8 to 11 am loop with drinks. Corner-lot pins moved to the addressed avenue with an entrance note. Kalustyan's to medium, Wegmans to tier B, Trader Joe's note fixed. Every column on every tab now has a definition. REPORT.md again refused by the harness: its text, assumptions and founder questions are on this tab and in the orchestrator's hands.</t>
        </is>
      </c>
    </row>
    <row r="150">
      <c r="A150" s="5" t="inlineStr">
        <is>
          <t>Column definitions</t>
        </is>
      </c>
    </row>
    <row r="151">
      <c r="A151" s="15" t="inlineStr">
        <is>
          <t>Companies</t>
        </is>
      </c>
    </row>
    <row r="152">
      <c r="A152" t="inlineStr">
        <is>
          <t>company_id</t>
        </is>
      </c>
      <c r="B152" s="14" t="inlineStr">
        <is>
          <t>Stable ID, B-C-### (CONTRACTS 6.1). Shared numbering with Near-miss.</t>
        </is>
      </c>
    </row>
    <row r="153">
      <c r="A153" t="inlineStr">
        <is>
          <t>company_name</t>
        </is>
      </c>
      <c r="B153" s="14" t="inlineStr">
        <is>
          <t>Company name as the source gives it; a merged row names both entities.</t>
        </is>
      </c>
    </row>
    <row r="154">
      <c r="A154" t="inlineStr">
        <is>
          <t>website</t>
        </is>
      </c>
      <c r="B154" s="14" t="inlineStr">
        <is>
          <t>Company website, only if it was opened and matched the company; 'unknown' if unverified (never blank).</t>
        </is>
      </c>
    </row>
    <row r="155">
      <c r="A155" t="inlineStr">
        <is>
          <t>industry</t>
        </is>
      </c>
      <c r="B155" s="14" t="inlineStr">
        <is>
          <t>Short industry label from the research slice.</t>
        </is>
      </c>
    </row>
    <row r="156">
      <c r="A156" t="inlineStr">
        <is>
          <t>building_id</t>
        </is>
      </c>
      <c r="B156" s="14" t="inlineStr">
        <is>
          <t>B-B-### of the building row in the Buildings tab; blank if the building is not in that tab (near-miss rows outside the line).</t>
        </is>
      </c>
    </row>
    <row r="157">
      <c r="A157" t="inlineStr">
        <is>
          <t>street_address</t>
        </is>
      </c>
      <c r="B157" s="14" t="inlineStr">
        <is>
          <t>Business street address as the source gives it.</t>
        </is>
      </c>
    </row>
    <row r="158">
      <c r="A158" t="inlineStr">
        <is>
          <t>floor</t>
        </is>
      </c>
      <c r="B158" s="14" t="inlineStr">
        <is>
          <t>Floor or suite as sourced; 'unknown' when no source names it (never blank).</t>
        </is>
      </c>
    </row>
    <row r="159">
      <c r="A159" t="inlineStr">
        <is>
          <t>zip</t>
        </is>
      </c>
      <c r="B159" s="14" t="inlineStr">
        <is>
          <t>ZIP code from a source for the building, else from NYC PLUTO (2026 v2) for the tax lot.</t>
        </is>
      </c>
    </row>
    <row r="160">
      <c r="A160" t="inlineStr">
        <is>
          <t>lat</t>
        </is>
      </c>
      <c r="B160" s="14" t="inlineStr">
        <is>
          <t>Latitude, WGS84 decimal degrees. From the project geocoder (_shared/geocode.py: NYC Planning GeoSearch, the city's own address database). A pin that landed on the far side of its tax lot was moved to the addressed block face; that row's notes say so.</t>
        </is>
      </c>
    </row>
    <row r="161">
      <c r="A161" t="inlineStr">
        <is>
          <t>lon</t>
        </is>
      </c>
      <c r="B161" s="14" t="inlineStr">
        <is>
          <t>Longitude, WGS84 decimal degrees. Same source as lat.</t>
        </is>
      </c>
    </row>
    <row r="162">
      <c r="A162" t="inlineStr">
        <is>
          <t>in_boundary</t>
        </is>
      </c>
      <c r="B162" s="14" t="inlineStr">
        <is>
          <t>Y if the pin is inside boundary.geojson, else N (computed, not judged).</t>
        </is>
      </c>
    </row>
    <row r="163">
      <c r="A163" t="inlineStr">
        <is>
          <t>headcount_band</t>
        </is>
      </c>
      <c r="B163"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164">
      <c r="A164" t="inlineStr">
        <is>
          <t>headcount_scope</t>
        </is>
      </c>
      <c r="B164" s="14" t="inlineStr">
        <is>
          <t>whole-company (the count covers the whole firm), nyc-office (the source counts the New York office), or unknown.</t>
        </is>
      </c>
    </row>
    <row r="165">
      <c r="A165" t="inlineStr">
        <is>
          <t>headcount_source_url</t>
        </is>
      </c>
      <c r="B165" s="14" t="inlineStr">
        <is>
          <t>Where the count came from.</t>
        </is>
      </c>
    </row>
    <row r="166">
      <c r="A166" t="inlineStr">
        <is>
          <t>address_source_url</t>
        </is>
      </c>
      <c r="B166" s="14" t="inlineStr">
        <is>
          <t>Source that places the company at the address.</t>
        </is>
      </c>
    </row>
    <row r="167">
      <c r="A167" t="inlineStr">
        <is>
          <t>address_source_date</t>
        </is>
      </c>
      <c r="B167" s="14" t="inlineStr">
        <is>
          <t>Date of that source (publication date, or the date a live page was opened).</t>
        </is>
      </c>
    </row>
    <row r="168">
      <c r="A168" t="inlineStr">
        <is>
          <t>second_source_url</t>
        </is>
      </c>
      <c r="B168" s="14" t="inlineStr">
        <is>
          <t>Independent confirmation, if any.</t>
        </is>
      </c>
    </row>
    <row r="169">
      <c r="A169" t="inlineStr">
        <is>
          <t>confidence</t>
        </is>
      </c>
      <c r="B169"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170">
      <c r="A170" t="inlineStr">
        <is>
          <t>in_coworking</t>
        </is>
      </c>
      <c r="B170" s="14" t="inlineStr">
        <is>
          <t>Y if the company is inside a coworking or serviced-office space (listed as a resident, or on a floor the operator holds), else N. Y rows are excluded as offices.</t>
        </is>
      </c>
    </row>
    <row r="171">
      <c r="A171" t="inlineStr">
        <is>
          <t>coworking_id</t>
        </is>
      </c>
      <c r="B171" s="14" t="inlineStr">
        <is>
          <t>B-W-### of the coworking site the company is inside (only when in_coworking = Y). For a company that merely shares a building with a coworking site, see coworking_check and the building's coworking_ids.</t>
        </is>
      </c>
    </row>
    <row r="172">
      <c r="A172" t="inlineStr">
        <is>
          <t>linkedin_company_url</t>
        </is>
      </c>
      <c r="B172" s="14" t="inlineStr">
        <is>
          <t>Blank on every row: LinkedIn was not opened (blocked and off-limits). Founder or workstream A to fill.</t>
        </is>
      </c>
    </row>
    <row r="173">
      <c r="A173" t="inlineStr">
        <is>
          <t>notes</t>
        </is>
      </c>
      <c r="B173" s="14" t="inlineStr">
        <is>
          <t>Free text from research, then any assembly change after ' | Assembly 2026-10-24:'. Each fact names its source.</t>
        </is>
      </c>
    </row>
    <row r="174">
      <c r="A174" t="inlineStr">
        <is>
          <t>found_date</t>
        </is>
      </c>
      <c r="B174" s="14" t="inlineStr">
        <is>
          <t>Date the row was first found (YYYY-MM-DD).</t>
        </is>
      </c>
    </row>
    <row r="175">
      <c r="A175" t="inlineStr">
        <is>
          <t>hq_city</t>
        </is>
      </c>
      <c r="B175" s="14" t="inlineStr">
        <is>
          <t>Where the company is based: the HQ city on its Built In offices page (opened 2026-10-24); where Built In is silent (review round 2), from the row's own sources, the company's page or the Revelio Labs page. 'unknown' when none says.</t>
        </is>
      </c>
    </row>
    <row r="176">
      <c r="A176" t="inlineStr">
        <is>
          <t>hq_in_nyc</t>
        </is>
      </c>
      <c r="B176" s="14" t="inlineStr">
        <is>
          <t>Y if hq_city is New York, N if elsewhere, unknown. A whole-company band for an N row can be far larger than the New York office.</t>
        </is>
      </c>
    </row>
    <row r="177">
      <c r="A177" t="inlineStr">
        <is>
          <t>hq_source_url</t>
        </is>
      </c>
      <c r="B177" s="14" t="inlineStr">
        <is>
          <t>Page that gives hq_city ('row notes' when the row's own research notes state it).</t>
        </is>
      </c>
    </row>
    <row r="178">
      <c r="A178" t="inlineStr">
        <is>
          <t>headcount_count</t>
        </is>
      </c>
      <c r="B178" s="14" t="inlineStr">
        <is>
          <t>The count the band rests on, as the source prints it (blank when the band is unknown and no count was cited).</t>
        </is>
      </c>
    </row>
    <row r="179">
      <c r="A179" t="inlineStr">
        <is>
          <t>headcount_check</t>
        </is>
      </c>
      <c r="B179"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180">
      <c r="A180" t="inlineStr">
        <is>
          <t>headcount_second_count</t>
        </is>
      </c>
      <c r="B180" s="14" t="inlineStr">
        <is>
          <t>The second count (a trailing + means 'at least'). For over-500-second-source rows the roles swap: the Revelio count is headcount_count and the older first count is here.</t>
        </is>
      </c>
    </row>
    <row r="181">
      <c r="A181" t="inlineStr">
        <is>
          <t>headcount_second_source_url</t>
        </is>
      </c>
      <c r="B181" s="14" t="inlineStr">
        <is>
          <t>Source of headcount_second_count: a Revelio Labs public page (reveliolabs.com/companies/&lt;slug&gt;/employees, matched on legal name and description), the company's own page, or for swapped rows the original Built In page.</t>
        </is>
      </c>
    </row>
    <row r="182">
      <c r="A182" t="inlineStr">
        <is>
          <t>headcount_second_source_date</t>
        </is>
      </c>
      <c r="B182" s="14" t="inlineStr">
        <is>
          <t>Date of that source: 2026-08-31 for Revelio pages (their publication date; the figures are 'as of March 2026'; opened 2026-10-24), the page's own year or the date opened for a company page.</t>
        </is>
      </c>
    </row>
    <row r="183">
      <c r="A183" t="inlineStr">
        <is>
          <t>parent_company</t>
        </is>
      </c>
      <c r="B183" s="14" t="inlineStr">
        <is>
          <t>Owner of the company where a source names one (for example a P&amp;G or LVMH brand), else 'unknown'. A parent far over 500 matters to 'firms under 500 preferred'.</t>
        </is>
      </c>
    </row>
    <row r="184">
      <c r="A184" t="inlineStr">
        <is>
          <t>parent_company_source</t>
        </is>
      </c>
      <c r="B184" s="14" t="inlineStr">
        <is>
          <t>Source for parent_company ('row notes' when the row's research notes state it).</t>
        </is>
      </c>
    </row>
    <row r="185">
      <c r="A185" t="inlineStr">
        <is>
          <t>building_lobby_type</t>
        </is>
      </c>
      <c r="B185" s="14" t="inlineStr">
        <is>
          <t>The building's lobby_type (Buildings tab), copied here so the Clay import needs no join.</t>
        </is>
      </c>
    </row>
    <row r="186">
      <c r="A186" t="inlineStr">
        <is>
          <t>candidate_status</t>
        </is>
      </c>
      <c r="B186" s="14" t="inlineStr">
        <is>
          <t>candidate (in the boundary, 40-500 or unknown band, not in coworking); excluded-coworking; excluded-not-office (for example a mailbox suite); near-miss-over-500; near-miss-outside.</t>
        </is>
      </c>
    </row>
    <row r="187">
      <c r="A187" t="inlineStr">
        <is>
          <t>lease_status</t>
        </is>
      </c>
      <c r="B187" s="14" t="inlineStr">
        <is>
          <t>occupied (a source shows the company in the space); occupancy-unconfirmed (lease press only); signed-not-occupied (a source says the move is ahead, or the company's own site still shows its old address); moving-out (a newer source says it signed elsewhere).</t>
        </is>
      </c>
    </row>
    <row r="188">
      <c r="A188" t="inlineStr">
        <is>
          <t>move_in_date</t>
        </is>
      </c>
      <c r="B188" s="14" t="inlineStr">
        <is>
          <t>For signed-not-occupied and moving-out rows: YYYY-MM if a source states the month, else 'unknown' (a planned season is written in notes). Blank when the row is occupied or occupancy-unconfirmed.</t>
        </is>
      </c>
    </row>
    <row r="189">
      <c r="A189" t="inlineStr">
        <is>
          <t>headcount_source_date</t>
        </is>
      </c>
      <c r="B189" s="14" t="inlineStr">
        <is>
          <t>Date of the headcount source.</t>
        </is>
      </c>
    </row>
    <row r="190">
      <c r="A190" t="inlineStr">
        <is>
          <t>headcount_unknown_reason</t>
        </is>
      </c>
      <c r="B190" s="14" t="inlineStr">
        <is>
          <t>Why the band is unknown, for every unknown row.</t>
        </is>
      </c>
    </row>
    <row r="191">
      <c r="A191" t="inlineStr">
        <is>
          <t>address_source_type</t>
        </is>
      </c>
      <c r="B191" s="14" t="inlineStr">
        <is>
          <t>company-site, leasing-press, builtin, building-site, press-release, wikipedia or other.</t>
        </is>
      </c>
    </row>
    <row r="192">
      <c r="A192" t="inlineStr">
        <is>
          <t>second_source_date</t>
        </is>
      </c>
      <c r="B192" s="14" t="inlineStr">
        <is>
          <t>Date of the second source.</t>
        </is>
      </c>
    </row>
    <row r="193">
      <c r="A193" t="inlineStr">
        <is>
          <t>coworking_check</t>
        </is>
      </c>
      <c r="B193" s="14" t="inlineStr">
        <is>
          <t>Result of the address-and-floor cross-check against every coworking site: no-coworking-in-building, different-floor, direct-lease-documented, floor-unknown, same-floor or listed-as-resident.</t>
        </is>
      </c>
    </row>
    <row r="194">
      <c r="A194" t="inlineStr">
        <is>
          <t>bbl</t>
        </is>
      </c>
      <c r="B194" s="14" t="inlineStr">
        <is>
          <t>NYC borough-block-lot tax lot number from the geocoder; the key used to merge buildings.</t>
        </is>
      </c>
    </row>
    <row r="195">
      <c r="A195" t="inlineStr">
        <is>
          <t>blocks_outside</t>
        </is>
      </c>
      <c r="B195" s="14" t="inlineStr">
        <is>
          <t>Walking distance from the boundary on the street grid, in street blocks (79.4 m each); 0 inside. Crosstown metres count at their length, so the Sixth-to-Fifth block counts as about 3.9.</t>
        </is>
      </c>
    </row>
    <row r="196">
      <c r="A196" t="inlineStr">
        <is>
          <t>leased_sf_mentioned</t>
        </is>
      </c>
      <c r="B196" s="14" t="inlineStr">
        <is>
          <t>Office sizes (square feet) that appear in the sourced notes. A fact from the source, not a headcount.</t>
        </is>
      </c>
    </row>
    <row r="197">
      <c r="A197" t="inlineStr">
        <is>
          <t>research_slice</t>
        </is>
      </c>
      <c r="B197" s="14" t="inlineStr">
        <is>
          <t>Which research slice found the row (S1 14th-18th St, S2 18th-22nd, S3 22nd-26th, S4 26th-30th; two values if merged).</t>
        </is>
      </c>
    </row>
    <row r="199">
      <c r="A199" s="15" t="inlineStr">
        <is>
          <t>Buildings</t>
        </is>
      </c>
    </row>
    <row r="200">
      <c r="A200" t="inlineStr">
        <is>
          <t>building_id</t>
        </is>
      </c>
      <c r="B200" s="14" t="inlineStr">
        <is>
          <t>Stable ID, B-B-###. Only buildings inside the boundary that hold at least one candidate company or a coworking site.</t>
        </is>
      </c>
    </row>
    <row r="201">
      <c r="A201" t="inlineStr">
        <is>
          <t>street_address</t>
        </is>
      </c>
      <c r="B201" s="14" t="inlineStr">
        <is>
          <t>Business street address as the source gives it.</t>
        </is>
      </c>
    </row>
    <row r="202">
      <c r="A202" t="inlineStr">
        <is>
          <t>building_name</t>
        </is>
      </c>
      <c r="B202" s="14" t="inlineStr">
        <is>
          <t>Building name from research (landlord or common name).</t>
        </is>
      </c>
    </row>
    <row r="203">
      <c r="A203" t="inlineStr">
        <is>
          <t>lat</t>
        </is>
      </c>
      <c r="B203" s="14" t="inlineStr">
        <is>
          <t>Latitude, WGS84 decimal degrees. From the project geocoder (_shared/geocode.py: NYC Planning GeoSearch, the city's own address database). A pin that landed on the far side of its tax lot was moved to the addressed block face; that row's notes say so.</t>
        </is>
      </c>
    </row>
    <row r="204">
      <c r="A204" t="inlineStr">
        <is>
          <t>lon</t>
        </is>
      </c>
      <c r="B204" s="14" t="inlineStr">
        <is>
          <t>Longitude, WGS84 decimal degrees. Same source as lat.</t>
        </is>
      </c>
    </row>
    <row r="205">
      <c r="A205" t="inlineStr">
        <is>
          <t>lobby_type</t>
        </is>
      </c>
      <c r="B205" s="14" t="inlineStr">
        <is>
          <t>walk-up, security desk, loading dock or unknown. Set only from an opened source (broker page, building site, press); undated broker pages are a starting point for the walk, not a verification.</t>
        </is>
      </c>
    </row>
    <row r="206">
      <c r="A206" t="inlineStr">
        <is>
          <t>lobby_source_url</t>
        </is>
      </c>
      <c r="B206" s="14" t="inlineStr">
        <is>
          <t>Source for lobby_type.</t>
        </is>
      </c>
    </row>
    <row r="207">
      <c r="A207" t="inlineStr">
        <is>
          <t>coi_required</t>
        </is>
      </c>
      <c r="B207" s="14" t="inlineStr">
        <is>
          <t>yes, no or unknown: whether the building requires a certificate of insurance for deliveries. No opened source states a delivery rule, so every row is unknown.</t>
        </is>
      </c>
    </row>
    <row r="208">
      <c r="A208" t="inlineStr">
        <is>
          <t>coi_source_url</t>
        </is>
      </c>
      <c r="B208" s="14" t="inlineStr">
        <is>
          <t>Source for coi_required.</t>
        </is>
      </c>
    </row>
    <row r="209">
      <c r="A209" t="inlineStr">
        <is>
          <t>candidate_company_count</t>
        </is>
      </c>
      <c r="B209" s="14" t="inlineStr">
        <is>
          <t>Number of candidate companies (candidate_status = candidate) in the building.</t>
        </is>
      </c>
    </row>
    <row r="210">
      <c r="A210" t="inlineStr">
        <is>
          <t>verified_on_foot</t>
        </is>
      </c>
      <c r="B210" s="14" t="inlineStr">
        <is>
          <t>Blank. Only the founder fills this, after the walk.</t>
        </is>
      </c>
    </row>
    <row r="211">
      <c r="A211" t="inlineStr">
        <is>
          <t>notes</t>
        </is>
      </c>
      <c r="B211" s="14" t="inlineStr">
        <is>
          <t>Free text from research, then any assembly change after ' | Assembly 2026-10-24:'. Each fact names its source.</t>
        </is>
      </c>
    </row>
    <row r="212">
      <c r="A212" t="inlineStr">
        <is>
          <t>bbl</t>
        </is>
      </c>
      <c r="B212" s="14" t="inlineStr">
        <is>
          <t>NYC borough-block-lot tax lot number from the geocoder; the key used to merge buildings.</t>
        </is>
      </c>
    </row>
    <row r="213">
      <c r="A213" t="inlineStr">
        <is>
          <t>also_known_as</t>
        </is>
      </c>
      <c r="B213" s="14" t="inlineStr">
        <is>
          <t>Other addresses on the same tax lot (for example 841 Broadway for 853 Broadway).</t>
        </is>
      </c>
    </row>
    <row r="214">
      <c r="A214" t="inlineStr">
        <is>
          <t>zip</t>
        </is>
      </c>
      <c r="B214" s="14" t="inlineStr">
        <is>
          <t>ZIP code from PLUTO.</t>
        </is>
      </c>
    </row>
    <row r="215">
      <c r="A215" t="inlineStr">
        <is>
          <t>in_boundary</t>
        </is>
      </c>
      <c r="B215" s="14" t="inlineStr">
        <is>
          <t>Y if the pin is inside boundary.geojson, else N (computed, not judged).</t>
        </is>
      </c>
    </row>
    <row r="216">
      <c r="A216" t="inlineStr">
        <is>
          <t>candidate_company_ids</t>
        </is>
      </c>
      <c r="B216" s="14" t="inlineStr">
        <is>
          <t>B-C-### of the candidates in the building.</t>
        </is>
      </c>
    </row>
    <row r="217">
      <c r="A217" t="inlineStr">
        <is>
          <t>other_company_count</t>
        </is>
      </c>
      <c r="B217" s="14" t="inlineStr">
        <is>
          <t>Company rows in the building that are not candidates (coworking members, over 500, not an office).</t>
        </is>
      </c>
    </row>
    <row r="218">
      <c r="A218" t="inlineStr">
        <is>
          <t>coworking_ids</t>
        </is>
      </c>
      <c r="B218" s="14" t="inlineStr">
        <is>
          <t>B-W-### of coworking sites in the building.</t>
        </is>
      </c>
    </row>
    <row r="219">
      <c r="A219" t="inlineStr">
        <is>
          <t>retailer_ids</t>
        </is>
      </c>
      <c r="B219" s="14" t="inlineStr">
        <is>
          <t>B-R-### of stores in the building.</t>
        </is>
      </c>
    </row>
    <row r="220">
      <c r="A220" t="inlineStr">
        <is>
          <t>pluto_numfloors</t>
        </is>
      </c>
      <c r="B220" s="14" t="inlineStr">
        <is>
          <t>Number of floors, NYC PLUTO 26v2 (data.cityofnewyork.us 64uk-42ks).</t>
        </is>
      </c>
    </row>
    <row r="221">
      <c r="A221" t="inlineStr">
        <is>
          <t>pluto_yearbuilt</t>
        </is>
      </c>
      <c r="B221" s="14" t="inlineStr">
        <is>
          <t>Year built, PLUTO.</t>
        </is>
      </c>
    </row>
    <row r="222">
      <c r="A222" t="inlineStr">
        <is>
          <t>pluto_bldgclass</t>
        </is>
      </c>
      <c r="B222" s="14" t="inlineStr">
        <is>
          <t>PLUTO building class (O = office; RB/RC = condo office/commercial; K = store building).</t>
        </is>
      </c>
    </row>
    <row r="223">
      <c r="A223" t="inlineStr">
        <is>
          <t>pluto_office_sqft</t>
        </is>
      </c>
      <c r="B223" s="14" t="inlineStr">
        <is>
          <t>Office floor area on the lot, PLUTO.</t>
        </is>
      </c>
    </row>
    <row r="224">
      <c r="A224" t="inlineStr">
        <is>
          <t>pluto_address</t>
        </is>
      </c>
      <c r="B224" s="14" t="inlineStr">
        <is>
          <t>The tax lot's primary address in PLUTO (can differ for a block-through lot).</t>
        </is>
      </c>
    </row>
    <row r="225">
      <c r="A225" t="inlineStr">
        <is>
          <t>pin_check</t>
        </is>
      </c>
      <c r="B225" s="14" t="inlineStr">
        <is>
          <t>Distance from the pin to the PLUTO lot centroid, plus any pin move.</t>
        </is>
      </c>
    </row>
    <row r="226">
      <c r="A226" t="inlineStr">
        <is>
          <t>entrance_note</t>
        </is>
      </c>
      <c r="B226" s="14" t="inlineStr">
        <is>
          <t>Review round 2: for a corner building whose address names the avenue, which streets it fronts and that the pin sits on the address side. Check the delivery door on the walk.</t>
        </is>
      </c>
    </row>
    <row r="227">
      <c r="A227" t="inlineStr">
        <is>
          <t>research_slices</t>
        </is>
      </c>
      <c r="B227" s="14" t="inlineStr">
        <is>
          <t>Slices that recorded the building.</t>
        </is>
      </c>
    </row>
    <row r="229">
      <c r="A229" s="15" t="inlineStr">
        <is>
          <t>Coworking</t>
        </is>
      </c>
    </row>
    <row r="230">
      <c r="A230" t="inlineStr">
        <is>
          <t>coworking_id</t>
        </is>
      </c>
      <c r="B230" s="14" t="inlineStr">
        <is>
          <t>Stable ID, B-W-###. A coworking operator can join as one office only if it controls the pantry; its members are excluded.</t>
        </is>
      </c>
    </row>
    <row r="231">
      <c r="A231" t="inlineStr">
        <is>
          <t>operator</t>
        </is>
      </c>
      <c r="B231" s="14" t="inlineStr">
        <is>
          <t>Operating company.</t>
        </is>
      </c>
    </row>
    <row r="232">
      <c r="A232" t="inlineStr">
        <is>
          <t>location_name</t>
        </is>
      </c>
      <c r="B232" s="14" t="inlineStr">
        <is>
          <t>Location name.</t>
        </is>
      </c>
    </row>
    <row r="233">
      <c r="A233" t="inlineStr">
        <is>
          <t>street_address</t>
        </is>
      </c>
      <c r="B233" s="14" t="inlineStr">
        <is>
          <t>Business street address as the source gives it.</t>
        </is>
      </c>
    </row>
    <row r="234">
      <c r="A234" t="inlineStr">
        <is>
          <t>lat</t>
        </is>
      </c>
      <c r="B234" s="14" t="inlineStr">
        <is>
          <t>Latitude, WGS84 decimal degrees. From the project geocoder (_shared/geocode.py: NYC Planning GeoSearch, the city's own address database). A pin that landed on the far side of its tax lot was moved to the addressed block face; that row's notes say so.</t>
        </is>
      </c>
    </row>
    <row r="235">
      <c r="A235" t="inlineStr">
        <is>
          <t>lon</t>
        </is>
      </c>
      <c r="B235" s="14" t="inlineStr">
        <is>
          <t>Longitude, WGS84 decimal degrees. Same source as lat.</t>
        </is>
      </c>
    </row>
    <row r="236">
      <c r="A236" t="inlineStr">
        <is>
          <t>pantry_control</t>
        </is>
      </c>
      <c r="B236" s="14" t="inlineStr">
        <is>
          <t>operator (the operator's own page or listing says it supplies coffee, drinks or snacks), tenant, or unknown.</t>
        </is>
      </c>
    </row>
    <row r="237">
      <c r="A237" t="inlineStr">
        <is>
          <t>pantry_source_url</t>
        </is>
      </c>
      <c r="B237" s="14" t="inlineStr">
        <is>
          <t>Source for pantry_control.</t>
        </is>
      </c>
    </row>
    <row r="238">
      <c r="A238" t="inlineStr">
        <is>
          <t>source_url</t>
        </is>
      </c>
      <c r="B238" s="14" t="inlineStr">
        <is>
          <t>Main source that places the row at the address.</t>
        </is>
      </c>
    </row>
    <row r="239">
      <c r="A239" t="inlineStr">
        <is>
          <t>source_date</t>
        </is>
      </c>
      <c r="B239" s="14" t="inlineStr">
        <is>
          <t>Publication date of the source, or the date it was opened for an undated live page (YYYY-MM-DD or YYYY-MM).</t>
        </is>
      </c>
    </row>
    <row r="240">
      <c r="A240" t="inlineStr">
        <is>
          <t>confidence</t>
        </is>
      </c>
      <c r="B240"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241">
      <c r="A241" t="inlineStr">
        <is>
          <t>notes</t>
        </is>
      </c>
      <c r="B241" s="14" t="inlineStr">
        <is>
          <t>Free text from research, then any assembly change after ' | Assembly 2026-10-24:'. Each fact names its source.</t>
        </is>
      </c>
    </row>
    <row r="242">
      <c r="A242" t="inlineStr">
        <is>
          <t>in_boundary</t>
        </is>
      </c>
      <c r="B242" s="14" t="inlineStr">
        <is>
          <t>Y if the pin is inside boundary.geojson, else N (computed, not judged).</t>
        </is>
      </c>
    </row>
    <row r="243">
      <c r="A243" t="inlineStr">
        <is>
          <t>blocks_outside</t>
        </is>
      </c>
      <c r="B243" s="14" t="inlineStr">
        <is>
          <t>Walking distance from the boundary on the street grid, in street blocks (79.4 m each); 0 inside. Crosstown metres count at their length, so the Sixth-to-Fifth block counts as about 3.9.</t>
        </is>
      </c>
    </row>
    <row r="244">
      <c r="A244" t="inlineStr">
        <is>
          <t>status</t>
        </is>
      </c>
      <c r="B244" s="14" t="inlineStr">
        <is>
          <t>open, open-unverified, unverified (only a legacy page), or possibly-closed (sources conflict).</t>
        </is>
      </c>
    </row>
    <row r="245">
      <c r="A245" t="inlineStr">
        <is>
          <t>floors</t>
        </is>
      </c>
      <c r="B245" s="14" t="inlineStr">
        <is>
          <t>Floors the operator holds, as sourced.</t>
        </is>
      </c>
    </row>
    <row r="246">
      <c r="A246" t="inlineStr">
        <is>
          <t>building_id</t>
        </is>
      </c>
      <c r="B246" s="14" t="inlineStr">
        <is>
          <t>B-B-### of the Buildings-tab building that holds the site; blank for sites outside the boundary.</t>
        </is>
      </c>
    </row>
    <row r="247">
      <c r="A247" t="inlineStr">
        <is>
          <t>bbl</t>
        </is>
      </c>
      <c r="B247" s="14" t="inlineStr">
        <is>
          <t>NYC borough-block-lot tax lot number from the geocoder; the key used to merge buildings.</t>
        </is>
      </c>
    </row>
    <row r="248">
      <c r="A248" t="inlineStr">
        <is>
          <t>tenant_company_ids</t>
        </is>
      </c>
      <c r="B248" s="14" t="inlineStr">
        <is>
          <t>B-C-### of companies flagged as inside this site.</t>
        </is>
      </c>
    </row>
    <row r="249">
      <c r="A249" t="inlineStr">
        <is>
          <t>second_source_url</t>
        </is>
      </c>
      <c r="B249" s="14" t="inlineStr">
        <is>
          <t>Independent confirmation where one exists. Every high row has one (review round 1).</t>
        </is>
      </c>
    </row>
    <row r="250">
      <c r="A250" t="inlineStr">
        <is>
          <t>exclusive_food_contract_signal</t>
        </is>
      </c>
      <c r="B250" s="14" t="inlineStr">
        <is>
          <t>Any named food or drink supplier or in-house cafe that may limit outside placements. No exclusive contract was found anywhere.</t>
        </is>
      </c>
    </row>
    <row r="251">
      <c r="A251" t="inlineStr">
        <is>
          <t>research_id</t>
        </is>
      </c>
      <c r="B251" s="14" t="inlineStr">
        <is>
          <t>The places researcher's temporary ID (W-##), kept for traceability.</t>
        </is>
      </c>
    </row>
    <row r="252">
      <c r="A252" t="inlineStr">
        <is>
          <t>found_date</t>
        </is>
      </c>
      <c r="B252" s="14" t="inlineStr">
        <is>
          <t>Date the row was first found (YYYY-MM-DD).</t>
        </is>
      </c>
    </row>
    <row r="254">
      <c r="A254" s="15" t="inlineStr">
        <is>
          <t>Retailers</t>
        </is>
      </c>
    </row>
    <row r="255">
      <c r="A255" t="inlineStr">
        <is>
          <t>retailer_id</t>
        </is>
      </c>
      <c r="B255" s="14" t="inlineStr">
        <is>
          <t>Stable ID, B-R-###.</t>
        </is>
      </c>
    </row>
    <row r="256">
      <c r="A256" t="inlineStr">
        <is>
          <t>retailer_name</t>
        </is>
      </c>
      <c r="B256" s="14" t="inlineStr">
        <is>
          <t>Store name.</t>
        </is>
      </c>
    </row>
    <row r="257">
      <c r="A257" t="inlineStr">
        <is>
          <t>street_address</t>
        </is>
      </c>
      <c r="B257" s="14" t="inlineStr">
        <is>
          <t>Business street address as the source gives it.</t>
        </is>
      </c>
    </row>
    <row r="258">
      <c r="A258" t="inlineStr">
        <is>
          <t>lat</t>
        </is>
      </c>
      <c r="B258" s="14" t="inlineStr">
        <is>
          <t>Latitude, WGS84 decimal degrees. From the project geocoder (_shared/geocode.py: NYC Planning GeoSearch, the city's own address database). A pin that landed on the far side of its tax lot was moved to the addressed block face; that row's notes say so.</t>
        </is>
      </c>
    </row>
    <row r="259">
      <c r="A259" t="inlineStr">
        <is>
          <t>lon</t>
        </is>
      </c>
      <c r="B259" s="14" t="inlineStr">
        <is>
          <t>Longitude, WGS84 decimal degrees. Same source as lat.</t>
        </is>
      </c>
    </row>
    <row r="260">
      <c r="A260" t="inlineStr">
        <is>
          <t>inside_boundary</t>
        </is>
      </c>
      <c r="B260" s="14" t="inlineStr">
        <is>
          <t>Y if the store's pin is inside the boundary.</t>
        </is>
      </c>
    </row>
    <row r="261">
      <c r="A261" t="inlineStr">
        <is>
          <t>blocks_outside</t>
        </is>
      </c>
      <c r="B261" s="14" t="inlineStr">
        <is>
          <t>Whole street blocks outside the boundary on the walking grid (0 to 10). 'Ten blocks' = ten street-block lengths, 794 m, of grid walking from the nearest boundary edge.</t>
        </is>
      </c>
    </row>
    <row r="262">
      <c r="A262" t="inlineStr">
        <is>
          <t>shelf_set</t>
        </is>
      </c>
      <c r="B262" s="14" t="inlineStr">
        <is>
          <t>The store format and the shelf set relevant to emerging brands, as described by the store or research. Not a brand list.</t>
        </is>
      </c>
    </row>
    <row r="263">
      <c r="A263" t="inlineStr">
        <is>
          <t>source_url</t>
        </is>
      </c>
      <c r="B263" s="14" t="inlineStr">
        <is>
          <t>Main source that places the row at the address.</t>
        </is>
      </c>
    </row>
    <row r="264">
      <c r="A264" t="inlineStr">
        <is>
          <t>source_date</t>
        </is>
      </c>
      <c r="B264" s="14" t="inlineStr">
        <is>
          <t>Publication date of the source, or the date it was opened for an undated live page (YYYY-MM-DD or YYYY-MM).</t>
        </is>
      </c>
    </row>
    <row r="265">
      <c r="A265" t="inlineStr">
        <is>
          <t>confidence</t>
        </is>
      </c>
      <c r="B265"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266">
      <c r="A266" t="inlineStr">
        <is>
          <t>notes</t>
        </is>
      </c>
      <c r="B266" s="14" t="inlineStr">
        <is>
          <t>Free text from research, then any assembly change after ' | Assembly 2026-10-24:'. Each fact names its source.</t>
        </is>
      </c>
    </row>
    <row r="267">
      <c r="A267" t="inlineStr">
        <is>
          <t>buy_path_tier</t>
        </is>
      </c>
      <c r="B267" s="14" t="inlineStr">
        <is>
          <t>A = documented natural, local or emerging set; B = specialty, gourmet or natural format, emerging set not yet verified; C = mass, conventional or private label (a landmark or weak buy path).</t>
        </is>
      </c>
    </row>
    <row r="268">
      <c r="A268" t="inlineStr">
        <is>
          <t>public_map</t>
        </is>
      </c>
      <c r="B268" s="14" t="inlineStr">
        <is>
          <t>Y if the store is on the public map: tier A or B, high or medium confidence, and not a niche or deli format.</t>
        </is>
      </c>
    </row>
    <row r="269">
      <c r="A269" t="inlineStr">
        <is>
          <t>public_map_reason</t>
        </is>
      </c>
      <c r="B269" s="14" t="inlineStr">
        <is>
          <t>Why a store is not on the public map.</t>
        </is>
      </c>
    </row>
    <row r="270">
      <c r="A270" t="inlineStr">
        <is>
          <t>public_description</t>
        </is>
      </c>
      <c r="B270" s="14" t="inlineStr">
        <is>
          <t>Plain public wording of the store format for the public map (from the store's own site or licence record); blank for stores not on the public map.</t>
        </is>
      </c>
    </row>
    <row r="271">
      <c r="A271" t="inlineStr">
        <is>
          <t>walk_minutes_from_cluster_edge</t>
        </is>
      </c>
      <c r="B271" s="14" t="inlineStr">
        <is>
          <t>Walking minutes from the nearest boundary edge: blocks outside x 79.4 m / 73 m a minute, rounded, at least 1 outside the line; 0 inside.</t>
        </is>
      </c>
    </row>
    <row r="272">
      <c r="A272" t="inlineStr">
        <is>
          <t>candidates_within_5_blocks</t>
        </is>
      </c>
      <c r="B272" s="14" t="inlineStr">
        <is>
          <t>Candidate companies in Buildings-tab buildings within five blocks of grid walking.</t>
        </is>
      </c>
    </row>
    <row r="273">
      <c r="A273" t="inlineStr">
        <is>
          <t>nearest_candidate_building_id</t>
        </is>
      </c>
      <c r="B273" s="14" t="inlineStr">
        <is>
          <t>Closest Buildings-tab building with a candidate.</t>
        </is>
      </c>
    </row>
    <row r="274">
      <c r="A274" t="inlineStr">
        <is>
          <t>nearest_candidate_blocks</t>
        </is>
      </c>
      <c r="B274" s="14" t="inlineStr">
        <is>
          <t>Grid walking distance to it, in blocks.</t>
        </is>
      </c>
    </row>
    <row r="275">
      <c r="A275" t="inlineStr">
        <is>
          <t>emerging_brand_evidence</t>
        </is>
      </c>
      <c r="B275" s="14" t="inlineStr">
        <is>
          <t>What the store or chain says about local or emerging products; no store-level brand list was checked.</t>
        </is>
      </c>
    </row>
    <row r="276">
      <c r="A276" t="inlineStr">
        <is>
          <t>operating_evidence_url</t>
        </is>
      </c>
      <c r="B276" s="14" t="inlineStr">
        <is>
          <t>Page showing the store is open.</t>
        </is>
      </c>
    </row>
    <row r="277">
      <c r="A277" t="inlineStr">
        <is>
          <t>bbl</t>
        </is>
      </c>
      <c r="B277" s="14" t="inlineStr">
        <is>
          <t>NYC borough-block-lot tax lot number from the geocoder; the key used to merge buildings.</t>
        </is>
      </c>
    </row>
    <row r="278">
      <c r="A278" t="inlineStr">
        <is>
          <t>research_id</t>
        </is>
      </c>
      <c r="B278" s="14" t="inlineStr">
        <is>
          <t>The places researcher's temporary ID (R-##).</t>
        </is>
      </c>
    </row>
    <row r="279">
      <c r="A279" t="inlineStr">
        <is>
          <t>found_date</t>
        </is>
      </c>
      <c r="B279" s="14" t="inlineStr">
        <is>
          <t>Date the row was first found (YYYY-MM-DD).</t>
        </is>
      </c>
    </row>
    <row r="281">
      <c r="A281" s="15" t="inlineStr">
        <is>
          <t>Route</t>
        </is>
      </c>
    </row>
    <row r="282">
      <c r="A282" t="inlineStr">
        <is>
          <t>stop</t>
        </is>
      </c>
      <c r="B282" s="14" t="inlineStr">
        <is>
          <t>Stop number, in delivery order.</t>
        </is>
      </c>
    </row>
    <row r="283">
      <c r="A283" t="inlineStr">
        <is>
          <t>company_id</t>
        </is>
      </c>
      <c r="B283" s="14" t="inlineStr">
        <is>
          <t>Candidate company at the stop (high confidence, occupied, band known).</t>
        </is>
      </c>
    </row>
    <row r="284">
      <c r="A284" t="inlineStr">
        <is>
          <t>company_name</t>
        </is>
      </c>
      <c r="B284" s="14" t="inlineStr">
        <is>
          <t>That company's name (an example only; none has been contacted).</t>
        </is>
      </c>
    </row>
    <row r="285">
      <c r="A285" t="inlineStr">
        <is>
          <t>building_id</t>
        </is>
      </c>
      <c r="B285" s="14" t="inlineStr">
        <is>
          <t>B-B-### of its building.</t>
        </is>
      </c>
    </row>
    <row r="286">
      <c r="A286" t="inlineStr">
        <is>
          <t>street_address</t>
        </is>
      </c>
      <c r="B286" s="14" t="inlineStr">
        <is>
          <t>Business street address as the source gives it.</t>
        </is>
      </c>
    </row>
    <row r="287">
      <c r="A287" t="inlineStr">
        <is>
          <t>floor</t>
        </is>
      </c>
      <c r="B287" s="14" t="inlineStr">
        <is>
          <t>Its floor as sourced, or unknown.</t>
        </is>
      </c>
    </row>
    <row r="288">
      <c r="A288" t="inlineStr">
        <is>
          <t>lobby_type</t>
        </is>
      </c>
      <c r="B288" s="14" t="inlineStr">
        <is>
          <t>From the Buildings tab. Order rule: walk-up, then unknown, then loading dock, then security desk last.</t>
        </is>
      </c>
    </row>
    <row r="289">
      <c r="A289" t="inlineStr">
        <is>
          <t>headcount_band</t>
        </is>
      </c>
      <c r="B289" s="14" t="inlineStr">
        <is>
          <t>Whole-company band; the onsite Tuesday count comes from intake.</t>
        </is>
      </c>
    </row>
    <row r="290">
      <c r="A290" t="inlineStr">
        <is>
          <t>confidence</t>
        </is>
      </c>
      <c r="B290"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291">
      <c r="A291" t="inlineStr">
        <is>
          <t>lat</t>
        </is>
      </c>
      <c r="B291" s="14" t="inlineStr">
        <is>
          <t>Latitude, WGS84 decimal degrees. From the project geocoder (_shared/geocode.py: NYC Planning GeoSearch, the city's own address database). A pin that landed on the far side of its tax lot was moved to the addressed block face; that row's notes say so.</t>
        </is>
      </c>
    </row>
    <row r="292">
      <c r="A292" t="inlineStr">
        <is>
          <t>lon</t>
        </is>
      </c>
      <c r="B292" s="14" t="inlineStr">
        <is>
          <t>Longitude, WGS84 decimal degrees. Same source as lat.</t>
        </is>
      </c>
    </row>
    <row r="293">
      <c r="A293" t="inlineStr">
        <is>
          <t>leg_metres_est</t>
        </is>
      </c>
      <c r="B293" s="14" t="inlineStr">
        <is>
          <t>Estimated walking metres from the previous stop along the street grid (to the corner and across, never mid-block).</t>
        </is>
      </c>
    </row>
    <row r="294">
      <c r="A294" t="inlineStr">
        <is>
          <t>avenue_crossings</t>
        </is>
      </c>
      <c r="B294" s="14" t="inlineStr">
        <is>
          <t>Avenue or Broadway crossings on the leg.</t>
        </is>
      </c>
    </row>
    <row r="295">
      <c r="A295" t="inlineStr">
        <is>
          <t>street_crossings</t>
        </is>
      </c>
      <c r="B295" s="14" t="inlineStr">
        <is>
          <t>Side-street crossings on the leg.</t>
        </is>
      </c>
    </row>
    <row r="296">
      <c r="A296" t="inlineStr">
        <is>
          <t>same_building</t>
        </is>
      </c>
      <c r="B296" s="14" t="inlineStr">
        <is>
          <t>Y if the stop is in the same building as the previous one (elevator transfer).</t>
        </is>
      </c>
    </row>
    <row r="297">
      <c r="A297" t="inlineStr">
        <is>
          <t>leg_minutes_est</t>
        </is>
      </c>
      <c r="B297" s="14" t="inlineStr">
        <is>
          <t>Estimate: metres / hand-truck pace + crossings x expected signal wait; or the same-building transfer time.</t>
        </is>
      </c>
    </row>
    <row r="298">
      <c r="A298" t="inlineStr">
        <is>
          <t>car_minutes_est</t>
        </is>
      </c>
      <c r="B298" s="14" t="inlineStr">
        <is>
          <t>Estimate for the same leg by car: overhead + metres x detour factor / CBD car speed.</t>
        </is>
      </c>
    </row>
    <row r="299">
      <c r="A299" t="inlineStr">
        <is>
          <t>load</t>
        </is>
      </c>
      <c r="B299" s="14" t="inlineStr">
        <is>
          <t>Review round 2: which hand-truck load the stop is in (cases_per_load stops per load).</t>
        </is>
      </c>
    </row>
    <row r="300">
      <c r="A300" t="inlineStr">
        <is>
          <t>reload_minutes_before</t>
        </is>
      </c>
      <c r="B300" s="14" t="inlineStr">
        <is>
          <t>Review round 2: reload time before this stop (reload_minutes at the first stop of each new load, else 0).</t>
        </is>
      </c>
    </row>
    <row r="301">
      <c r="A301" t="inlineStr">
        <is>
          <t>car_faster</t>
        </is>
      </c>
      <c r="B301" s="14" t="inlineStr">
        <is>
          <t>Y if the car estimate beats the walk estimate.</t>
        </is>
      </c>
    </row>
    <row r="302">
      <c r="A302" t="inlineStr">
        <is>
          <t>stop_minutes</t>
        </is>
      </c>
      <c r="B302" s="14" t="inlineStr">
        <is>
          <t>Minutes at the stop (plan.md: 15).</t>
        </is>
      </c>
    </row>
    <row r="303">
      <c r="A303" t="inlineStr">
        <is>
          <t>arrive_est</t>
        </is>
      </c>
      <c r="B303" s="14" t="inlineStr">
        <is>
          <t>Estimated arrival (start 08:00 at stop 1).</t>
        </is>
      </c>
    </row>
    <row r="304">
      <c r="A304" t="inlineStr">
        <is>
          <t>depart_est</t>
        </is>
      </c>
      <c r="B304" s="14" t="inlineStr">
        <is>
          <t>Estimated departure.</t>
        </is>
      </c>
    </row>
    <row r="305">
      <c r="A305" t="inlineStr">
        <is>
          <t>receiving_window_from_intake</t>
        </is>
      </c>
      <c r="B305" s="14" t="inlineStr">
        <is>
          <t>Blank until intake: the office's receiving window. Re-order stops so every arrival falls inside its window.</t>
        </is>
      </c>
    </row>
    <row r="306">
      <c r="A306" t="inlineStr">
        <is>
          <t>entrance_note</t>
        </is>
      </c>
      <c r="B306" s="14" t="inlineStr">
        <is>
          <t>The building's entrance note, for corner buildings.</t>
        </is>
      </c>
    </row>
    <row r="307">
      <c r="A307" t="inlineStr">
        <is>
          <t>notes</t>
        </is>
      </c>
      <c r="B307" s="14" t="inlineStr">
        <is>
          <t>Where the model reloads, and how.</t>
        </is>
      </c>
    </row>
    <row r="308">
      <c r="A308" t="inlineStr">
        <is>
          <t>label</t>
        </is>
      </c>
      <c r="B308" s="14" t="inlineStr">
        <is>
          <t>Every time on this tab is an estimate.</t>
        </is>
      </c>
    </row>
    <row r="310">
      <c r="A310" s="15" t="inlineStr">
        <is>
          <t>Walk</t>
        </is>
      </c>
    </row>
    <row r="311">
      <c r="A311" t="inlineStr">
        <is>
          <t>session</t>
        </is>
      </c>
      <c r="B311" s="14" t="inlineStr">
        <is>
          <t>90-minute session number. The core sessions come first and cover everything inside the boundary; the outer sessions after them cover the stores outside it (see the session summary to the right).</t>
        </is>
      </c>
    </row>
    <row r="312">
      <c r="A312" t="inlineStr">
        <is>
          <t>phase</t>
        </is>
      </c>
      <c r="B312" s="14" t="inlineStr">
        <is>
          <t>core (inside the boundary) or outer retailers (within ten blocks).</t>
        </is>
      </c>
    </row>
    <row r="313">
      <c r="A313" t="inlineStr">
        <is>
          <t>order</t>
        </is>
      </c>
      <c r="B313" s="14" t="inlineStr">
        <is>
          <t>Visit order across the whole walk.</t>
        </is>
      </c>
    </row>
    <row r="314">
      <c r="A314" t="inlineStr">
        <is>
          <t>stops_here</t>
        </is>
      </c>
      <c r="B314" s="14" t="inlineStr">
        <is>
          <t>Every item at this address: buildings, coworking sites, stores.</t>
        </is>
      </c>
    </row>
    <row r="315">
      <c r="A315" t="inlineStr">
        <is>
          <t>stop_types</t>
        </is>
      </c>
      <c r="B315" s="14" t="inlineStr">
        <is>
          <t>building, coworking, retailer.</t>
        </is>
      </c>
    </row>
    <row r="316">
      <c r="A316" t="inlineStr">
        <is>
          <t>street_address</t>
        </is>
      </c>
      <c r="B316" s="14" t="inlineStr">
        <is>
          <t>Business street address as the source gives it.</t>
        </is>
      </c>
    </row>
    <row r="317">
      <c r="A317" t="inlineStr">
        <is>
          <t>lat</t>
        </is>
      </c>
      <c r="B317" s="14" t="inlineStr">
        <is>
          <t>Latitude, WGS84 decimal degrees. From the project geocoder (_shared/geocode.py: NYC Planning GeoSearch, the city's own address database). A pin that landed on the far side of its tax lot was moved to the addressed block face; that row's notes say so.</t>
        </is>
      </c>
    </row>
    <row r="318">
      <c r="A318" t="inlineStr">
        <is>
          <t>lon</t>
        </is>
      </c>
      <c r="B318" s="14" t="inlineStr">
        <is>
          <t>Longitude, WGS84 decimal degrees. Same source as lat.</t>
        </is>
      </c>
    </row>
    <row r="319">
      <c r="A319" t="inlineStr">
        <is>
          <t>walk_minutes_from_previous_est</t>
        </is>
      </c>
      <c r="B319" s="14" t="inlineStr">
        <is>
          <t>Estimate at 73 m/min plus signal waits; 0 at the first stop of a session.</t>
        </is>
      </c>
    </row>
    <row r="320">
      <c r="A320" t="inlineStr">
        <is>
          <t>dwell_minutes_est</t>
        </is>
      </c>
      <c r="B320" s="14" t="inlineStr">
        <is>
          <t>Estimate: 3 min per building (+0.5 per extra candidate, max 6), 3 per coworking site, 10 per tier A store, 6 per tier B, 3 per tier C; +1 per extra item at the same address.</t>
        </is>
      </c>
    </row>
    <row r="321">
      <c r="A321" t="inlineStr">
        <is>
          <t>cumulative_minutes_est</t>
        </is>
      </c>
      <c r="B321" s="14" t="inlineStr">
        <is>
          <t>Running total within the session.</t>
        </is>
      </c>
    </row>
    <row r="322">
      <c r="A322" t="inlineStr">
        <is>
          <t>session_minutes_est</t>
        </is>
      </c>
      <c r="B322" s="14" t="inlineStr">
        <is>
          <t>Total for the session.</t>
        </is>
      </c>
    </row>
    <row r="323">
      <c r="A323" t="inlineStr">
        <is>
          <t>start_point</t>
        </is>
      </c>
      <c r="B323" s="14" t="inlineStr">
        <is>
          <t>Nearest subway station to the first stop (MTA Subway Stations, data.ny.gov 39hk-dx4f).</t>
        </is>
      </c>
    </row>
    <row r="324">
      <c r="A324" t="inlineStr">
        <is>
          <t>end_point</t>
        </is>
      </c>
      <c r="B324" s="14" t="inlineStr">
        <is>
          <t>Nearest subway station to the last stop.</t>
        </is>
      </c>
    </row>
    <row r="325">
      <c r="A325" t="inlineStr">
        <is>
          <t>verify_checklist</t>
        </is>
      </c>
      <c r="B325" s="14" t="inlineStr">
        <is>
          <t>What to check and photograph here.</t>
        </is>
      </c>
    </row>
    <row r="326">
      <c r="A326" t="inlineStr">
        <is>
          <t>observed_lobby_type</t>
        </is>
      </c>
      <c r="B326" s="14" t="inlineStr">
        <is>
          <t>Founder fills on foot.</t>
        </is>
      </c>
    </row>
    <row r="327">
      <c r="A327" t="inlineStr">
        <is>
          <t>security_desk</t>
        </is>
      </c>
      <c r="B327" s="14" t="inlineStr">
        <is>
          <t>Founder fills on foot (Y/N; staffed at 8 am?).</t>
        </is>
      </c>
    </row>
    <row r="328">
      <c r="A328" t="inlineStr">
        <is>
          <t>loading_dock_hours</t>
        </is>
      </c>
      <c r="B328" s="14" t="inlineStr">
        <is>
          <t>Founder fills on foot (posted hours).</t>
        </is>
      </c>
    </row>
    <row r="329">
      <c r="A329" t="inlineStr">
        <is>
          <t>coi_signage</t>
        </is>
      </c>
      <c r="B329" s="14" t="inlineStr">
        <is>
          <t>Founder fills on foot (any insurance or vendor signage).</t>
        </is>
      </c>
    </row>
    <row r="330">
      <c r="A330" t="inlineStr">
        <is>
          <t>receiving_hours</t>
        </is>
      </c>
      <c r="B330" s="14" t="inlineStr">
        <is>
          <t>Founder fills on foot.</t>
        </is>
      </c>
    </row>
    <row r="331">
      <c r="A331" t="inlineStr">
        <is>
          <t>emerging_set_photo_taken</t>
        </is>
      </c>
      <c r="B331" s="14" t="inlineStr">
        <is>
          <t>Founder fills on foot (stores).</t>
        </is>
      </c>
    </row>
    <row r="332">
      <c r="A332" t="inlineStr">
        <is>
          <t>founder_notes</t>
        </is>
      </c>
      <c r="B332" s="14" t="inlineStr">
        <is>
          <t>Founder fills on foot.</t>
        </is>
      </c>
    </row>
    <row r="333">
      <c r="A333" t="inlineStr">
        <is>
          <t>session_summary (session summary)</t>
        </is>
      </c>
      <c r="B333" s="14" t="inlineStr">
        <is>
          <t>Session summary (right of the table): session number.</t>
        </is>
      </c>
    </row>
    <row r="334">
      <c r="A334" t="inlineStr">
        <is>
          <t>phase (session summary)</t>
        </is>
      </c>
      <c r="B334" s="14" t="inlineStr">
        <is>
          <t>core (inside the boundary) or outer retailers (within ten blocks).</t>
        </is>
      </c>
    </row>
    <row r="335">
      <c r="A335" t="inlineStr">
        <is>
          <t>stops (session summary)</t>
        </is>
      </c>
      <c r="B335" s="14" t="inlineStr">
        <is>
          <t>Session summary: stops in the session (formula).</t>
        </is>
      </c>
    </row>
    <row r="336">
      <c r="A336" t="inlineStr">
        <is>
          <t>minutes_est (session summary)</t>
        </is>
      </c>
      <c r="B336" s="14" t="inlineStr">
        <is>
          <t>Session summary: estimated minutes, walking plus dwell (formula).</t>
        </is>
      </c>
    </row>
    <row r="337">
      <c r="A337" t="inlineStr">
        <is>
          <t>start_point (session summary)</t>
        </is>
      </c>
      <c r="B337" s="14" t="inlineStr">
        <is>
          <t>Nearest subway station to the first stop (MTA Subway Stations, data.ny.gov 39hk-dx4f).</t>
        </is>
      </c>
    </row>
    <row r="338">
      <c r="A338" t="inlineStr">
        <is>
          <t>end_point (session summary)</t>
        </is>
      </c>
      <c r="B338" s="14" t="inlineStr">
        <is>
          <t>Nearest subway station to the last stop.</t>
        </is>
      </c>
    </row>
    <row r="340">
      <c r="A340" s="15" t="inlineStr">
        <is>
          <t>Near-miss</t>
        </is>
      </c>
    </row>
    <row r="341">
      <c r="A341" t="inlineStr">
        <is>
          <t>company_id</t>
        </is>
      </c>
      <c r="B341" s="14" t="inlineStr">
        <is>
          <t>Stable ID, B-C-### (CONTRACTS 6.1). Shared numbering with Near-miss.</t>
        </is>
      </c>
    </row>
    <row r="342">
      <c r="A342" t="inlineStr">
        <is>
          <t>company_name</t>
        </is>
      </c>
      <c r="B342" s="14" t="inlineStr">
        <is>
          <t>Company name as the source gives it; a merged row names both entities.</t>
        </is>
      </c>
    </row>
    <row r="343">
      <c r="A343" t="inlineStr">
        <is>
          <t>website</t>
        </is>
      </c>
      <c r="B343" s="14" t="inlineStr">
        <is>
          <t>Company website, only if it was opened and matched the company; 'unknown' if unverified (never blank).</t>
        </is>
      </c>
    </row>
    <row r="344">
      <c r="A344" t="inlineStr">
        <is>
          <t>industry</t>
        </is>
      </c>
      <c r="B344" s="14" t="inlineStr">
        <is>
          <t>Short industry label from the research slice.</t>
        </is>
      </c>
    </row>
    <row r="345">
      <c r="A345" t="inlineStr">
        <is>
          <t>building_id</t>
        </is>
      </c>
      <c r="B345" s="14" t="inlineStr">
        <is>
          <t>B-B-### of the building row in the Buildings tab; blank if the building is not in that tab (near-miss rows outside the line).</t>
        </is>
      </c>
    </row>
    <row r="346">
      <c r="A346" t="inlineStr">
        <is>
          <t>street_address</t>
        </is>
      </c>
      <c r="B346" s="14" t="inlineStr">
        <is>
          <t>Business street address as the source gives it.</t>
        </is>
      </c>
    </row>
    <row r="347">
      <c r="A347" t="inlineStr">
        <is>
          <t>floor</t>
        </is>
      </c>
      <c r="B347" s="14" t="inlineStr">
        <is>
          <t>Floor or suite as sourced; 'unknown' when no source names it (never blank).</t>
        </is>
      </c>
    </row>
    <row r="348">
      <c r="A348" t="inlineStr">
        <is>
          <t>zip</t>
        </is>
      </c>
      <c r="B348" s="14" t="inlineStr">
        <is>
          <t>ZIP code from a source for the building, else from NYC PLUTO (2026 v2) for the tax lot.</t>
        </is>
      </c>
    </row>
    <row r="349">
      <c r="A349" t="inlineStr">
        <is>
          <t>lat</t>
        </is>
      </c>
      <c r="B349" s="14" t="inlineStr">
        <is>
          <t>Latitude, WGS84 decimal degrees. From the project geocoder (_shared/geocode.py: NYC Planning GeoSearch, the city's own address database). A pin that landed on the far side of its tax lot was moved to the addressed block face; that row's notes say so.</t>
        </is>
      </c>
    </row>
    <row r="350">
      <c r="A350" t="inlineStr">
        <is>
          <t>lon</t>
        </is>
      </c>
      <c r="B350" s="14" t="inlineStr">
        <is>
          <t>Longitude, WGS84 decimal degrees. Same source as lat.</t>
        </is>
      </c>
    </row>
    <row r="351">
      <c r="A351" t="inlineStr">
        <is>
          <t>in_boundary</t>
        </is>
      </c>
      <c r="B351" s="14" t="inlineStr">
        <is>
          <t>Y if the pin is inside boundary.geojson, else N (computed, not judged).</t>
        </is>
      </c>
    </row>
    <row r="352">
      <c r="A352" t="inlineStr">
        <is>
          <t>headcount_band</t>
        </is>
      </c>
      <c r="B352" s="14"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353">
      <c r="A353" t="inlineStr">
        <is>
          <t>headcount_scope</t>
        </is>
      </c>
      <c r="B353" s="14" t="inlineStr">
        <is>
          <t>whole-company (the count covers the whole firm), nyc-office (the source counts the New York office), or unknown.</t>
        </is>
      </c>
    </row>
    <row r="354">
      <c r="A354" t="inlineStr">
        <is>
          <t>headcount_source_url</t>
        </is>
      </c>
      <c r="B354" s="14" t="inlineStr">
        <is>
          <t>Where the count came from.</t>
        </is>
      </c>
    </row>
    <row r="355">
      <c r="A355" t="inlineStr">
        <is>
          <t>address_source_url</t>
        </is>
      </c>
      <c r="B355" s="14" t="inlineStr">
        <is>
          <t>Source that places the company at the address.</t>
        </is>
      </c>
    </row>
    <row r="356">
      <c r="A356" t="inlineStr">
        <is>
          <t>address_source_date</t>
        </is>
      </c>
      <c r="B356" s="14" t="inlineStr">
        <is>
          <t>Date of that source (publication date, or the date a live page was opened).</t>
        </is>
      </c>
    </row>
    <row r="357">
      <c r="A357" t="inlineStr">
        <is>
          <t>second_source_url</t>
        </is>
      </c>
      <c r="B357" s="14" t="inlineStr">
        <is>
          <t>Independent confirmation, if any.</t>
        </is>
      </c>
    </row>
    <row r="358">
      <c r="A358" t="inlineStr">
        <is>
          <t>confidence</t>
        </is>
      </c>
      <c r="B358" s="14" t="inlineStr">
        <is>
          <t>high = a source under 24 months old (dated on or after 2024-10-24) plus one independent confirmation from a different publisher; medium = one source under 24 months, or recent sources that disagree on move timing; low = only older sources, conflicting sources, or a map or broker listing alone. See the scale below.</t>
        </is>
      </c>
    </row>
    <row r="359">
      <c r="A359" t="inlineStr">
        <is>
          <t>in_coworking</t>
        </is>
      </c>
      <c r="B359" s="14" t="inlineStr">
        <is>
          <t>Y if the company is inside a coworking or serviced-office space (listed as a resident, or on a floor the operator holds), else N. Y rows are excluded as offices.</t>
        </is>
      </c>
    </row>
    <row r="360">
      <c r="A360" t="inlineStr">
        <is>
          <t>coworking_id</t>
        </is>
      </c>
      <c r="B360" s="14" t="inlineStr">
        <is>
          <t>B-W-### of the coworking site the company is inside (only when in_coworking = Y). For a company that merely shares a building with a coworking site, see coworking_check and the building's coworking_ids.</t>
        </is>
      </c>
    </row>
    <row r="361">
      <c r="A361" t="inlineStr">
        <is>
          <t>linkedin_company_url</t>
        </is>
      </c>
      <c r="B361" s="14" t="inlineStr">
        <is>
          <t>Blank on every row: LinkedIn was not opened (blocked and off-limits). Founder or workstream A to fill.</t>
        </is>
      </c>
    </row>
    <row r="362">
      <c r="A362" t="inlineStr">
        <is>
          <t>notes</t>
        </is>
      </c>
      <c r="B362" s="14" t="inlineStr">
        <is>
          <t>Free text from research, then any assembly change after ' | Assembly 2026-10-24:'. Each fact names its source.</t>
        </is>
      </c>
    </row>
    <row r="363">
      <c r="A363" t="inlineStr">
        <is>
          <t>found_date</t>
        </is>
      </c>
      <c r="B363" s="14" t="inlineStr">
        <is>
          <t>Date the row was first found (YYYY-MM-DD).</t>
        </is>
      </c>
    </row>
    <row r="364">
      <c r="A364" t="inlineStr">
        <is>
          <t>hq_city</t>
        </is>
      </c>
      <c r="B364" s="14" t="inlineStr">
        <is>
          <t>Where the company is based: the HQ city on its Built In offices page (opened 2026-10-24); where Built In is silent (review round 2), from the row's own sources, the company's page or the Revelio Labs page. 'unknown' when none says.</t>
        </is>
      </c>
    </row>
    <row r="365">
      <c r="A365" t="inlineStr">
        <is>
          <t>hq_in_nyc</t>
        </is>
      </c>
      <c r="B365" s="14" t="inlineStr">
        <is>
          <t>Y if hq_city is New York, N if elsewhere, unknown. A whole-company band for an N row can be far larger than the New York office.</t>
        </is>
      </c>
    </row>
    <row r="366">
      <c r="A366" t="inlineStr">
        <is>
          <t>hq_source_url</t>
        </is>
      </c>
      <c r="B366" s="14" t="inlineStr">
        <is>
          <t>Page that gives hq_city ('row notes' when the row's own research notes state it).</t>
        </is>
      </c>
    </row>
    <row r="367">
      <c r="A367" t="inlineStr">
        <is>
          <t>headcount_count</t>
        </is>
      </c>
      <c r="B367" s="14" t="inlineStr">
        <is>
          <t>The count the band rests on, as the source prints it (blank when the band is unknown and no count was cited).</t>
        </is>
      </c>
    </row>
    <row r="368">
      <c r="A368" t="inlineStr">
        <is>
          <t>headcount_check</t>
        </is>
      </c>
      <c r="B368" s="14"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369">
      <c r="A369" t="inlineStr">
        <is>
          <t>headcount_second_count</t>
        </is>
      </c>
      <c r="B369" s="14" t="inlineStr">
        <is>
          <t>The second count (a trailing + means 'at least'). For over-500-second-source rows the roles swap: the Revelio count is headcount_count and the older first count is here.</t>
        </is>
      </c>
    </row>
    <row r="370">
      <c r="A370" t="inlineStr">
        <is>
          <t>headcount_second_source_url</t>
        </is>
      </c>
      <c r="B370" s="14" t="inlineStr">
        <is>
          <t>Source of headcount_second_count: a Revelio Labs public page (reveliolabs.com/companies/&lt;slug&gt;/employees, matched on legal name and description), the company's own page, or for swapped rows the original Built In page.</t>
        </is>
      </c>
    </row>
    <row r="371">
      <c r="A371" t="inlineStr">
        <is>
          <t>headcount_second_source_date</t>
        </is>
      </c>
      <c r="B371" s="14" t="inlineStr">
        <is>
          <t>Date of that source: 2026-08-31 for Revelio pages (their publication date; the figures are 'as of March 2026'; opened 2026-10-24), the page's own year or the date opened for a company page.</t>
        </is>
      </c>
    </row>
    <row r="372">
      <c r="A372" t="inlineStr">
        <is>
          <t>parent_company</t>
        </is>
      </c>
      <c r="B372" s="14" t="inlineStr">
        <is>
          <t>Owner of the company where a source names one (for example a P&amp;G or LVMH brand), else 'unknown'. A parent far over 500 matters to 'firms under 500 preferred'.</t>
        </is>
      </c>
    </row>
    <row r="373">
      <c r="A373" t="inlineStr">
        <is>
          <t>parent_company_source</t>
        </is>
      </c>
      <c r="B373" s="14" t="inlineStr">
        <is>
          <t>Source for parent_company ('row notes' when the row's research notes state it).</t>
        </is>
      </c>
    </row>
    <row r="374">
      <c r="A374" t="inlineStr">
        <is>
          <t>building_lobby_type</t>
        </is>
      </c>
      <c r="B374" s="14" t="inlineStr">
        <is>
          <t>The building's lobby_type (Buildings tab), copied here so the Clay import needs no join.</t>
        </is>
      </c>
    </row>
    <row r="375">
      <c r="A375" t="inlineStr">
        <is>
          <t>candidate_status</t>
        </is>
      </c>
      <c r="B375" s="14" t="inlineStr">
        <is>
          <t>candidate (in the boundary, 40-500 or unknown band, not in coworking); excluded-coworking; excluded-not-office (for example a mailbox suite); near-miss-over-500; near-miss-outside.</t>
        </is>
      </c>
    </row>
    <row r="376">
      <c r="A376" t="inlineStr">
        <is>
          <t>lease_status</t>
        </is>
      </c>
      <c r="B376" s="14" t="inlineStr">
        <is>
          <t>occupied (a source shows the company in the space); occupancy-unconfirmed (lease press only); signed-not-occupied (a source says the move is ahead, or the company's own site still shows its old address); moving-out (a newer source says it signed elsewhere).</t>
        </is>
      </c>
    </row>
    <row r="377">
      <c r="A377" t="inlineStr">
        <is>
          <t>move_in_date</t>
        </is>
      </c>
      <c r="B377" s="14" t="inlineStr">
        <is>
          <t>For signed-not-occupied and moving-out rows: YYYY-MM if a source states the month, else 'unknown' (a planned season is written in notes). Blank when the row is occupied or occupancy-unconfirmed.</t>
        </is>
      </c>
    </row>
    <row r="378">
      <c r="A378" t="inlineStr">
        <is>
          <t>headcount_source_date</t>
        </is>
      </c>
      <c r="B378" s="14" t="inlineStr">
        <is>
          <t>Date of the headcount source.</t>
        </is>
      </c>
    </row>
    <row r="379">
      <c r="A379" t="inlineStr">
        <is>
          <t>headcount_unknown_reason</t>
        </is>
      </c>
      <c r="B379" s="14" t="inlineStr">
        <is>
          <t>Why the band is unknown, for every unknown row.</t>
        </is>
      </c>
    </row>
    <row r="380">
      <c r="A380" t="inlineStr">
        <is>
          <t>address_source_type</t>
        </is>
      </c>
      <c r="B380" s="14" t="inlineStr">
        <is>
          <t>company-site, leasing-press, builtin, building-site, press-release, wikipedia or other.</t>
        </is>
      </c>
    </row>
    <row r="381">
      <c r="A381" t="inlineStr">
        <is>
          <t>second_source_date</t>
        </is>
      </c>
      <c r="B381" s="14" t="inlineStr">
        <is>
          <t>Date of the second source.</t>
        </is>
      </c>
    </row>
    <row r="382">
      <c r="A382" t="inlineStr">
        <is>
          <t>coworking_check</t>
        </is>
      </c>
      <c r="B382" s="14" t="inlineStr">
        <is>
          <t>Result of the address-and-floor cross-check against every coworking site: no-coworking-in-building, different-floor, direct-lease-documented, floor-unknown, same-floor or listed-as-resident.</t>
        </is>
      </c>
    </row>
    <row r="383">
      <c r="A383" t="inlineStr">
        <is>
          <t>bbl</t>
        </is>
      </c>
      <c r="B383" s="14" t="inlineStr">
        <is>
          <t>NYC borough-block-lot tax lot number from the geocoder; the key used to merge buildings.</t>
        </is>
      </c>
    </row>
    <row r="384">
      <c r="A384" t="inlineStr">
        <is>
          <t>blocks_outside</t>
        </is>
      </c>
      <c r="B384" s="14" t="inlineStr">
        <is>
          <t>Walking distance from the boundary on the street grid, in street blocks (79.4 m each); 0 inside. Crosstown metres count at their length, so the Sixth-to-Fifth block counts as about 3.9.</t>
        </is>
      </c>
    </row>
    <row r="385">
      <c r="A385" t="inlineStr">
        <is>
          <t>leased_sf_mentioned</t>
        </is>
      </c>
      <c r="B385" s="14" t="inlineStr">
        <is>
          <t>Office sizes (square feet) that appear in the sourced notes. A fact from the source, not a headcount.</t>
        </is>
      </c>
    </row>
    <row r="386">
      <c r="A386" t="inlineStr">
        <is>
          <t>research_slice</t>
        </is>
      </c>
      <c r="B386" s="14" t="inlineStr">
        <is>
          <t>Which research slice found the row (S1 14th-18th St, S2 18th-22nd, S3 22nd-26th, S4 26th-30th; two values if merged).</t>
        </is>
      </c>
    </row>
    <row r="387">
      <c r="A387" t="inlineStr">
        <is>
          <t>near_miss_reason</t>
        </is>
      </c>
      <c r="B387" s="14" t="inlineStr">
        <is>
          <t>Near-miss tab only: why the row is outside the candidate list.</t>
        </is>
      </c>
    </row>
    <row r="388">
      <c r="A388" t="inlineStr">
        <is>
          <t>near_miss_class</t>
        </is>
      </c>
      <c r="B388" s="14" t="inlineStr">
        <is>
          <t>Near-miss tab only: just-over-500 (501 to 1,000, the brief's 'just over 500'), over-1,000 (1,001 to 4,999), not-near (5,000 or more), over-500-count-not-cited, or outside-line (past the boundary).</t>
        </is>
      </c>
    </row>
    <row r="389">
      <c r="A389" t="inlineStr">
        <is>
          <t>company_wide_count_cited</t>
        </is>
      </c>
      <c r="B389" s="14" t="inlineStr">
        <is>
          <t>Near-miss tab only: the company-wide count the class rests on (Built In, Wikipedia, the company's own page or, from review round 2, the Revelio Labs page in headcount_source_url).</t>
        </is>
      </c>
    </row>
    <row r="390">
      <c r="A390" t="inlineStr">
        <is>
          <t>nyc_office_may_fit</t>
        </is>
      </c>
      <c r="B390" s="14" t="inlineStr">
        <is>
          <t>Near-miss tab only: Y where a source suggests the New York office alone could fit the 40-250 band (a small NYC lease against an HQ elsewhere, or the source says so). A flag for a founder look, not a size estimate.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2026-10-24T04:56:00Z</dcterms:created>
  <dcterms:modified xmlns:dcterms="http://purl.org/dc/terms/" xmlns:xsi="http://www.w3.org/2001/XMLSchema-instance" xsi:type="dcterms:W3CDTF">2026-10-24T04:56:00Z</dcterms:modified>
</cp:coreProperties>
</file>